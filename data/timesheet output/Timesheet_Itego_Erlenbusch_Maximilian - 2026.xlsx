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xampp\htdocs\ticket-tool\data\timesheet output\"/>
    </mc:Choice>
  </mc:AlternateContent>
  <xr:revisionPtr revIDLastSave="0" documentId="13_ncr:1_{DF59B65C-787D-4682-9475-3807247F0B22}" xr6:coauthVersionLast="47" xr6:coauthVersionMax="47" xr10:uidLastSave="{00000000-0000-0000-0000-000000000000}"/>
  <bookViews>
    <workbookView xWindow="30612" yWindow="-108" windowWidth="30936" windowHeight="16896" xr2:uid="{A6B2B49D-24D0-489A-970F-B28E60CCC657}"/>
  </bookViews>
  <sheets>
    <sheet name="01" sheetId="51" r:id="rId1"/>
    <sheet name="02" sheetId="62" r:id="rId2"/>
    <sheet name="03" sheetId="63" r:id="rId3"/>
    <sheet name="04" sheetId="64" r:id="rId4"/>
    <sheet name="05" sheetId="65" r:id="rId5"/>
    <sheet name="06" sheetId="66" r:id="rId6"/>
    <sheet name="07" sheetId="67" r:id="rId7"/>
    <sheet name="08" sheetId="68" r:id="rId8"/>
    <sheet name="09" sheetId="69" r:id="rId9"/>
    <sheet name="10" sheetId="70" r:id="rId10"/>
    <sheet name="11" sheetId="71" r:id="rId11"/>
    <sheet name="12" sheetId="72" r:id="rId12"/>
    <sheet name="Overview" sheetId="50" r:id="rId13"/>
    <sheet name="Calendar" sheetId="74" r:id="rId14"/>
    <sheet name="Metadata" sheetId="2" r:id="rId15"/>
  </sheets>
  <definedNames>
    <definedName name="_xlnm._FilterDatabase" localSheetId="0" hidden="1">'01'!$A$1:$K$234</definedName>
    <definedName name="_xlnm._FilterDatabase" localSheetId="1" hidden="1">'02'!$A$1:$M$214</definedName>
    <definedName name="_xlnm._FilterDatabase" localSheetId="2" hidden="1">'03'!$A$1:$M$246</definedName>
    <definedName name="_xlnm._FilterDatabase" localSheetId="3" hidden="1">'04'!$A$1:$M$246</definedName>
    <definedName name="_xlnm._FilterDatabase" localSheetId="4" hidden="1">'05'!$A$1:$M$246</definedName>
    <definedName name="_xlnm._FilterDatabase" localSheetId="5" hidden="1">'06'!$A$1:$M$246</definedName>
    <definedName name="_xlnm._FilterDatabase" localSheetId="6" hidden="1">'07'!$A$1:$M$246</definedName>
    <definedName name="_xlnm._FilterDatabase" localSheetId="7" hidden="1">'08'!$A$1:$M$246</definedName>
    <definedName name="_xlnm._FilterDatabase" localSheetId="8" hidden="1">'09'!$A$1:$M$246</definedName>
    <definedName name="_xlnm._FilterDatabase" localSheetId="9" hidden="1">'10'!$A$1:$M$246</definedName>
    <definedName name="_xlnm._FilterDatabase" localSheetId="10" hidden="1">'11'!$A$1:$M$246</definedName>
    <definedName name="_xlnm._FilterDatabase" localSheetId="11" hidden="1">'12'!$A$1:$M$246</definedName>
    <definedName name="_xlnm.Print_Area" localSheetId="0">'01'!$A$1:$J$36</definedName>
    <definedName name="_xlnm.Print_Area" localSheetId="1">'02'!$A$1:$J$41</definedName>
    <definedName name="_xlnm.Print_Area" localSheetId="2">'03'!$A$1:$J$54</definedName>
    <definedName name="_xlnm.Print_Area" localSheetId="3">'04'!$A$1:$J$54</definedName>
    <definedName name="_xlnm.Print_Area" localSheetId="4">'05'!$A$1:$J$54</definedName>
    <definedName name="_xlnm.Print_Area" localSheetId="5">'06'!$A$1:$J$54</definedName>
    <definedName name="_xlnm.Print_Area" localSheetId="6">'07'!$A$1:$J$54</definedName>
    <definedName name="_xlnm.Print_Area" localSheetId="7">'08'!$A$1:$J$54</definedName>
    <definedName name="_xlnm.Print_Area" localSheetId="8">'09'!$A$1:$J$54</definedName>
    <definedName name="_xlnm.Print_Area" localSheetId="9">'10'!$A$1:$J$54</definedName>
    <definedName name="_xlnm.Print_Area" localSheetId="10">'11'!$A$1:$J$54</definedName>
    <definedName name="_xlnm.Print_Area" localSheetId="11">'12'!$A$1:$J$54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4" i="51" l="1"/>
  <c r="F103" i="51"/>
  <c r="F102" i="51"/>
  <c r="F101" i="51"/>
  <c r="F100" i="51"/>
  <c r="F99" i="51"/>
  <c r="F98" i="51"/>
  <c r="F97" i="51"/>
  <c r="F96" i="51"/>
  <c r="F64" i="62"/>
  <c r="F62" i="62"/>
  <c r="F61" i="62"/>
  <c r="B3" i="50"/>
  <c r="H7" i="50"/>
  <c r="H6" i="50"/>
  <c r="H5" i="50"/>
  <c r="H4" i="50"/>
  <c r="H8" i="50"/>
  <c r="H9" i="50"/>
  <c r="H10" i="50"/>
  <c r="H11" i="50"/>
  <c r="H12" i="50"/>
  <c r="H13" i="50"/>
  <c r="H3" i="50"/>
  <c r="F40" i="62"/>
  <c r="K13" i="50"/>
  <c r="K12" i="50"/>
  <c r="K11" i="50"/>
  <c r="K10" i="50"/>
  <c r="K9" i="50"/>
  <c r="K8" i="50"/>
  <c r="K7" i="50"/>
  <c r="L7" i="50" s="1"/>
  <c r="K6" i="50"/>
  <c r="L6" i="50" s="1"/>
  <c r="K5" i="50"/>
  <c r="K4" i="50"/>
  <c r="L4" i="50" s="1"/>
  <c r="K3" i="50"/>
  <c r="L3" i="50" s="1"/>
  <c r="L9" i="50"/>
  <c r="L8" i="50"/>
  <c r="L5" i="50"/>
  <c r="E13" i="50"/>
  <c r="E12" i="50"/>
  <c r="E11" i="50"/>
  <c r="E10" i="50"/>
  <c r="E9" i="50"/>
  <c r="E8" i="50"/>
  <c r="E7" i="50"/>
  <c r="E6" i="50"/>
  <c r="E5" i="50"/>
  <c r="E4" i="50"/>
  <c r="E3" i="50"/>
  <c r="D13" i="50"/>
  <c r="D12" i="50"/>
  <c r="D11" i="50"/>
  <c r="D10" i="50"/>
  <c r="D9" i="50"/>
  <c r="D8" i="50"/>
  <c r="D7" i="50"/>
  <c r="D6" i="50"/>
  <c r="D5" i="50"/>
  <c r="D4" i="50"/>
  <c r="D3" i="50"/>
  <c r="C13" i="50"/>
  <c r="C12" i="50"/>
  <c r="C11" i="50"/>
  <c r="C10" i="50"/>
  <c r="C9" i="50"/>
  <c r="C8" i="50"/>
  <c r="C7" i="50"/>
  <c r="C6" i="50"/>
  <c r="C5" i="50"/>
  <c r="C4" i="50"/>
  <c r="C3" i="50"/>
  <c r="F3" i="62"/>
  <c r="B13" i="50"/>
  <c r="B12" i="50"/>
  <c r="B11" i="50"/>
  <c r="B10" i="50"/>
  <c r="B8" i="50"/>
  <c r="B7" i="50"/>
  <c r="B6" i="50"/>
  <c r="B9" i="50"/>
  <c r="B5" i="50"/>
  <c r="B4" i="50"/>
  <c r="L10" i="51"/>
  <c r="L11" i="51"/>
  <c r="L14" i="51"/>
  <c r="H2" i="50"/>
  <c r="K2" i="50"/>
  <c r="I15" i="50"/>
  <c r="L13" i="50"/>
  <c r="L12" i="50"/>
  <c r="L11" i="50"/>
  <c r="L10" i="50"/>
  <c r="F67" i="51"/>
  <c r="B18" i="50"/>
  <c r="F58" i="51"/>
  <c r="F41" i="51"/>
  <c r="F42" i="51"/>
  <c r="F4" i="50" l="1"/>
  <c r="F9" i="50"/>
  <c r="F5" i="50"/>
  <c r="F3" i="50"/>
  <c r="F8" i="50"/>
  <c r="F11" i="50"/>
  <c r="F7" i="50"/>
  <c r="F12" i="50"/>
  <c r="F13" i="50"/>
  <c r="F6" i="50"/>
  <c r="G6" i="50" s="1"/>
  <c r="F10" i="50"/>
  <c r="J10" i="50" s="1"/>
  <c r="G12" i="50"/>
  <c r="G5" i="50"/>
  <c r="G9" i="50"/>
  <c r="K15" i="50"/>
  <c r="L2" i="50"/>
  <c r="L15" i="50" s="1"/>
  <c r="L16" i="50" s="1"/>
  <c r="F105" i="51"/>
  <c r="F106" i="51"/>
  <c r="F107" i="51"/>
  <c r="F108" i="51"/>
  <c r="F109" i="51"/>
  <c r="F110" i="51"/>
  <c r="F111" i="51"/>
  <c r="F112" i="51"/>
  <c r="F113" i="51"/>
  <c r="F114" i="51"/>
  <c r="F115" i="51"/>
  <c r="F116" i="51"/>
  <c r="F117" i="51"/>
  <c r="F118" i="51"/>
  <c r="F119" i="51"/>
  <c r="F120" i="51"/>
  <c r="F121" i="51"/>
  <c r="F122" i="51"/>
  <c r="F123" i="51"/>
  <c r="F124" i="51"/>
  <c r="F125" i="51"/>
  <c r="F126" i="51"/>
  <c r="F127" i="51"/>
  <c r="F128" i="51"/>
  <c r="F129" i="51"/>
  <c r="F130" i="51"/>
  <c r="F131" i="51"/>
  <c r="F132" i="51"/>
  <c r="F133" i="51"/>
  <c r="F134" i="51"/>
  <c r="F135" i="51"/>
  <c r="F136" i="51"/>
  <c r="F137" i="51"/>
  <c r="F138" i="51"/>
  <c r="F139" i="51"/>
  <c r="F140" i="51"/>
  <c r="F141" i="51"/>
  <c r="F142" i="51"/>
  <c r="F143" i="51"/>
  <c r="F144" i="51"/>
  <c r="F145" i="51"/>
  <c r="F146" i="51"/>
  <c r="F147" i="51"/>
  <c r="F148" i="51"/>
  <c r="F149" i="51"/>
  <c r="F150" i="51"/>
  <c r="F151" i="51"/>
  <c r="F152" i="51"/>
  <c r="F153" i="51"/>
  <c r="F154" i="51"/>
  <c r="F155" i="51"/>
  <c r="F156" i="51"/>
  <c r="F157" i="51"/>
  <c r="F158" i="51"/>
  <c r="F159" i="51"/>
  <c r="F160" i="51"/>
  <c r="F161" i="51"/>
  <c r="F162" i="51"/>
  <c r="F163" i="51"/>
  <c r="F164" i="51"/>
  <c r="F165" i="51"/>
  <c r="F166" i="51"/>
  <c r="F167" i="51"/>
  <c r="F168" i="51"/>
  <c r="F169" i="51"/>
  <c r="F170" i="51"/>
  <c r="F171" i="51"/>
  <c r="F172" i="51"/>
  <c r="F173" i="51"/>
  <c r="F174" i="51"/>
  <c r="F175" i="51"/>
  <c r="F176" i="51"/>
  <c r="F177" i="51"/>
  <c r="F178" i="51"/>
  <c r="F179" i="51"/>
  <c r="F180" i="51"/>
  <c r="F181" i="51"/>
  <c r="F182" i="51"/>
  <c r="F183" i="51"/>
  <c r="F184" i="51"/>
  <c r="F185" i="51"/>
  <c r="F186" i="51"/>
  <c r="F187" i="51"/>
  <c r="F188" i="51"/>
  <c r="F189" i="51"/>
  <c r="F190" i="51"/>
  <c r="F191" i="51"/>
  <c r="F192" i="51"/>
  <c r="F193" i="51"/>
  <c r="F194" i="51"/>
  <c r="F195" i="51"/>
  <c r="F196" i="51"/>
  <c r="F197" i="51"/>
  <c r="F198" i="51"/>
  <c r="F199" i="51"/>
  <c r="F200" i="51"/>
  <c r="F201" i="51"/>
  <c r="F202" i="51"/>
  <c r="F203" i="51"/>
  <c r="F204" i="51"/>
  <c r="F205" i="51"/>
  <c r="F206" i="51"/>
  <c r="F207" i="51"/>
  <c r="F208" i="51"/>
  <c r="F209" i="51"/>
  <c r="F210" i="51"/>
  <c r="F211" i="51"/>
  <c r="F212" i="51"/>
  <c r="F213" i="51"/>
  <c r="F214" i="51"/>
  <c r="F215" i="51"/>
  <c r="F216" i="51"/>
  <c r="F217" i="51"/>
  <c r="F218" i="51"/>
  <c r="F219" i="51"/>
  <c r="F220" i="51"/>
  <c r="F221" i="51"/>
  <c r="F222" i="51"/>
  <c r="F223" i="51"/>
  <c r="F224" i="51"/>
  <c r="F225" i="51"/>
  <c r="F226" i="51"/>
  <c r="F227" i="51"/>
  <c r="F228" i="51"/>
  <c r="F229" i="51"/>
  <c r="F230" i="51"/>
  <c r="F231" i="51"/>
  <c r="F232" i="51"/>
  <c r="F233" i="51"/>
  <c r="F234" i="51"/>
  <c r="F271" i="72"/>
  <c r="F208" i="72"/>
  <c r="F217" i="72"/>
  <c r="F235" i="72"/>
  <c r="F234" i="72"/>
  <c r="F233" i="72"/>
  <c r="F232" i="72"/>
  <c r="F231" i="72"/>
  <c r="F230" i="72"/>
  <c r="F229" i="72"/>
  <c r="F228" i="72"/>
  <c r="F226" i="72"/>
  <c r="F173" i="72"/>
  <c r="F172" i="72"/>
  <c r="F171" i="72"/>
  <c r="F170" i="72"/>
  <c r="F169" i="72"/>
  <c r="F168" i="72"/>
  <c r="F167" i="72"/>
  <c r="F166" i="72"/>
  <c r="F164" i="72"/>
  <c r="F110" i="72"/>
  <c r="F109" i="72"/>
  <c r="F108" i="72"/>
  <c r="F107" i="72"/>
  <c r="F106" i="72"/>
  <c r="F105" i="72"/>
  <c r="F104" i="72"/>
  <c r="F103" i="72"/>
  <c r="F101" i="72"/>
  <c r="F47" i="72"/>
  <c r="F46" i="72"/>
  <c r="F45" i="72"/>
  <c r="F44" i="72"/>
  <c r="F43" i="72"/>
  <c r="F42" i="72"/>
  <c r="F41" i="72"/>
  <c r="F40" i="72"/>
  <c r="F38" i="72"/>
  <c r="F253" i="71"/>
  <c r="F252" i="71"/>
  <c r="F251" i="71"/>
  <c r="F250" i="71"/>
  <c r="F249" i="71"/>
  <c r="F248" i="71"/>
  <c r="F247" i="71"/>
  <c r="F246" i="71"/>
  <c r="F244" i="71"/>
  <c r="F191" i="71"/>
  <c r="F190" i="71"/>
  <c r="F189" i="71"/>
  <c r="F188" i="71"/>
  <c r="F187" i="71"/>
  <c r="F186" i="71"/>
  <c r="F185" i="71"/>
  <c r="F184" i="71"/>
  <c r="F182" i="71"/>
  <c r="F128" i="71"/>
  <c r="F127" i="71"/>
  <c r="F126" i="71"/>
  <c r="F125" i="71"/>
  <c r="F124" i="71"/>
  <c r="F123" i="71"/>
  <c r="F122" i="71"/>
  <c r="F121" i="71"/>
  <c r="F119" i="71"/>
  <c r="F65" i="71"/>
  <c r="F64" i="71"/>
  <c r="F63" i="71"/>
  <c r="F62" i="71"/>
  <c r="F61" i="71"/>
  <c r="F60" i="71"/>
  <c r="F59" i="71"/>
  <c r="F58" i="71"/>
  <c r="F56" i="71"/>
  <c r="F11" i="71"/>
  <c r="F10" i="71"/>
  <c r="F9" i="71"/>
  <c r="F8" i="71"/>
  <c r="F7" i="71"/>
  <c r="F6" i="71"/>
  <c r="F5" i="71"/>
  <c r="F4" i="71"/>
  <c r="F2" i="71"/>
  <c r="F287" i="70"/>
  <c r="F286" i="70"/>
  <c r="F285" i="70"/>
  <c r="F284" i="70"/>
  <c r="F283" i="70"/>
  <c r="F282" i="70"/>
  <c r="F281" i="70"/>
  <c r="F279" i="70"/>
  <c r="F217" i="70"/>
  <c r="F216" i="70"/>
  <c r="F215" i="70"/>
  <c r="F214" i="70"/>
  <c r="F213" i="70"/>
  <c r="F212" i="70"/>
  <c r="F211" i="70"/>
  <c r="F210" i="70"/>
  <c r="F208" i="70"/>
  <c r="F155" i="70"/>
  <c r="F154" i="70"/>
  <c r="F153" i="70"/>
  <c r="F152" i="70"/>
  <c r="F151" i="70"/>
  <c r="F150" i="70"/>
  <c r="F149" i="70"/>
  <c r="F148" i="70"/>
  <c r="F146" i="70"/>
  <c r="F92" i="70"/>
  <c r="F91" i="70"/>
  <c r="F90" i="70"/>
  <c r="F89" i="70"/>
  <c r="F88" i="70"/>
  <c r="F87" i="70"/>
  <c r="F86" i="70"/>
  <c r="F85" i="70"/>
  <c r="F83" i="70"/>
  <c r="F37" i="70"/>
  <c r="F36" i="70"/>
  <c r="F35" i="70"/>
  <c r="F34" i="70"/>
  <c r="F33" i="70"/>
  <c r="F32" i="70"/>
  <c r="F31" i="70"/>
  <c r="F29" i="70"/>
  <c r="F20" i="70"/>
  <c r="F235" i="69"/>
  <c r="F234" i="69"/>
  <c r="F233" i="69"/>
  <c r="F232" i="69"/>
  <c r="F231" i="69"/>
  <c r="F230" i="69"/>
  <c r="F229" i="69"/>
  <c r="F228" i="69"/>
  <c r="F226" i="69"/>
  <c r="F173" i="69"/>
  <c r="F172" i="69"/>
  <c r="F171" i="69"/>
  <c r="F170" i="69"/>
  <c r="F169" i="69"/>
  <c r="F168" i="69"/>
  <c r="F167" i="69"/>
  <c r="F166" i="69"/>
  <c r="F164" i="69"/>
  <c r="F110" i="69"/>
  <c r="F109" i="69"/>
  <c r="F108" i="69"/>
  <c r="F107" i="69"/>
  <c r="F106" i="69"/>
  <c r="F105" i="69"/>
  <c r="F104" i="69"/>
  <c r="F103" i="69"/>
  <c r="F101" i="69"/>
  <c r="F47" i="69"/>
  <c r="F46" i="69"/>
  <c r="F45" i="69"/>
  <c r="F44" i="69"/>
  <c r="F43" i="69"/>
  <c r="F42" i="69"/>
  <c r="F41" i="69"/>
  <c r="F40" i="69"/>
  <c r="F38" i="69"/>
  <c r="F262" i="68"/>
  <c r="F261" i="68"/>
  <c r="F260" i="68"/>
  <c r="F259" i="68"/>
  <c r="F258" i="68"/>
  <c r="F257" i="68"/>
  <c r="F256" i="68"/>
  <c r="F255" i="68"/>
  <c r="F253" i="68"/>
  <c r="F201" i="68"/>
  <c r="F200" i="68"/>
  <c r="F199" i="68"/>
  <c r="F198" i="68"/>
  <c r="F197" i="68"/>
  <c r="F196" i="68"/>
  <c r="F195" i="68"/>
  <c r="F194" i="68"/>
  <c r="F192" i="68"/>
  <c r="F137" i="68"/>
  <c r="F136" i="68"/>
  <c r="F135" i="68"/>
  <c r="F134" i="68"/>
  <c r="F133" i="68"/>
  <c r="F132" i="68"/>
  <c r="F131" i="68"/>
  <c r="F130" i="68"/>
  <c r="F128" i="68"/>
  <c r="F74" i="68"/>
  <c r="F73" i="68"/>
  <c r="F72" i="68"/>
  <c r="F71" i="68"/>
  <c r="F70" i="68"/>
  <c r="F69" i="68"/>
  <c r="F68" i="68"/>
  <c r="F67" i="68"/>
  <c r="F65" i="68"/>
  <c r="F11" i="68"/>
  <c r="F10" i="68"/>
  <c r="F9" i="68"/>
  <c r="F8" i="68"/>
  <c r="F7" i="68"/>
  <c r="F6" i="68"/>
  <c r="F5" i="68"/>
  <c r="F4" i="68"/>
  <c r="F2" i="68"/>
  <c r="F226" i="67"/>
  <c r="F225" i="67"/>
  <c r="F224" i="67"/>
  <c r="F223" i="67"/>
  <c r="F222" i="67"/>
  <c r="F221" i="67"/>
  <c r="F220" i="67"/>
  <c r="F219" i="67"/>
  <c r="F217" i="67"/>
  <c r="F164" i="67"/>
  <c r="F163" i="67"/>
  <c r="F162" i="67"/>
  <c r="F161" i="67"/>
  <c r="F160" i="67"/>
  <c r="F159" i="67"/>
  <c r="F158" i="67"/>
  <c r="F157" i="67"/>
  <c r="F155" i="67"/>
  <c r="F101" i="67"/>
  <c r="F100" i="67"/>
  <c r="F99" i="67"/>
  <c r="F98" i="67"/>
  <c r="F97" i="67"/>
  <c r="F96" i="67"/>
  <c r="F95" i="67"/>
  <c r="F94" i="67"/>
  <c r="F92" i="67"/>
  <c r="F92" i="66"/>
  <c r="F93" i="66"/>
  <c r="F94" i="66"/>
  <c r="F95" i="66"/>
  <c r="F96" i="66"/>
  <c r="F97" i="66"/>
  <c r="F98" i="66"/>
  <c r="F99" i="66"/>
  <c r="F100" i="66"/>
  <c r="F38" i="67"/>
  <c r="F37" i="67"/>
  <c r="F36" i="67"/>
  <c r="F35" i="67"/>
  <c r="F34" i="67"/>
  <c r="F33" i="67"/>
  <c r="F32" i="67"/>
  <c r="F31" i="67"/>
  <c r="F29" i="67"/>
  <c r="F29" i="66"/>
  <c r="F253" i="66"/>
  <c r="F252" i="66"/>
  <c r="F251" i="66"/>
  <c r="F250" i="66"/>
  <c r="F249" i="66"/>
  <c r="F248" i="66"/>
  <c r="F247" i="66"/>
  <c r="F246" i="66"/>
  <c r="F244" i="66"/>
  <c r="F191" i="66"/>
  <c r="F190" i="66"/>
  <c r="F189" i="66"/>
  <c r="F188" i="66"/>
  <c r="F187" i="66"/>
  <c r="F186" i="66"/>
  <c r="F185" i="66"/>
  <c r="F184" i="66"/>
  <c r="F182" i="66"/>
  <c r="F128" i="66"/>
  <c r="F127" i="66"/>
  <c r="F126" i="66"/>
  <c r="F125" i="66"/>
  <c r="F124" i="66"/>
  <c r="F123" i="66"/>
  <c r="F122" i="66"/>
  <c r="F121" i="66"/>
  <c r="F119" i="66"/>
  <c r="F56" i="66"/>
  <c r="F47" i="66"/>
  <c r="F164" i="65"/>
  <c r="F163" i="65"/>
  <c r="F129" i="65"/>
  <c r="F128" i="65"/>
  <c r="F87" i="65"/>
  <c r="F86" i="65"/>
  <c r="F46" i="65"/>
  <c r="F45" i="65"/>
  <c r="F139" i="64"/>
  <c r="F138" i="64"/>
  <c r="F97" i="64"/>
  <c r="F96" i="64"/>
  <c r="F55" i="64"/>
  <c r="F54" i="64"/>
  <c r="F21" i="64"/>
  <c r="F20" i="64"/>
  <c r="F19" i="64"/>
  <c r="F18" i="64"/>
  <c r="F138" i="62"/>
  <c r="F137" i="62"/>
  <c r="B21" i="50"/>
  <c r="F194" i="63"/>
  <c r="F193" i="63"/>
  <c r="F192" i="63"/>
  <c r="F191" i="63"/>
  <c r="F190" i="63"/>
  <c r="F189" i="63"/>
  <c r="F188" i="63"/>
  <c r="F187" i="63"/>
  <c r="F186" i="63"/>
  <c r="F185" i="63"/>
  <c r="F184" i="63"/>
  <c r="F183" i="63"/>
  <c r="F182" i="63"/>
  <c r="F181" i="63"/>
  <c r="F180" i="63"/>
  <c r="F179" i="63"/>
  <c r="F178" i="63"/>
  <c r="F177" i="63"/>
  <c r="F176" i="63"/>
  <c r="F175" i="63"/>
  <c r="F174" i="63"/>
  <c r="F173" i="63"/>
  <c r="F172" i="63"/>
  <c r="F171" i="63"/>
  <c r="F170" i="63"/>
  <c r="F169" i="63"/>
  <c r="F168" i="63"/>
  <c r="F167" i="63"/>
  <c r="F166" i="63"/>
  <c r="F165" i="63"/>
  <c r="F164" i="63"/>
  <c r="F163" i="63"/>
  <c r="F162" i="63"/>
  <c r="F161" i="63"/>
  <c r="F160" i="63"/>
  <c r="F159" i="63"/>
  <c r="F158" i="63"/>
  <c r="F157" i="63"/>
  <c r="F156" i="63"/>
  <c r="F155" i="63"/>
  <c r="F154" i="63"/>
  <c r="F153" i="63"/>
  <c r="F152" i="63"/>
  <c r="F151" i="63"/>
  <c r="F150" i="63"/>
  <c r="F149" i="63"/>
  <c r="F148" i="63"/>
  <c r="F147" i="63"/>
  <c r="F146" i="63"/>
  <c r="F145" i="63"/>
  <c r="F144" i="63"/>
  <c r="F143" i="63"/>
  <c r="F142" i="63"/>
  <c r="F141" i="63"/>
  <c r="F140" i="63"/>
  <c r="F139" i="63"/>
  <c r="F138" i="63"/>
  <c r="F137" i="63"/>
  <c r="F136" i="63"/>
  <c r="F135" i="63"/>
  <c r="F134" i="63"/>
  <c r="F133" i="63"/>
  <c r="F132" i="63"/>
  <c r="F131" i="63"/>
  <c r="F130" i="63"/>
  <c r="F129" i="63"/>
  <c r="F128" i="63"/>
  <c r="F127" i="63"/>
  <c r="F126" i="63"/>
  <c r="F125" i="63"/>
  <c r="F124" i="63"/>
  <c r="F123" i="63"/>
  <c r="F122" i="63"/>
  <c r="F121" i="63"/>
  <c r="F120" i="63"/>
  <c r="F119" i="63"/>
  <c r="F118" i="63"/>
  <c r="F117" i="63"/>
  <c r="F116" i="63"/>
  <c r="F115" i="63"/>
  <c r="F114" i="63"/>
  <c r="F113" i="63"/>
  <c r="F112" i="63"/>
  <c r="F111" i="63"/>
  <c r="F110" i="63"/>
  <c r="F109" i="63"/>
  <c r="F108" i="63"/>
  <c r="F107" i="63"/>
  <c r="F106" i="63"/>
  <c r="F105" i="63"/>
  <c r="F104" i="63"/>
  <c r="F103" i="63"/>
  <c r="F102" i="63"/>
  <c r="F101" i="63"/>
  <c r="F100" i="63"/>
  <c r="F99" i="63"/>
  <c r="F98" i="63"/>
  <c r="F97" i="63"/>
  <c r="F96" i="63"/>
  <c r="F95" i="63"/>
  <c r="F94" i="63"/>
  <c r="F93" i="63"/>
  <c r="F92" i="63"/>
  <c r="F91" i="63"/>
  <c r="F90" i="63"/>
  <c r="F89" i="63"/>
  <c r="F88" i="63"/>
  <c r="F87" i="63"/>
  <c r="F86" i="63"/>
  <c r="F85" i="63"/>
  <c r="F84" i="63"/>
  <c r="F83" i="63"/>
  <c r="F82" i="63"/>
  <c r="F81" i="63"/>
  <c r="F80" i="63"/>
  <c r="F79" i="63"/>
  <c r="F78" i="63"/>
  <c r="F77" i="63"/>
  <c r="F76" i="63"/>
  <c r="F75" i="63"/>
  <c r="F74" i="63"/>
  <c r="F73" i="63"/>
  <c r="F72" i="63"/>
  <c r="F71" i="63"/>
  <c r="F70" i="63"/>
  <c r="F69" i="63"/>
  <c r="F68" i="63"/>
  <c r="F67" i="63"/>
  <c r="F66" i="63"/>
  <c r="F65" i="63"/>
  <c r="F64" i="63"/>
  <c r="F63" i="63"/>
  <c r="F62" i="63"/>
  <c r="F61" i="63"/>
  <c r="F60" i="63"/>
  <c r="F59" i="63"/>
  <c r="F58" i="63"/>
  <c r="F57" i="63"/>
  <c r="F56" i="63"/>
  <c r="F55" i="63"/>
  <c r="F54" i="63"/>
  <c r="F53" i="63"/>
  <c r="F52" i="63"/>
  <c r="F51" i="63"/>
  <c r="F50" i="63"/>
  <c r="F49" i="63"/>
  <c r="F48" i="63"/>
  <c r="F47" i="63"/>
  <c r="F46" i="63"/>
  <c r="F45" i="63"/>
  <c r="F44" i="63"/>
  <c r="F43" i="63"/>
  <c r="F2" i="63"/>
  <c r="F136" i="62"/>
  <c r="F135" i="62"/>
  <c r="F134" i="62"/>
  <c r="F133" i="62"/>
  <c r="F132" i="62"/>
  <c r="F131" i="62"/>
  <c r="F130" i="62"/>
  <c r="F129" i="62"/>
  <c r="F128" i="62"/>
  <c r="F127" i="62"/>
  <c r="F126" i="62"/>
  <c r="F125" i="62"/>
  <c r="F124" i="62"/>
  <c r="F123" i="62"/>
  <c r="F122" i="62"/>
  <c r="F121" i="62"/>
  <c r="F120" i="62"/>
  <c r="F119" i="62"/>
  <c r="F118" i="62"/>
  <c r="F117" i="62"/>
  <c r="F116" i="62"/>
  <c r="F115" i="62"/>
  <c r="F114" i="62"/>
  <c r="F113" i="62"/>
  <c r="F112" i="62"/>
  <c r="F111" i="62"/>
  <c r="F110" i="62"/>
  <c r="F109" i="62"/>
  <c r="F108" i="62"/>
  <c r="F107" i="62"/>
  <c r="F106" i="62"/>
  <c r="F104" i="62"/>
  <c r="F103" i="62"/>
  <c r="F102" i="62"/>
  <c r="F101" i="62"/>
  <c r="F100" i="62"/>
  <c r="F99" i="62"/>
  <c r="F98" i="62"/>
  <c r="F97" i="62"/>
  <c r="F96" i="62"/>
  <c r="F95" i="62"/>
  <c r="F94" i="62"/>
  <c r="F93" i="62"/>
  <c r="F92" i="62"/>
  <c r="F91" i="62"/>
  <c r="F90" i="62"/>
  <c r="F89" i="62"/>
  <c r="F88" i="62"/>
  <c r="F87" i="62"/>
  <c r="F86" i="62"/>
  <c r="F85" i="62"/>
  <c r="F84" i="62"/>
  <c r="F83" i="62"/>
  <c r="F82" i="62"/>
  <c r="F81" i="62"/>
  <c r="F80" i="62"/>
  <c r="F79" i="62"/>
  <c r="F78" i="62"/>
  <c r="F77" i="62"/>
  <c r="F76" i="62"/>
  <c r="F75" i="62"/>
  <c r="F74" i="62"/>
  <c r="F73" i="62"/>
  <c r="F72" i="62"/>
  <c r="F71" i="62"/>
  <c r="F70" i="62"/>
  <c r="F69" i="62"/>
  <c r="F68" i="62"/>
  <c r="F67" i="62"/>
  <c r="F66" i="62"/>
  <c r="F65" i="62"/>
  <c r="F63" i="62"/>
  <c r="F60" i="62"/>
  <c r="F59" i="62"/>
  <c r="F58" i="62"/>
  <c r="F57" i="62"/>
  <c r="F56" i="62"/>
  <c r="F55" i="62"/>
  <c r="F54" i="62"/>
  <c r="F53" i="62"/>
  <c r="F52" i="62"/>
  <c r="F51" i="62"/>
  <c r="F50" i="62"/>
  <c r="F49" i="62"/>
  <c r="F48" i="62"/>
  <c r="F47" i="62"/>
  <c r="F46" i="62"/>
  <c r="F45" i="62"/>
  <c r="F44" i="62"/>
  <c r="F43" i="62"/>
  <c r="F42" i="62"/>
  <c r="F41" i="62"/>
  <c r="F39" i="62"/>
  <c r="F38" i="62"/>
  <c r="F2" i="62"/>
  <c r="F95" i="51"/>
  <c r="F94" i="51"/>
  <c r="F93" i="51"/>
  <c r="F92" i="51"/>
  <c r="F91" i="51"/>
  <c r="F90" i="51"/>
  <c r="F89" i="51"/>
  <c r="F88" i="51"/>
  <c r="F87" i="51"/>
  <c r="F86" i="51"/>
  <c r="F85" i="51"/>
  <c r="F84" i="51"/>
  <c r="F83" i="51"/>
  <c r="F82" i="51"/>
  <c r="F81" i="51"/>
  <c r="F80" i="51"/>
  <c r="F79" i="51"/>
  <c r="F78" i="51"/>
  <c r="F77" i="51"/>
  <c r="F76" i="51"/>
  <c r="F75" i="51"/>
  <c r="F74" i="51"/>
  <c r="F73" i="51"/>
  <c r="F72" i="51"/>
  <c r="F71" i="51"/>
  <c r="F70" i="51"/>
  <c r="F69" i="51"/>
  <c r="F68" i="51"/>
  <c r="F66" i="51"/>
  <c r="F65" i="51"/>
  <c r="F64" i="51"/>
  <c r="F63" i="51"/>
  <c r="F62" i="51"/>
  <c r="F61" i="51"/>
  <c r="F60" i="51"/>
  <c r="F59" i="51"/>
  <c r="F57" i="51"/>
  <c r="F56" i="51"/>
  <c r="F55" i="51"/>
  <c r="F54" i="51"/>
  <c r="F53" i="51"/>
  <c r="F52" i="51"/>
  <c r="F51" i="51"/>
  <c r="F50" i="51"/>
  <c r="F49" i="51"/>
  <c r="F48" i="51"/>
  <c r="F47" i="51"/>
  <c r="F46" i="51"/>
  <c r="F45" i="51"/>
  <c r="F44" i="51"/>
  <c r="F43" i="51"/>
  <c r="F40" i="51"/>
  <c r="F39" i="51"/>
  <c r="F38" i="51"/>
  <c r="F37" i="51"/>
  <c r="F36" i="51"/>
  <c r="F35" i="51"/>
  <c r="F34" i="51"/>
  <c r="F33" i="51"/>
  <c r="F32" i="51"/>
  <c r="F31" i="51"/>
  <c r="F30" i="51"/>
  <c r="F29" i="51"/>
  <c r="F28" i="51"/>
  <c r="F27" i="51"/>
  <c r="F26" i="51"/>
  <c r="F25" i="51"/>
  <c r="F24" i="51"/>
  <c r="F23" i="51"/>
  <c r="F22" i="51"/>
  <c r="F21" i="51"/>
  <c r="F20" i="51"/>
  <c r="F19" i="51"/>
  <c r="F18" i="51"/>
  <c r="F17" i="51"/>
  <c r="F16" i="51"/>
  <c r="F15" i="51"/>
  <c r="F14" i="51"/>
  <c r="F13" i="51"/>
  <c r="F12" i="51"/>
  <c r="F11" i="51"/>
  <c r="F10" i="51"/>
  <c r="F9" i="51"/>
  <c r="F8" i="51"/>
  <c r="F7" i="51"/>
  <c r="F6" i="51"/>
  <c r="F5" i="51"/>
  <c r="F4" i="51"/>
  <c r="F3" i="51"/>
  <c r="F2" i="51"/>
  <c r="F307" i="72"/>
  <c r="F306" i="72"/>
  <c r="F298" i="72"/>
  <c r="F297" i="72"/>
  <c r="F296" i="72"/>
  <c r="F295" i="72"/>
  <c r="F294" i="72"/>
  <c r="F293" i="72"/>
  <c r="F292" i="72"/>
  <c r="F291" i="72"/>
  <c r="F290" i="72"/>
  <c r="F289" i="72"/>
  <c r="F288" i="72"/>
  <c r="F287" i="72"/>
  <c r="F286" i="72"/>
  <c r="F285" i="72"/>
  <c r="F284" i="72"/>
  <c r="F283" i="72"/>
  <c r="F282" i="72"/>
  <c r="F281" i="72"/>
  <c r="F280" i="72"/>
  <c r="F279" i="72"/>
  <c r="F278" i="72"/>
  <c r="F277" i="72"/>
  <c r="F276" i="72"/>
  <c r="F275" i="72"/>
  <c r="F274" i="72"/>
  <c r="F273" i="72"/>
  <c r="F272" i="72"/>
  <c r="F270" i="72"/>
  <c r="F269" i="72"/>
  <c r="F268" i="72"/>
  <c r="F267" i="72"/>
  <c r="F266" i="72"/>
  <c r="F265" i="72"/>
  <c r="F264" i="72"/>
  <c r="F263" i="72"/>
  <c r="F262" i="72"/>
  <c r="F261" i="72"/>
  <c r="F260" i="72"/>
  <c r="F259" i="72"/>
  <c r="F258" i="72"/>
  <c r="F257" i="72"/>
  <c r="F256" i="72"/>
  <c r="F255" i="72"/>
  <c r="F254" i="72"/>
  <c r="F253" i="72"/>
  <c r="F252" i="72"/>
  <c r="F251" i="72"/>
  <c r="F250" i="72"/>
  <c r="F249" i="72"/>
  <c r="F248" i="72"/>
  <c r="F247" i="72"/>
  <c r="F246" i="72"/>
  <c r="F245" i="72"/>
  <c r="F244" i="72"/>
  <c r="F243" i="72"/>
  <c r="F242" i="72"/>
  <c r="F241" i="72"/>
  <c r="F240" i="72"/>
  <c r="F239" i="72"/>
  <c r="F238" i="72"/>
  <c r="F237" i="72"/>
  <c r="F236" i="72"/>
  <c r="F225" i="72"/>
  <c r="F224" i="72"/>
  <c r="F223" i="72"/>
  <c r="F222" i="72"/>
  <c r="F221" i="72"/>
  <c r="F220" i="72"/>
  <c r="F219" i="72"/>
  <c r="F218" i="72"/>
  <c r="F216" i="72"/>
  <c r="F215" i="72"/>
  <c r="F214" i="72"/>
  <c r="F213" i="72"/>
  <c r="F212" i="72"/>
  <c r="F211" i="72"/>
  <c r="F210" i="72"/>
  <c r="F209" i="72"/>
  <c r="F207" i="72"/>
  <c r="F206" i="72"/>
  <c r="F205" i="72"/>
  <c r="F204" i="72"/>
  <c r="F203" i="72"/>
  <c r="F202" i="72"/>
  <c r="F201" i="72"/>
  <c r="F200" i="72"/>
  <c r="F199" i="72"/>
  <c r="F198" i="72"/>
  <c r="F197" i="72"/>
  <c r="F196" i="72"/>
  <c r="F195" i="72"/>
  <c r="F194" i="72"/>
  <c r="F193" i="72"/>
  <c r="F192" i="72"/>
  <c r="F191" i="72"/>
  <c r="F190" i="72"/>
  <c r="F189" i="72"/>
  <c r="F188" i="72"/>
  <c r="F187" i="72"/>
  <c r="F186" i="72"/>
  <c r="F185" i="72"/>
  <c r="F184" i="72"/>
  <c r="F183" i="72"/>
  <c r="F182" i="72"/>
  <c r="F181" i="72"/>
  <c r="F180" i="72"/>
  <c r="F179" i="72"/>
  <c r="F178" i="72"/>
  <c r="F177" i="72"/>
  <c r="F176" i="72"/>
  <c r="F175" i="72"/>
  <c r="F174" i="72"/>
  <c r="F163" i="72"/>
  <c r="F162" i="72"/>
  <c r="F161" i="72"/>
  <c r="F160" i="72"/>
  <c r="F159" i="72"/>
  <c r="F158" i="72"/>
  <c r="F157" i="72"/>
  <c r="F156" i="72"/>
  <c r="F155" i="72"/>
  <c r="F154" i="72"/>
  <c r="F153" i="72"/>
  <c r="F152" i="72"/>
  <c r="F151" i="72"/>
  <c r="F150" i="72"/>
  <c r="F149" i="72"/>
  <c r="F148" i="72"/>
  <c r="F147" i="72"/>
  <c r="F146" i="72"/>
  <c r="F145" i="72"/>
  <c r="F144" i="72"/>
  <c r="F143" i="72"/>
  <c r="F142" i="72"/>
  <c r="F141" i="72"/>
  <c r="F140" i="72"/>
  <c r="F139" i="72"/>
  <c r="F138" i="72"/>
  <c r="F137" i="72"/>
  <c r="F136" i="72"/>
  <c r="F135" i="72"/>
  <c r="F134" i="72"/>
  <c r="F133" i="72"/>
  <c r="F132" i="72"/>
  <c r="F131" i="72"/>
  <c r="F130" i="72"/>
  <c r="F129" i="72"/>
  <c r="F128" i="72"/>
  <c r="F127" i="72"/>
  <c r="F126" i="72"/>
  <c r="F125" i="72"/>
  <c r="F124" i="72"/>
  <c r="F123" i="72"/>
  <c r="F122" i="72"/>
  <c r="F121" i="72"/>
  <c r="F120" i="72"/>
  <c r="F119" i="72"/>
  <c r="F118" i="72"/>
  <c r="F117" i="72"/>
  <c r="F116" i="72"/>
  <c r="F115" i="72"/>
  <c r="F114" i="72"/>
  <c r="F113" i="72"/>
  <c r="F112" i="72"/>
  <c r="F111" i="72"/>
  <c r="F100" i="72"/>
  <c r="F99" i="72"/>
  <c r="F98" i="72"/>
  <c r="F97" i="72"/>
  <c r="F96" i="72"/>
  <c r="F95" i="72"/>
  <c r="F94" i="72"/>
  <c r="F93" i="72"/>
  <c r="F92" i="72"/>
  <c r="F91" i="72"/>
  <c r="F90" i="72"/>
  <c r="F89" i="72"/>
  <c r="F88" i="72"/>
  <c r="F87" i="72"/>
  <c r="F86" i="72"/>
  <c r="F85" i="72"/>
  <c r="F84" i="72"/>
  <c r="F83" i="72"/>
  <c r="F82" i="72"/>
  <c r="F81" i="72"/>
  <c r="F80" i="72"/>
  <c r="F79" i="72"/>
  <c r="F78" i="72"/>
  <c r="F77" i="72"/>
  <c r="F76" i="72"/>
  <c r="F75" i="72"/>
  <c r="F74" i="72"/>
  <c r="F73" i="72"/>
  <c r="F72" i="72"/>
  <c r="F71" i="72"/>
  <c r="F70" i="72"/>
  <c r="F69" i="72"/>
  <c r="F68" i="72"/>
  <c r="F67" i="72"/>
  <c r="F66" i="72"/>
  <c r="F65" i="72"/>
  <c r="F64" i="72"/>
  <c r="F63" i="72"/>
  <c r="F62" i="72"/>
  <c r="F61" i="72"/>
  <c r="F60" i="72"/>
  <c r="F59" i="72"/>
  <c r="F58" i="72"/>
  <c r="F57" i="72"/>
  <c r="F56" i="72"/>
  <c r="F55" i="72"/>
  <c r="F54" i="72"/>
  <c r="F53" i="72"/>
  <c r="F52" i="72"/>
  <c r="F51" i="72"/>
  <c r="F50" i="72"/>
  <c r="F49" i="72"/>
  <c r="F48" i="72"/>
  <c r="F37" i="72"/>
  <c r="F36" i="72"/>
  <c r="F35" i="72"/>
  <c r="F34" i="72"/>
  <c r="F33" i="72"/>
  <c r="F32" i="72"/>
  <c r="F31" i="72"/>
  <c r="F30" i="72"/>
  <c r="F29" i="72"/>
  <c r="F28" i="72"/>
  <c r="F27" i="72"/>
  <c r="F26" i="72"/>
  <c r="F25" i="72"/>
  <c r="F24" i="72"/>
  <c r="F23" i="72"/>
  <c r="F22" i="72"/>
  <c r="F21" i="72"/>
  <c r="F20" i="72"/>
  <c r="F19" i="72"/>
  <c r="F18" i="72"/>
  <c r="F17" i="72"/>
  <c r="F16" i="72"/>
  <c r="F15" i="72"/>
  <c r="F14" i="72"/>
  <c r="F13" i="72"/>
  <c r="F12" i="72"/>
  <c r="F11" i="72"/>
  <c r="F10" i="72"/>
  <c r="F9" i="72"/>
  <c r="F8" i="72"/>
  <c r="F7" i="72"/>
  <c r="F6" i="72"/>
  <c r="F5" i="72"/>
  <c r="F4" i="72"/>
  <c r="F3" i="72"/>
  <c r="F2" i="72"/>
  <c r="F306" i="71"/>
  <c r="F307" i="71" s="1"/>
  <c r="F298" i="71"/>
  <c r="F297" i="71"/>
  <c r="F296" i="71"/>
  <c r="F295" i="71"/>
  <c r="F294" i="71"/>
  <c r="F293" i="71"/>
  <c r="F292" i="71"/>
  <c r="F291" i="71"/>
  <c r="F290" i="71"/>
  <c r="F289" i="71"/>
  <c r="F288" i="71"/>
  <c r="F287" i="71"/>
  <c r="F286" i="71"/>
  <c r="F285" i="71"/>
  <c r="F284" i="71"/>
  <c r="F283" i="71"/>
  <c r="F282" i="71"/>
  <c r="F281" i="71"/>
  <c r="F280" i="71"/>
  <c r="F279" i="71"/>
  <c r="F278" i="71"/>
  <c r="F277" i="71"/>
  <c r="F276" i="71"/>
  <c r="F275" i="71"/>
  <c r="F274" i="71"/>
  <c r="F273" i="71"/>
  <c r="F272" i="71"/>
  <c r="F271" i="71"/>
  <c r="F270" i="71"/>
  <c r="F269" i="71"/>
  <c r="F268" i="71"/>
  <c r="F267" i="71"/>
  <c r="F266" i="71"/>
  <c r="F265" i="71"/>
  <c r="F264" i="71"/>
  <c r="F263" i="71"/>
  <c r="F262" i="71"/>
  <c r="F261" i="71"/>
  <c r="F260" i="71"/>
  <c r="F259" i="71"/>
  <c r="F258" i="71"/>
  <c r="F257" i="71"/>
  <c r="F256" i="71"/>
  <c r="F255" i="71"/>
  <c r="F254" i="71"/>
  <c r="F243" i="71"/>
  <c r="F242" i="71"/>
  <c r="F241" i="71"/>
  <c r="F240" i="71"/>
  <c r="F239" i="71"/>
  <c r="F238" i="71"/>
  <c r="F237" i="71"/>
  <c r="F236" i="71"/>
  <c r="F235" i="71"/>
  <c r="F234" i="71"/>
  <c r="F233" i="71"/>
  <c r="F232" i="71"/>
  <c r="F231" i="71"/>
  <c r="F230" i="71"/>
  <c r="F229" i="71"/>
  <c r="F228" i="71"/>
  <c r="F227" i="71"/>
  <c r="F226" i="71"/>
  <c r="F225" i="71"/>
  <c r="F224" i="71"/>
  <c r="F223" i="71"/>
  <c r="F222" i="71"/>
  <c r="F221" i="71"/>
  <c r="F220" i="71"/>
  <c r="F219" i="71"/>
  <c r="F218" i="71"/>
  <c r="F217" i="71"/>
  <c r="F216" i="71"/>
  <c r="F215" i="71"/>
  <c r="F214" i="71"/>
  <c r="F213" i="71"/>
  <c r="F212" i="71"/>
  <c r="F211" i="71"/>
  <c r="F210" i="71"/>
  <c r="F209" i="71"/>
  <c r="F208" i="71"/>
  <c r="F207" i="71"/>
  <c r="F206" i="71"/>
  <c r="F205" i="71"/>
  <c r="F204" i="71"/>
  <c r="F203" i="71"/>
  <c r="F202" i="71"/>
  <c r="F201" i="71"/>
  <c r="F200" i="71"/>
  <c r="F199" i="71"/>
  <c r="F198" i="71"/>
  <c r="F197" i="71"/>
  <c r="F196" i="71"/>
  <c r="F195" i="71"/>
  <c r="F194" i="71"/>
  <c r="F193" i="71"/>
  <c r="F192" i="71"/>
  <c r="F181" i="71"/>
  <c r="F180" i="71"/>
  <c r="F179" i="71"/>
  <c r="F178" i="71"/>
  <c r="F177" i="71"/>
  <c r="F176" i="71"/>
  <c r="F175" i="71"/>
  <c r="F174" i="71"/>
  <c r="F173" i="71"/>
  <c r="F172" i="71"/>
  <c r="F171" i="71"/>
  <c r="F170" i="71"/>
  <c r="F169" i="71"/>
  <c r="F168" i="71"/>
  <c r="F167" i="71"/>
  <c r="F166" i="71"/>
  <c r="F165" i="71"/>
  <c r="F164" i="71"/>
  <c r="F163" i="71"/>
  <c r="F162" i="71"/>
  <c r="F161" i="71"/>
  <c r="F160" i="71"/>
  <c r="F159" i="71"/>
  <c r="F158" i="71"/>
  <c r="F157" i="71"/>
  <c r="F156" i="71"/>
  <c r="F155" i="71"/>
  <c r="F154" i="71"/>
  <c r="F153" i="71"/>
  <c r="F152" i="71"/>
  <c r="F151" i="71"/>
  <c r="F150" i="71"/>
  <c r="F149" i="71"/>
  <c r="F148" i="71"/>
  <c r="F147" i="71"/>
  <c r="F146" i="71"/>
  <c r="F145" i="71"/>
  <c r="F144" i="71"/>
  <c r="F143" i="71"/>
  <c r="F142" i="71"/>
  <c r="F141" i="71"/>
  <c r="F140" i="71"/>
  <c r="F139" i="71"/>
  <c r="F138" i="71"/>
  <c r="F137" i="71"/>
  <c r="F136" i="71"/>
  <c r="F135" i="71"/>
  <c r="F134" i="71"/>
  <c r="F133" i="71"/>
  <c r="F132" i="71"/>
  <c r="F131" i="71"/>
  <c r="F130" i="71"/>
  <c r="F129" i="71"/>
  <c r="F118" i="71"/>
  <c r="F117" i="71"/>
  <c r="F116" i="71"/>
  <c r="F115" i="71"/>
  <c r="F114" i="71"/>
  <c r="F113" i="71"/>
  <c r="F112" i="71"/>
  <c r="F111" i="71"/>
  <c r="F110" i="71"/>
  <c r="F109" i="71"/>
  <c r="F108" i="71"/>
  <c r="F107" i="71"/>
  <c r="F106" i="71"/>
  <c r="F105" i="71"/>
  <c r="F104" i="71"/>
  <c r="F103" i="71"/>
  <c r="F102" i="71"/>
  <c r="F101" i="71"/>
  <c r="F100" i="71"/>
  <c r="F99" i="71"/>
  <c r="F98" i="71"/>
  <c r="F97" i="71"/>
  <c r="F96" i="71"/>
  <c r="F95" i="71"/>
  <c r="F94" i="71"/>
  <c r="F93" i="71"/>
  <c r="F92" i="71"/>
  <c r="F91" i="71"/>
  <c r="F90" i="71"/>
  <c r="F89" i="71"/>
  <c r="F88" i="71"/>
  <c r="F87" i="71"/>
  <c r="F86" i="71"/>
  <c r="F85" i="71"/>
  <c r="F84" i="71"/>
  <c r="F83" i="71"/>
  <c r="F82" i="71"/>
  <c r="F81" i="71"/>
  <c r="F80" i="71"/>
  <c r="F79" i="71"/>
  <c r="F78" i="71"/>
  <c r="F77" i="71"/>
  <c r="F76" i="71"/>
  <c r="F75" i="71"/>
  <c r="F74" i="71"/>
  <c r="F73" i="71"/>
  <c r="F72" i="71"/>
  <c r="F71" i="71"/>
  <c r="F70" i="71"/>
  <c r="F69" i="71"/>
  <c r="F68" i="71"/>
  <c r="F67" i="71"/>
  <c r="F66" i="71"/>
  <c r="F55" i="71"/>
  <c r="F54" i="71"/>
  <c r="F53" i="71"/>
  <c r="F52" i="71"/>
  <c r="F51" i="71"/>
  <c r="F50" i="71"/>
  <c r="F49" i="71"/>
  <c r="F48" i="71"/>
  <c r="F47" i="71"/>
  <c r="F46" i="71"/>
  <c r="F45" i="71"/>
  <c r="F44" i="71"/>
  <c r="F43" i="71"/>
  <c r="F42" i="71"/>
  <c r="F41" i="71"/>
  <c r="F40" i="71"/>
  <c r="F39" i="71"/>
  <c r="F38" i="71"/>
  <c r="F37" i="71"/>
  <c r="F36" i="71"/>
  <c r="F35" i="71"/>
  <c r="F34" i="71"/>
  <c r="F33" i="71"/>
  <c r="F32" i="71"/>
  <c r="F31" i="71"/>
  <c r="F30" i="71"/>
  <c r="F29" i="71"/>
  <c r="F28" i="71"/>
  <c r="F27" i="71"/>
  <c r="F26" i="71"/>
  <c r="F25" i="71"/>
  <c r="F24" i="71"/>
  <c r="F23" i="71"/>
  <c r="F22" i="71"/>
  <c r="F21" i="71"/>
  <c r="F20" i="71"/>
  <c r="F19" i="71"/>
  <c r="F18" i="71"/>
  <c r="F17" i="71"/>
  <c r="F16" i="71"/>
  <c r="F15" i="71"/>
  <c r="F14" i="71"/>
  <c r="F13" i="71"/>
  <c r="F12" i="71"/>
  <c r="F307" i="70"/>
  <c r="F306" i="70"/>
  <c r="F298" i="70"/>
  <c r="F297" i="70"/>
  <c r="F296" i="70"/>
  <c r="F295" i="70"/>
  <c r="F294" i="70"/>
  <c r="F293" i="70"/>
  <c r="F292" i="70"/>
  <c r="F291" i="70"/>
  <c r="F290" i="70"/>
  <c r="F289" i="70"/>
  <c r="F278" i="70"/>
  <c r="F277" i="70"/>
  <c r="F276" i="70"/>
  <c r="F275" i="70"/>
  <c r="F274" i="70"/>
  <c r="F273" i="70"/>
  <c r="F272" i="70"/>
  <c r="F271" i="70"/>
  <c r="F270" i="70"/>
  <c r="F269" i="70"/>
  <c r="F268" i="70"/>
  <c r="F267" i="70"/>
  <c r="F266" i="70"/>
  <c r="F265" i="70"/>
  <c r="F264" i="70"/>
  <c r="F263" i="70"/>
  <c r="F262" i="70"/>
  <c r="F261" i="70"/>
  <c r="F260" i="70"/>
  <c r="F259" i="70"/>
  <c r="F258" i="70"/>
  <c r="F257" i="70"/>
  <c r="F256" i="70"/>
  <c r="F255" i="70"/>
  <c r="F254" i="70"/>
  <c r="F253" i="70"/>
  <c r="F252" i="70"/>
  <c r="F251" i="70"/>
  <c r="F250" i="70"/>
  <c r="F249" i="70"/>
  <c r="F248" i="70"/>
  <c r="F247" i="70"/>
  <c r="F246" i="70"/>
  <c r="F245" i="70"/>
  <c r="F244" i="70"/>
  <c r="F243" i="70"/>
  <c r="F242" i="70"/>
  <c r="F241" i="70"/>
  <c r="F240" i="70"/>
  <c r="F239" i="70"/>
  <c r="F238" i="70"/>
  <c r="F237" i="70"/>
  <c r="F236" i="70"/>
  <c r="F235" i="70"/>
  <c r="F234" i="70"/>
  <c r="F233" i="70"/>
  <c r="F232" i="70"/>
  <c r="F231" i="70"/>
  <c r="F230" i="70"/>
  <c r="F229" i="70"/>
  <c r="F228" i="70"/>
  <c r="F227" i="70"/>
  <c r="F226" i="70"/>
  <c r="F225" i="70"/>
  <c r="F224" i="70"/>
  <c r="F223" i="70"/>
  <c r="F222" i="70"/>
  <c r="F221" i="70"/>
  <c r="F220" i="70"/>
  <c r="F219" i="70"/>
  <c r="F218" i="70"/>
  <c r="F207" i="70"/>
  <c r="F206" i="70"/>
  <c r="F205" i="70"/>
  <c r="F204" i="70"/>
  <c r="F203" i="70"/>
  <c r="F202" i="70"/>
  <c r="F201" i="70"/>
  <c r="F200" i="70"/>
  <c r="F199" i="70"/>
  <c r="F198" i="70"/>
  <c r="F197" i="70"/>
  <c r="F196" i="70"/>
  <c r="F195" i="70"/>
  <c r="F194" i="70"/>
  <c r="F193" i="70"/>
  <c r="F192" i="70"/>
  <c r="F191" i="70"/>
  <c r="F190" i="70"/>
  <c r="F189" i="70"/>
  <c r="F188" i="70"/>
  <c r="F187" i="70"/>
  <c r="F186" i="70"/>
  <c r="F185" i="70"/>
  <c r="F184" i="70"/>
  <c r="F183" i="70"/>
  <c r="F182" i="70"/>
  <c r="F181" i="70"/>
  <c r="F180" i="70"/>
  <c r="F179" i="70"/>
  <c r="F178" i="70"/>
  <c r="F177" i="70"/>
  <c r="F176" i="70"/>
  <c r="F175" i="70"/>
  <c r="F174" i="70"/>
  <c r="F173" i="70"/>
  <c r="F172" i="70"/>
  <c r="F171" i="70"/>
  <c r="F170" i="70"/>
  <c r="F169" i="70"/>
  <c r="F168" i="70"/>
  <c r="F167" i="70"/>
  <c r="F166" i="70"/>
  <c r="F165" i="70"/>
  <c r="F164" i="70"/>
  <c r="F163" i="70"/>
  <c r="F162" i="70"/>
  <c r="F161" i="70"/>
  <c r="F160" i="70"/>
  <c r="F159" i="70"/>
  <c r="F158" i="70"/>
  <c r="F157" i="70"/>
  <c r="F156" i="70"/>
  <c r="F145" i="70"/>
  <c r="F144" i="70"/>
  <c r="F143" i="70"/>
  <c r="F142" i="70"/>
  <c r="F141" i="70"/>
  <c r="F140" i="70"/>
  <c r="F139" i="70"/>
  <c r="F138" i="70"/>
  <c r="F137" i="70"/>
  <c r="F136" i="70"/>
  <c r="F135" i="70"/>
  <c r="F134" i="70"/>
  <c r="F133" i="70"/>
  <c r="F132" i="70"/>
  <c r="F131" i="70"/>
  <c r="F130" i="70"/>
  <c r="F129" i="70"/>
  <c r="F128" i="70"/>
  <c r="F127" i="70"/>
  <c r="F126" i="70"/>
  <c r="F125" i="70"/>
  <c r="F124" i="70"/>
  <c r="F123" i="70"/>
  <c r="F122" i="70"/>
  <c r="F121" i="70"/>
  <c r="F120" i="70"/>
  <c r="F119" i="70"/>
  <c r="F118" i="70"/>
  <c r="F117" i="70"/>
  <c r="F116" i="70"/>
  <c r="F115" i="70"/>
  <c r="F114" i="70"/>
  <c r="F113" i="70"/>
  <c r="F112" i="70"/>
  <c r="F111" i="70"/>
  <c r="F110" i="70"/>
  <c r="F109" i="70"/>
  <c r="F108" i="70"/>
  <c r="F107" i="70"/>
  <c r="F106" i="70"/>
  <c r="F105" i="70"/>
  <c r="F104" i="70"/>
  <c r="F103" i="70"/>
  <c r="F102" i="70"/>
  <c r="F101" i="70"/>
  <c r="F100" i="70"/>
  <c r="F99" i="70"/>
  <c r="F98" i="70"/>
  <c r="F97" i="70"/>
  <c r="F96" i="70"/>
  <c r="F95" i="70"/>
  <c r="F94" i="70"/>
  <c r="F93" i="70"/>
  <c r="F82" i="70"/>
  <c r="F81" i="70"/>
  <c r="F80" i="70"/>
  <c r="F79" i="70"/>
  <c r="F78" i="70"/>
  <c r="F77" i="70"/>
  <c r="F76" i="70"/>
  <c r="F75" i="70"/>
  <c r="F74" i="70"/>
  <c r="F73" i="70"/>
  <c r="F72" i="70"/>
  <c r="F71" i="70"/>
  <c r="F70" i="70"/>
  <c r="F69" i="70"/>
  <c r="F68" i="70"/>
  <c r="F67" i="70"/>
  <c r="F66" i="70"/>
  <c r="F65" i="70"/>
  <c r="F64" i="70"/>
  <c r="F63" i="70"/>
  <c r="F62" i="70"/>
  <c r="F61" i="70"/>
  <c r="F60" i="70"/>
  <c r="F59" i="70"/>
  <c r="F58" i="70"/>
  <c r="F57" i="70"/>
  <c r="F56" i="70"/>
  <c r="F55" i="70"/>
  <c r="F54" i="70"/>
  <c r="F53" i="70"/>
  <c r="F52" i="70"/>
  <c r="F51" i="70"/>
  <c r="F50" i="70"/>
  <c r="F49" i="70"/>
  <c r="F48" i="70"/>
  <c r="F47" i="70"/>
  <c r="F46" i="70"/>
  <c r="F45" i="70"/>
  <c r="F44" i="70"/>
  <c r="F43" i="70"/>
  <c r="F42" i="70"/>
  <c r="F41" i="70"/>
  <c r="F40" i="70"/>
  <c r="F39" i="70"/>
  <c r="F28" i="70"/>
  <c r="F27" i="70"/>
  <c r="F26" i="70"/>
  <c r="F25" i="70"/>
  <c r="F24" i="70"/>
  <c r="F23" i="70"/>
  <c r="F22" i="70"/>
  <c r="F21" i="70"/>
  <c r="F19" i="70"/>
  <c r="F18" i="70"/>
  <c r="F17" i="70"/>
  <c r="F16" i="70"/>
  <c r="F15" i="70"/>
  <c r="F14" i="70"/>
  <c r="F13" i="70"/>
  <c r="F12" i="70"/>
  <c r="F11" i="70"/>
  <c r="F10" i="70"/>
  <c r="F9" i="70"/>
  <c r="F8" i="70"/>
  <c r="F7" i="70"/>
  <c r="F6" i="70"/>
  <c r="F5" i="70"/>
  <c r="F4" i="70"/>
  <c r="F3" i="70"/>
  <c r="F2" i="70"/>
  <c r="F306" i="69"/>
  <c r="F307" i="69" s="1"/>
  <c r="F298" i="69"/>
  <c r="F297" i="69"/>
  <c r="F296" i="69"/>
  <c r="F295" i="69"/>
  <c r="F294" i="69"/>
  <c r="F293" i="69"/>
  <c r="F292" i="69"/>
  <c r="F291" i="69"/>
  <c r="F290" i="69"/>
  <c r="F289" i="69"/>
  <c r="F288" i="69"/>
  <c r="F287" i="69"/>
  <c r="F286" i="69"/>
  <c r="F285" i="69"/>
  <c r="F284" i="69"/>
  <c r="F283" i="69"/>
  <c r="F282" i="69"/>
  <c r="F281" i="69"/>
  <c r="F280" i="69"/>
  <c r="F279" i="69"/>
  <c r="F278" i="69"/>
  <c r="F277" i="69"/>
  <c r="F276" i="69"/>
  <c r="F275" i="69"/>
  <c r="F274" i="69"/>
  <c r="F273" i="69"/>
  <c r="F272" i="69"/>
  <c r="F271" i="69"/>
  <c r="F270" i="69"/>
  <c r="F269" i="69"/>
  <c r="F268" i="69"/>
  <c r="F267" i="69"/>
  <c r="F266" i="69"/>
  <c r="F265" i="69"/>
  <c r="F264" i="69"/>
  <c r="F263" i="69"/>
  <c r="F262" i="69"/>
  <c r="F261" i="69"/>
  <c r="F260" i="69"/>
  <c r="F259" i="69"/>
  <c r="F258" i="69"/>
  <c r="F257" i="69"/>
  <c r="F256" i="69"/>
  <c r="F255" i="69"/>
  <c r="F254" i="69"/>
  <c r="F253" i="69"/>
  <c r="F252" i="69"/>
  <c r="F251" i="69"/>
  <c r="F250" i="69"/>
  <c r="F249" i="69"/>
  <c r="F248" i="69"/>
  <c r="F247" i="69"/>
  <c r="F246" i="69"/>
  <c r="F245" i="69"/>
  <c r="F244" i="69"/>
  <c r="F243" i="69"/>
  <c r="F242" i="69"/>
  <c r="F241" i="69"/>
  <c r="F240" i="69"/>
  <c r="F239" i="69"/>
  <c r="F238" i="69"/>
  <c r="F237" i="69"/>
  <c r="F236" i="69"/>
  <c r="F225" i="69"/>
  <c r="F224" i="69"/>
  <c r="F223" i="69"/>
  <c r="F222" i="69"/>
  <c r="F221" i="69"/>
  <c r="F220" i="69"/>
  <c r="F219" i="69"/>
  <c r="F218" i="69"/>
  <c r="F217" i="69"/>
  <c r="F216" i="69"/>
  <c r="F215" i="69"/>
  <c r="F214" i="69"/>
  <c r="F213" i="69"/>
  <c r="F212" i="69"/>
  <c r="F211" i="69"/>
  <c r="F210" i="69"/>
  <c r="F209" i="69"/>
  <c r="F208" i="69"/>
  <c r="F207" i="69"/>
  <c r="F206" i="69"/>
  <c r="F205" i="69"/>
  <c r="F204" i="69"/>
  <c r="F203" i="69"/>
  <c r="F202" i="69"/>
  <c r="F201" i="69"/>
  <c r="F200" i="69"/>
  <c r="F199" i="69"/>
  <c r="F198" i="69"/>
  <c r="F197" i="69"/>
  <c r="F196" i="69"/>
  <c r="F195" i="69"/>
  <c r="F194" i="69"/>
  <c r="F193" i="69"/>
  <c r="F192" i="69"/>
  <c r="F191" i="69"/>
  <c r="F190" i="69"/>
  <c r="F189" i="69"/>
  <c r="F188" i="69"/>
  <c r="F187" i="69"/>
  <c r="F186" i="69"/>
  <c r="F185" i="69"/>
  <c r="F184" i="69"/>
  <c r="F183" i="69"/>
  <c r="F182" i="69"/>
  <c r="F181" i="69"/>
  <c r="F180" i="69"/>
  <c r="F179" i="69"/>
  <c r="F178" i="69"/>
  <c r="F177" i="69"/>
  <c r="F176" i="69"/>
  <c r="F175" i="69"/>
  <c r="F174" i="69"/>
  <c r="F163" i="69"/>
  <c r="F162" i="69"/>
  <c r="F161" i="69"/>
  <c r="F160" i="69"/>
  <c r="F159" i="69"/>
  <c r="F158" i="69"/>
  <c r="F157" i="69"/>
  <c r="F156" i="69"/>
  <c r="F155" i="69"/>
  <c r="F154" i="69"/>
  <c r="F153" i="69"/>
  <c r="F152" i="69"/>
  <c r="F151" i="69"/>
  <c r="F150" i="69"/>
  <c r="F149" i="69"/>
  <c r="F148" i="69"/>
  <c r="F147" i="69"/>
  <c r="F146" i="69"/>
  <c r="F145" i="69"/>
  <c r="F144" i="69"/>
  <c r="F143" i="69"/>
  <c r="F142" i="69"/>
  <c r="F141" i="69"/>
  <c r="F140" i="69"/>
  <c r="F139" i="69"/>
  <c r="F138" i="69"/>
  <c r="F137" i="69"/>
  <c r="F136" i="69"/>
  <c r="F135" i="69"/>
  <c r="F134" i="69"/>
  <c r="F133" i="69"/>
  <c r="F132" i="69"/>
  <c r="F131" i="69"/>
  <c r="F130" i="69"/>
  <c r="F129" i="69"/>
  <c r="F128" i="69"/>
  <c r="F127" i="69"/>
  <c r="F126" i="69"/>
  <c r="F125" i="69"/>
  <c r="F124" i="69"/>
  <c r="F123" i="69"/>
  <c r="F122" i="69"/>
  <c r="F121" i="69"/>
  <c r="F120" i="69"/>
  <c r="F119" i="69"/>
  <c r="F118" i="69"/>
  <c r="F117" i="69"/>
  <c r="F116" i="69"/>
  <c r="F115" i="69"/>
  <c r="F114" i="69"/>
  <c r="F113" i="69"/>
  <c r="F112" i="69"/>
  <c r="F111" i="69"/>
  <c r="F100" i="69"/>
  <c r="F99" i="69"/>
  <c r="F98" i="69"/>
  <c r="F97" i="69"/>
  <c r="F96" i="69"/>
  <c r="F95" i="69"/>
  <c r="F94" i="69"/>
  <c r="F93" i="69"/>
  <c r="F92" i="69"/>
  <c r="F91" i="69"/>
  <c r="F90" i="69"/>
  <c r="F89" i="69"/>
  <c r="F88" i="69"/>
  <c r="F87" i="69"/>
  <c r="F86" i="69"/>
  <c r="F85" i="69"/>
  <c r="F84" i="69"/>
  <c r="F83" i="69"/>
  <c r="F82" i="69"/>
  <c r="F81" i="69"/>
  <c r="F80" i="69"/>
  <c r="F79" i="69"/>
  <c r="F78" i="69"/>
  <c r="F77" i="69"/>
  <c r="F76" i="69"/>
  <c r="F75" i="69"/>
  <c r="F74" i="69"/>
  <c r="F73" i="69"/>
  <c r="F72" i="69"/>
  <c r="F71" i="69"/>
  <c r="F70" i="69"/>
  <c r="F69" i="69"/>
  <c r="F68" i="69"/>
  <c r="F67" i="69"/>
  <c r="F66" i="69"/>
  <c r="F65" i="69"/>
  <c r="F64" i="69"/>
  <c r="F63" i="69"/>
  <c r="F62" i="69"/>
  <c r="F61" i="69"/>
  <c r="F60" i="69"/>
  <c r="F59" i="69"/>
  <c r="F58" i="69"/>
  <c r="F57" i="69"/>
  <c r="F56" i="69"/>
  <c r="F55" i="69"/>
  <c r="F54" i="69"/>
  <c r="F53" i="69"/>
  <c r="F52" i="69"/>
  <c r="F51" i="69"/>
  <c r="F50" i="69"/>
  <c r="F49" i="69"/>
  <c r="F48" i="69"/>
  <c r="F37" i="69"/>
  <c r="F36" i="69"/>
  <c r="F35" i="69"/>
  <c r="F34" i="69"/>
  <c r="F33" i="69"/>
  <c r="F32" i="69"/>
  <c r="F31" i="69"/>
  <c r="F30" i="69"/>
  <c r="F29" i="69"/>
  <c r="F28" i="69"/>
  <c r="F27" i="69"/>
  <c r="F26" i="69"/>
  <c r="F25" i="69"/>
  <c r="F24" i="69"/>
  <c r="F23" i="69"/>
  <c r="F22" i="69"/>
  <c r="F21" i="69"/>
  <c r="F20" i="69"/>
  <c r="F19" i="69"/>
  <c r="F18" i="69"/>
  <c r="F17" i="69"/>
  <c r="F16" i="69"/>
  <c r="F15" i="69"/>
  <c r="F14" i="69"/>
  <c r="F13" i="69"/>
  <c r="F12" i="69"/>
  <c r="F11" i="69"/>
  <c r="F10" i="69"/>
  <c r="F9" i="69"/>
  <c r="F8" i="69"/>
  <c r="F7" i="69"/>
  <c r="F6" i="69"/>
  <c r="F5" i="69"/>
  <c r="F4" i="69"/>
  <c r="F3" i="69"/>
  <c r="F2" i="69"/>
  <c r="F307" i="68"/>
  <c r="F306" i="68"/>
  <c r="F298" i="68"/>
  <c r="F297" i="68"/>
  <c r="F296" i="68"/>
  <c r="F295" i="68"/>
  <c r="F294" i="68"/>
  <c r="F293" i="68"/>
  <c r="F292" i="68"/>
  <c r="F291" i="68"/>
  <c r="F290" i="68"/>
  <c r="F289" i="68"/>
  <c r="F288" i="68"/>
  <c r="F287" i="68"/>
  <c r="F286" i="68"/>
  <c r="F285" i="68"/>
  <c r="F284" i="68"/>
  <c r="F283" i="68"/>
  <c r="F282" i="68"/>
  <c r="F281" i="68"/>
  <c r="F280" i="68"/>
  <c r="F279" i="68"/>
  <c r="F278" i="68"/>
  <c r="F277" i="68"/>
  <c r="F276" i="68"/>
  <c r="F275" i="68"/>
  <c r="F274" i="68"/>
  <c r="F273" i="68"/>
  <c r="F272" i="68"/>
  <c r="F271" i="68"/>
  <c r="F270" i="68"/>
  <c r="F269" i="68"/>
  <c r="F268" i="68"/>
  <c r="F267" i="68"/>
  <c r="F266" i="68"/>
  <c r="F265" i="68"/>
  <c r="F264" i="68"/>
  <c r="F263" i="68"/>
  <c r="F252" i="68"/>
  <c r="F251" i="68"/>
  <c r="F250" i="68"/>
  <c r="F249" i="68"/>
  <c r="F248" i="68"/>
  <c r="F247" i="68"/>
  <c r="F246" i="68"/>
  <c r="F245" i="68"/>
  <c r="F244" i="68"/>
  <c r="F243" i="68"/>
  <c r="F242" i="68"/>
  <c r="F241" i="68"/>
  <c r="F240" i="68"/>
  <c r="F239" i="68"/>
  <c r="F238" i="68"/>
  <c r="F237" i="68"/>
  <c r="F236" i="68"/>
  <c r="F235" i="68"/>
  <c r="F234" i="68"/>
  <c r="F233" i="68"/>
  <c r="F232" i="68"/>
  <c r="F231" i="68"/>
  <c r="F230" i="68"/>
  <c r="F229" i="68"/>
  <c r="F228" i="68"/>
  <c r="F227" i="68"/>
  <c r="F226" i="68"/>
  <c r="F225" i="68"/>
  <c r="F224" i="68"/>
  <c r="F223" i="68"/>
  <c r="F222" i="68"/>
  <c r="F221" i="68"/>
  <c r="F220" i="68"/>
  <c r="F219" i="68"/>
  <c r="F218" i="68"/>
  <c r="F217" i="68"/>
  <c r="F216" i="68"/>
  <c r="F215" i="68"/>
  <c r="F214" i="68"/>
  <c r="F213" i="68"/>
  <c r="F212" i="68"/>
  <c r="F211" i="68"/>
  <c r="F210" i="68"/>
  <c r="F209" i="68"/>
  <c r="F208" i="68"/>
  <c r="F207" i="68"/>
  <c r="F206" i="68"/>
  <c r="F205" i="68"/>
  <c r="F204" i="68"/>
  <c r="F203" i="68"/>
  <c r="F202" i="68"/>
  <c r="F191" i="68"/>
  <c r="F190" i="68"/>
  <c r="F189" i="68"/>
  <c r="F188" i="68"/>
  <c r="F187" i="68"/>
  <c r="F186" i="68"/>
  <c r="F185" i="68"/>
  <c r="F184" i="68"/>
  <c r="F183" i="68"/>
  <c r="F182" i="68"/>
  <c r="F181" i="68"/>
  <c r="F180" i="68"/>
  <c r="F179" i="68"/>
  <c r="F178" i="68"/>
  <c r="F177" i="68"/>
  <c r="F176" i="68"/>
  <c r="F175" i="68"/>
  <c r="F174" i="68"/>
  <c r="F173" i="68"/>
  <c r="F172" i="68"/>
  <c r="F171" i="68"/>
  <c r="F170" i="68"/>
  <c r="F169" i="68"/>
  <c r="F168" i="68"/>
  <c r="F167" i="68"/>
  <c r="F166" i="68"/>
  <c r="F165" i="68"/>
  <c r="F164" i="68"/>
  <c r="F163" i="68"/>
  <c r="F162" i="68"/>
  <c r="F161" i="68"/>
  <c r="F160" i="68"/>
  <c r="F159" i="68"/>
  <c r="F158" i="68"/>
  <c r="F157" i="68"/>
  <c r="F156" i="68"/>
  <c r="F155" i="68"/>
  <c r="F154" i="68"/>
  <c r="F153" i="68"/>
  <c r="F152" i="68"/>
  <c r="F151" i="68"/>
  <c r="F150" i="68"/>
  <c r="F149" i="68"/>
  <c r="F148" i="68"/>
  <c r="F147" i="68"/>
  <c r="F146" i="68"/>
  <c r="F145" i="68"/>
  <c r="F144" i="68"/>
  <c r="F143" i="68"/>
  <c r="F142" i="68"/>
  <c r="F141" i="68"/>
  <c r="F140" i="68"/>
  <c r="F139" i="68"/>
  <c r="F138" i="68"/>
  <c r="F127" i="68"/>
  <c r="F126" i="68"/>
  <c r="F125" i="68"/>
  <c r="F124" i="68"/>
  <c r="F123" i="68"/>
  <c r="F122" i="68"/>
  <c r="F121" i="68"/>
  <c r="F120" i="68"/>
  <c r="F119" i="68"/>
  <c r="F118" i="68"/>
  <c r="F117" i="68"/>
  <c r="F116" i="68"/>
  <c r="F115" i="68"/>
  <c r="F114" i="68"/>
  <c r="F113" i="68"/>
  <c r="F112" i="68"/>
  <c r="F111" i="68"/>
  <c r="F110" i="68"/>
  <c r="F109" i="68"/>
  <c r="F108" i="68"/>
  <c r="F107" i="68"/>
  <c r="F106" i="68"/>
  <c r="F105" i="68"/>
  <c r="F104" i="68"/>
  <c r="F103" i="68"/>
  <c r="F102" i="68"/>
  <c r="F101" i="68"/>
  <c r="F100" i="68"/>
  <c r="F99" i="68"/>
  <c r="F98" i="68"/>
  <c r="F97" i="68"/>
  <c r="F96" i="68"/>
  <c r="F95" i="68"/>
  <c r="F94" i="68"/>
  <c r="F93" i="68"/>
  <c r="F92" i="68"/>
  <c r="F91" i="68"/>
  <c r="F90" i="68"/>
  <c r="F89" i="68"/>
  <c r="F88" i="68"/>
  <c r="F87" i="68"/>
  <c r="F86" i="68"/>
  <c r="F85" i="68"/>
  <c r="F84" i="68"/>
  <c r="F83" i="68"/>
  <c r="F82" i="68"/>
  <c r="F81" i="68"/>
  <c r="F80" i="68"/>
  <c r="F79" i="68"/>
  <c r="F78" i="68"/>
  <c r="F77" i="68"/>
  <c r="F76" i="68"/>
  <c r="F75" i="68"/>
  <c r="F64" i="68"/>
  <c r="F63" i="68"/>
  <c r="F62" i="68"/>
  <c r="F61" i="68"/>
  <c r="F60" i="68"/>
  <c r="F59" i="68"/>
  <c r="F58" i="68"/>
  <c r="F57" i="68"/>
  <c r="F56" i="68"/>
  <c r="F55" i="68"/>
  <c r="F54" i="68"/>
  <c r="F53" i="68"/>
  <c r="F52" i="68"/>
  <c r="F51" i="68"/>
  <c r="F50" i="68"/>
  <c r="F49" i="68"/>
  <c r="F48" i="68"/>
  <c r="F47" i="68"/>
  <c r="F46" i="68"/>
  <c r="F45" i="68"/>
  <c r="F44" i="68"/>
  <c r="F43" i="68"/>
  <c r="F42" i="68"/>
  <c r="F41" i="68"/>
  <c r="F40" i="68"/>
  <c r="F39" i="68"/>
  <c r="F38" i="68"/>
  <c r="F37" i="68"/>
  <c r="F36" i="68"/>
  <c r="F35" i="68"/>
  <c r="F34" i="68"/>
  <c r="F33" i="68"/>
  <c r="F32" i="68"/>
  <c r="F31" i="68"/>
  <c r="F30" i="68"/>
  <c r="F29" i="68"/>
  <c r="F28" i="68"/>
  <c r="F27" i="68"/>
  <c r="F26" i="68"/>
  <c r="F25" i="68"/>
  <c r="F24" i="68"/>
  <c r="F23" i="68"/>
  <c r="F22" i="68"/>
  <c r="F21" i="68"/>
  <c r="F20" i="68"/>
  <c r="F19" i="68"/>
  <c r="F18" i="68"/>
  <c r="F17" i="68"/>
  <c r="F16" i="68"/>
  <c r="F15" i="68"/>
  <c r="F14" i="68"/>
  <c r="F13" i="68"/>
  <c r="F12" i="68"/>
  <c r="F307" i="67"/>
  <c r="F306" i="67"/>
  <c r="F298" i="67"/>
  <c r="F297" i="67"/>
  <c r="F296" i="67"/>
  <c r="F295" i="67"/>
  <c r="F294" i="67"/>
  <c r="F293" i="67"/>
  <c r="F292" i="67"/>
  <c r="F291" i="67"/>
  <c r="F290" i="67"/>
  <c r="F289" i="67"/>
  <c r="F288" i="67"/>
  <c r="F287" i="67"/>
  <c r="F286" i="67"/>
  <c r="F285" i="67"/>
  <c r="F284" i="67"/>
  <c r="F283" i="67"/>
  <c r="F282" i="67"/>
  <c r="F281" i="67"/>
  <c r="F280" i="67"/>
  <c r="F279" i="67"/>
  <c r="F278" i="67"/>
  <c r="F277" i="67"/>
  <c r="F276" i="67"/>
  <c r="F275" i="67"/>
  <c r="F274" i="67"/>
  <c r="F273" i="67"/>
  <c r="F272" i="67"/>
  <c r="F271" i="67"/>
  <c r="F270" i="67"/>
  <c r="F269" i="67"/>
  <c r="F268" i="67"/>
  <c r="F267" i="67"/>
  <c r="F266" i="67"/>
  <c r="F265" i="67"/>
  <c r="F264" i="67"/>
  <c r="F263" i="67"/>
  <c r="F262" i="67"/>
  <c r="F261" i="67"/>
  <c r="F260" i="67"/>
  <c r="F259" i="67"/>
  <c r="F258" i="67"/>
  <c r="F257" i="67"/>
  <c r="F256" i="67"/>
  <c r="F255" i="67"/>
  <c r="F254" i="67"/>
  <c r="F253" i="67"/>
  <c r="F252" i="67"/>
  <c r="F251" i="67"/>
  <c r="F250" i="67"/>
  <c r="F249" i="67"/>
  <c r="F248" i="67"/>
  <c r="F247" i="67"/>
  <c r="F246" i="67"/>
  <c r="F245" i="67"/>
  <c r="F244" i="67"/>
  <c r="F243" i="67"/>
  <c r="F242" i="67"/>
  <c r="F241" i="67"/>
  <c r="F240" i="67"/>
  <c r="F239" i="67"/>
  <c r="F238" i="67"/>
  <c r="F237" i="67"/>
  <c r="F236" i="67"/>
  <c r="F235" i="67"/>
  <c r="F234" i="67"/>
  <c r="F233" i="67"/>
  <c r="F232" i="67"/>
  <c r="F231" i="67"/>
  <c r="F230" i="67"/>
  <c r="F229" i="67"/>
  <c r="F228" i="67"/>
  <c r="F227" i="67"/>
  <c r="F216" i="67"/>
  <c r="F215" i="67"/>
  <c r="F214" i="67"/>
  <c r="F213" i="67"/>
  <c r="F212" i="67"/>
  <c r="F211" i="67"/>
  <c r="F210" i="67"/>
  <c r="F209" i="67"/>
  <c r="F208" i="67"/>
  <c r="F207" i="67"/>
  <c r="F206" i="67"/>
  <c r="F205" i="67"/>
  <c r="F204" i="67"/>
  <c r="F203" i="67"/>
  <c r="F202" i="67"/>
  <c r="F201" i="67"/>
  <c r="F200" i="67"/>
  <c r="F199" i="67"/>
  <c r="F198" i="67"/>
  <c r="F197" i="67"/>
  <c r="F196" i="67"/>
  <c r="F195" i="67"/>
  <c r="F194" i="67"/>
  <c r="F193" i="67"/>
  <c r="F192" i="67"/>
  <c r="F191" i="67"/>
  <c r="F190" i="67"/>
  <c r="F189" i="67"/>
  <c r="F188" i="67"/>
  <c r="F187" i="67"/>
  <c r="F186" i="67"/>
  <c r="F185" i="67"/>
  <c r="F184" i="67"/>
  <c r="F183" i="67"/>
  <c r="F182" i="67"/>
  <c r="F181" i="67"/>
  <c r="F180" i="67"/>
  <c r="F179" i="67"/>
  <c r="F178" i="67"/>
  <c r="F177" i="67"/>
  <c r="F176" i="67"/>
  <c r="F175" i="67"/>
  <c r="F174" i="67"/>
  <c r="F173" i="67"/>
  <c r="F172" i="67"/>
  <c r="F171" i="67"/>
  <c r="F170" i="67"/>
  <c r="F169" i="67"/>
  <c r="F168" i="67"/>
  <c r="F167" i="67"/>
  <c r="F166" i="67"/>
  <c r="F165" i="67"/>
  <c r="F154" i="67"/>
  <c r="F153" i="67"/>
  <c r="F152" i="67"/>
  <c r="F151" i="67"/>
  <c r="F150" i="67"/>
  <c r="F149" i="67"/>
  <c r="F148" i="67"/>
  <c r="F147" i="67"/>
  <c r="F146" i="67"/>
  <c r="F145" i="67"/>
  <c r="F144" i="67"/>
  <c r="F143" i="67"/>
  <c r="F142" i="67"/>
  <c r="F141" i="67"/>
  <c r="F140" i="67"/>
  <c r="F139" i="67"/>
  <c r="F138" i="67"/>
  <c r="F137" i="67"/>
  <c r="F136" i="67"/>
  <c r="F135" i="67"/>
  <c r="F134" i="67"/>
  <c r="F133" i="67"/>
  <c r="F132" i="67"/>
  <c r="F131" i="67"/>
  <c r="F130" i="67"/>
  <c r="F129" i="67"/>
  <c r="F128" i="67"/>
  <c r="F127" i="67"/>
  <c r="F126" i="67"/>
  <c r="F125" i="67"/>
  <c r="F124" i="67"/>
  <c r="F123" i="67"/>
  <c r="F122" i="67"/>
  <c r="F121" i="67"/>
  <c r="F120" i="67"/>
  <c r="F119" i="67"/>
  <c r="F118" i="67"/>
  <c r="F117" i="67"/>
  <c r="F116" i="67"/>
  <c r="F115" i="67"/>
  <c r="F114" i="67"/>
  <c r="F113" i="67"/>
  <c r="F112" i="67"/>
  <c r="F111" i="67"/>
  <c r="F110" i="67"/>
  <c r="F109" i="67"/>
  <c r="F108" i="67"/>
  <c r="F107" i="67"/>
  <c r="F106" i="67"/>
  <c r="F105" i="67"/>
  <c r="F104" i="67"/>
  <c r="F103" i="67"/>
  <c r="F102" i="67"/>
  <c r="F91" i="67"/>
  <c r="F90" i="67"/>
  <c r="F89" i="67"/>
  <c r="F88" i="67"/>
  <c r="F87" i="67"/>
  <c r="F86" i="67"/>
  <c r="F85" i="67"/>
  <c r="F84" i="67"/>
  <c r="F83" i="67"/>
  <c r="F82" i="67"/>
  <c r="F81" i="67"/>
  <c r="F80" i="67"/>
  <c r="F79" i="67"/>
  <c r="F78" i="67"/>
  <c r="F77" i="67"/>
  <c r="F76" i="67"/>
  <c r="F75" i="67"/>
  <c r="F74" i="67"/>
  <c r="F73" i="67"/>
  <c r="F72" i="67"/>
  <c r="F71" i="67"/>
  <c r="F70" i="67"/>
  <c r="F69" i="67"/>
  <c r="F68" i="67"/>
  <c r="F67" i="67"/>
  <c r="F66" i="67"/>
  <c r="F65" i="67"/>
  <c r="F64" i="67"/>
  <c r="F63" i="67"/>
  <c r="F62" i="67"/>
  <c r="F61" i="67"/>
  <c r="F60" i="67"/>
  <c r="F59" i="67"/>
  <c r="F58" i="67"/>
  <c r="F57" i="67"/>
  <c r="F56" i="67"/>
  <c r="F55" i="67"/>
  <c r="F54" i="67"/>
  <c r="F53" i="67"/>
  <c r="F52" i="67"/>
  <c r="F51" i="67"/>
  <c r="F50" i="67"/>
  <c r="F49" i="67"/>
  <c r="F48" i="67"/>
  <c r="F47" i="67"/>
  <c r="F46" i="67"/>
  <c r="F45" i="67"/>
  <c r="F44" i="67"/>
  <c r="F43" i="67"/>
  <c r="F42" i="67"/>
  <c r="F41" i="67"/>
  <c r="F40" i="67"/>
  <c r="F39" i="67"/>
  <c r="F28" i="67"/>
  <c r="F27" i="67"/>
  <c r="F26" i="67"/>
  <c r="F25" i="67"/>
  <c r="F24" i="67"/>
  <c r="F23" i="67"/>
  <c r="F22" i="67"/>
  <c r="F21" i="67"/>
  <c r="F20" i="67"/>
  <c r="F19" i="67"/>
  <c r="F18" i="67"/>
  <c r="F17" i="67"/>
  <c r="F16" i="67"/>
  <c r="F15" i="67"/>
  <c r="F14" i="67"/>
  <c r="F13" i="67"/>
  <c r="F12" i="67"/>
  <c r="F11" i="67"/>
  <c r="F10" i="67"/>
  <c r="F9" i="67"/>
  <c r="F8" i="67"/>
  <c r="F7" i="67"/>
  <c r="F6" i="67"/>
  <c r="F5" i="67"/>
  <c r="F4" i="67"/>
  <c r="F3" i="67"/>
  <c r="F2" i="67"/>
  <c r="F306" i="66"/>
  <c r="F307" i="66" s="1"/>
  <c r="F298" i="66"/>
  <c r="F297" i="66"/>
  <c r="F296" i="66"/>
  <c r="F295" i="66"/>
  <c r="F294" i="66"/>
  <c r="F293" i="66"/>
  <c r="F292" i="66"/>
  <c r="F291" i="66"/>
  <c r="F290" i="66"/>
  <c r="F289" i="66"/>
  <c r="F288" i="66"/>
  <c r="F287" i="66"/>
  <c r="F286" i="66"/>
  <c r="F285" i="66"/>
  <c r="F284" i="66"/>
  <c r="F283" i="66"/>
  <c r="F282" i="66"/>
  <c r="F281" i="66"/>
  <c r="F280" i="66"/>
  <c r="F279" i="66"/>
  <c r="F278" i="66"/>
  <c r="F277" i="66"/>
  <c r="F276" i="66"/>
  <c r="F275" i="66"/>
  <c r="F274" i="66"/>
  <c r="F273" i="66"/>
  <c r="F272" i="66"/>
  <c r="F271" i="66"/>
  <c r="F270" i="66"/>
  <c r="F269" i="66"/>
  <c r="F268" i="66"/>
  <c r="F267" i="66"/>
  <c r="F266" i="66"/>
  <c r="F265" i="66"/>
  <c r="F264" i="66"/>
  <c r="F263" i="66"/>
  <c r="F262" i="66"/>
  <c r="F261" i="66"/>
  <c r="F260" i="66"/>
  <c r="F259" i="66"/>
  <c r="F258" i="66"/>
  <c r="F257" i="66"/>
  <c r="F256" i="66"/>
  <c r="F255" i="66"/>
  <c r="F254" i="66"/>
  <c r="F243" i="66"/>
  <c r="F242" i="66"/>
  <c r="F241" i="66"/>
  <c r="F240" i="66"/>
  <c r="F239" i="66"/>
  <c r="F238" i="66"/>
  <c r="F237" i="66"/>
  <c r="F236" i="66"/>
  <c r="F235" i="66"/>
  <c r="F234" i="66"/>
  <c r="F233" i="66"/>
  <c r="F232" i="66"/>
  <c r="F231" i="66"/>
  <c r="F230" i="66"/>
  <c r="F229" i="66"/>
  <c r="F228" i="66"/>
  <c r="F227" i="66"/>
  <c r="F226" i="66"/>
  <c r="F225" i="66"/>
  <c r="F224" i="66"/>
  <c r="F223" i="66"/>
  <c r="F222" i="66"/>
  <c r="F221" i="66"/>
  <c r="F220" i="66"/>
  <c r="F219" i="66"/>
  <c r="F218" i="66"/>
  <c r="F217" i="66"/>
  <c r="F216" i="66"/>
  <c r="F215" i="66"/>
  <c r="F214" i="66"/>
  <c r="F213" i="66"/>
  <c r="F212" i="66"/>
  <c r="F211" i="66"/>
  <c r="F210" i="66"/>
  <c r="F209" i="66"/>
  <c r="F208" i="66"/>
  <c r="F207" i="66"/>
  <c r="F206" i="66"/>
  <c r="F205" i="66"/>
  <c r="F204" i="66"/>
  <c r="F203" i="66"/>
  <c r="F202" i="66"/>
  <c r="F201" i="66"/>
  <c r="F200" i="66"/>
  <c r="F199" i="66"/>
  <c r="F198" i="66"/>
  <c r="F197" i="66"/>
  <c r="F196" i="66"/>
  <c r="F195" i="66"/>
  <c r="F194" i="66"/>
  <c r="F193" i="66"/>
  <c r="F192" i="66"/>
  <c r="F181" i="66"/>
  <c r="F180" i="66"/>
  <c r="F179" i="66"/>
  <c r="F178" i="66"/>
  <c r="F177" i="66"/>
  <c r="F176" i="66"/>
  <c r="F175" i="66"/>
  <c r="F174" i="66"/>
  <c r="F173" i="66"/>
  <c r="F172" i="66"/>
  <c r="F171" i="66"/>
  <c r="F170" i="66"/>
  <c r="F169" i="66"/>
  <c r="F168" i="66"/>
  <c r="F167" i="66"/>
  <c r="F166" i="66"/>
  <c r="F165" i="66"/>
  <c r="F164" i="66"/>
  <c r="F163" i="66"/>
  <c r="F162" i="66"/>
  <c r="F161" i="66"/>
  <c r="F160" i="66"/>
  <c r="F159" i="66"/>
  <c r="F158" i="66"/>
  <c r="F157" i="66"/>
  <c r="F156" i="66"/>
  <c r="F155" i="66"/>
  <c r="F154" i="66"/>
  <c r="F153" i="66"/>
  <c r="F152" i="66"/>
  <c r="F151" i="66"/>
  <c r="F150" i="66"/>
  <c r="F149" i="66"/>
  <c r="F148" i="66"/>
  <c r="F147" i="66"/>
  <c r="F146" i="66"/>
  <c r="F145" i="66"/>
  <c r="F144" i="66"/>
  <c r="F143" i="66"/>
  <c r="F142" i="66"/>
  <c r="F141" i="66"/>
  <c r="F140" i="66"/>
  <c r="F139" i="66"/>
  <c r="F138" i="66"/>
  <c r="F137" i="66"/>
  <c r="F136" i="66"/>
  <c r="F135" i="66"/>
  <c r="F134" i="66"/>
  <c r="F133" i="66"/>
  <c r="F132" i="66"/>
  <c r="F131" i="66"/>
  <c r="F130" i="66"/>
  <c r="F129" i="66"/>
  <c r="F118" i="66"/>
  <c r="F117" i="66"/>
  <c r="F116" i="66"/>
  <c r="F115" i="66"/>
  <c r="F114" i="66"/>
  <c r="F113" i="66"/>
  <c r="F112" i="66"/>
  <c r="F111" i="66"/>
  <c r="F110" i="66"/>
  <c r="F109" i="66"/>
  <c r="F108" i="66"/>
  <c r="F107" i="66"/>
  <c r="F106" i="66"/>
  <c r="F105" i="66"/>
  <c r="F104" i="66"/>
  <c r="F103" i="66"/>
  <c r="F102" i="66"/>
  <c r="F101" i="66"/>
  <c r="F91" i="66"/>
  <c r="F90" i="66"/>
  <c r="F89" i="66"/>
  <c r="F88" i="66"/>
  <c r="F87" i="66"/>
  <c r="F86" i="66"/>
  <c r="F85" i="66"/>
  <c r="F84" i="66"/>
  <c r="F83" i="66"/>
  <c r="F82" i="66"/>
  <c r="F81" i="66"/>
  <c r="F80" i="66"/>
  <c r="F79" i="66"/>
  <c r="F78" i="66"/>
  <c r="F77" i="66"/>
  <c r="F76" i="66"/>
  <c r="F75" i="66"/>
  <c r="F74" i="66"/>
  <c r="F73" i="66"/>
  <c r="F72" i="66"/>
  <c r="F71" i="66"/>
  <c r="F70" i="66"/>
  <c r="F69" i="66"/>
  <c r="F68" i="66"/>
  <c r="F67" i="66"/>
  <c r="F66" i="66"/>
  <c r="F65" i="66"/>
  <c r="F64" i="66"/>
  <c r="F63" i="66"/>
  <c r="F62" i="66"/>
  <c r="F61" i="66"/>
  <c r="F60" i="66"/>
  <c r="F59" i="66"/>
  <c r="F58" i="66"/>
  <c r="F57" i="66"/>
  <c r="F55" i="66"/>
  <c r="F54" i="66"/>
  <c r="F53" i="66"/>
  <c r="F52" i="66"/>
  <c r="F51" i="66"/>
  <c r="F50" i="66"/>
  <c r="F49" i="66"/>
  <c r="F46" i="66"/>
  <c r="F45" i="66"/>
  <c r="F44" i="66"/>
  <c r="F43" i="66"/>
  <c r="F42" i="66"/>
  <c r="F41" i="66"/>
  <c r="F40" i="66"/>
  <c r="F39" i="66"/>
  <c r="F38" i="66"/>
  <c r="F37" i="66"/>
  <c r="F36" i="66"/>
  <c r="F35" i="66"/>
  <c r="F34" i="66"/>
  <c r="F33" i="66"/>
  <c r="F32" i="66"/>
  <c r="F31" i="66"/>
  <c r="F30" i="66"/>
  <c r="F28" i="66"/>
  <c r="F27" i="66"/>
  <c r="F26" i="66"/>
  <c r="F25" i="66"/>
  <c r="F24" i="66"/>
  <c r="F23" i="66"/>
  <c r="F22" i="66"/>
  <c r="F21" i="66"/>
  <c r="F20" i="66"/>
  <c r="F19" i="66"/>
  <c r="F18" i="66"/>
  <c r="F17" i="66"/>
  <c r="F16" i="66"/>
  <c r="F15" i="66"/>
  <c r="F14" i="66"/>
  <c r="F13" i="66"/>
  <c r="F12" i="66"/>
  <c r="F11" i="66"/>
  <c r="F10" i="66"/>
  <c r="F9" i="66"/>
  <c r="F8" i="66"/>
  <c r="F7" i="66"/>
  <c r="F6" i="66"/>
  <c r="F5" i="66"/>
  <c r="F4" i="66"/>
  <c r="F3" i="66"/>
  <c r="F2" i="66"/>
  <c r="F306" i="65"/>
  <c r="F307" i="65" s="1"/>
  <c r="F298" i="65"/>
  <c r="F297" i="65"/>
  <c r="F296" i="65"/>
  <c r="F295" i="65"/>
  <c r="F294" i="65"/>
  <c r="F293" i="65"/>
  <c r="F292" i="65"/>
  <c r="F291" i="65"/>
  <c r="F290" i="65"/>
  <c r="F289" i="65"/>
  <c r="F288" i="65"/>
  <c r="F287" i="65"/>
  <c r="F286" i="65"/>
  <c r="F285" i="65"/>
  <c r="F284" i="65"/>
  <c r="F283" i="65"/>
  <c r="F282" i="65"/>
  <c r="F281" i="65"/>
  <c r="F280" i="65"/>
  <c r="F279" i="65"/>
  <c r="F278" i="65"/>
  <c r="F277" i="65"/>
  <c r="F276" i="65"/>
  <c r="F275" i="65"/>
  <c r="F274" i="65"/>
  <c r="F273" i="65"/>
  <c r="F272" i="65"/>
  <c r="F271" i="65"/>
  <c r="F270" i="65"/>
  <c r="F269" i="65"/>
  <c r="F268" i="65"/>
  <c r="F267" i="65"/>
  <c r="F266" i="65"/>
  <c r="F265" i="65"/>
  <c r="F264" i="65"/>
  <c r="F263" i="65"/>
  <c r="F262" i="65"/>
  <c r="F261" i="65"/>
  <c r="F260" i="65"/>
  <c r="F259" i="65"/>
  <c r="F258" i="65"/>
  <c r="F257" i="65"/>
  <c r="F256" i="65"/>
  <c r="F255" i="65"/>
  <c r="F254" i="65"/>
  <c r="F253" i="65"/>
  <c r="F252" i="65"/>
  <c r="F251" i="65"/>
  <c r="F250" i="65"/>
  <c r="F249" i="65"/>
  <c r="F248" i="65"/>
  <c r="F247" i="65"/>
  <c r="F246" i="65"/>
  <c r="F245" i="65"/>
  <c r="F244" i="65"/>
  <c r="F243" i="65"/>
  <c r="F242" i="65"/>
  <c r="F241" i="65"/>
  <c r="F240" i="65"/>
  <c r="F239" i="65"/>
  <c r="F238" i="65"/>
  <c r="F237" i="65"/>
  <c r="F236" i="65"/>
  <c r="F235" i="65"/>
  <c r="F234" i="65"/>
  <c r="F233" i="65"/>
  <c r="F232" i="65"/>
  <c r="F231" i="65"/>
  <c r="F230" i="65"/>
  <c r="F229" i="65"/>
  <c r="F228" i="65"/>
  <c r="F227" i="65"/>
  <c r="F226" i="65"/>
  <c r="F225" i="65"/>
  <c r="F224" i="65"/>
  <c r="F223" i="65"/>
  <c r="F222" i="65"/>
  <c r="F221" i="65"/>
  <c r="F220" i="65"/>
  <c r="F219" i="65"/>
  <c r="F218" i="65"/>
  <c r="F217" i="65"/>
  <c r="F216" i="65"/>
  <c r="F215" i="65"/>
  <c r="F214" i="65"/>
  <c r="F213" i="65"/>
  <c r="F212" i="65"/>
  <c r="F211" i="65"/>
  <c r="F210" i="65"/>
  <c r="F209" i="65"/>
  <c r="F208" i="65"/>
  <c r="F207" i="65"/>
  <c r="F206" i="65"/>
  <c r="F205" i="65"/>
  <c r="F204" i="65"/>
  <c r="F203" i="65"/>
  <c r="F202" i="65"/>
  <c r="F201" i="65"/>
  <c r="F200" i="65"/>
  <c r="F199" i="65"/>
  <c r="F198" i="65"/>
  <c r="F197" i="65"/>
  <c r="F196" i="65"/>
  <c r="F195" i="65"/>
  <c r="F194" i="65"/>
  <c r="F193" i="65"/>
  <c r="F192" i="65"/>
  <c r="F191" i="65"/>
  <c r="F190" i="65"/>
  <c r="F189" i="65"/>
  <c r="F188" i="65"/>
  <c r="F187" i="65"/>
  <c r="F186" i="65"/>
  <c r="F185" i="65"/>
  <c r="F184" i="65"/>
  <c r="F183" i="65"/>
  <c r="F182" i="65"/>
  <c r="F181" i="65"/>
  <c r="F180" i="65"/>
  <c r="F179" i="65"/>
  <c r="F178" i="65"/>
  <c r="F177" i="65"/>
  <c r="F176" i="65"/>
  <c r="F175" i="65"/>
  <c r="F174" i="65"/>
  <c r="F173" i="65"/>
  <c r="F172" i="65"/>
  <c r="F171" i="65"/>
  <c r="F170" i="65"/>
  <c r="F169" i="65"/>
  <c r="F168" i="65"/>
  <c r="F167" i="65"/>
  <c r="F166" i="65"/>
  <c r="F165" i="65"/>
  <c r="F162" i="65"/>
  <c r="F161" i="65"/>
  <c r="F160" i="65"/>
  <c r="F159" i="65"/>
  <c r="F158" i="65"/>
  <c r="F157" i="65"/>
  <c r="F156" i="65"/>
  <c r="F155" i="65"/>
  <c r="F154" i="65"/>
  <c r="F153" i="65"/>
  <c r="F152" i="65"/>
  <c r="F151" i="65"/>
  <c r="F150" i="65"/>
  <c r="F149" i="65"/>
  <c r="F148" i="65"/>
  <c r="F147" i="65"/>
  <c r="F146" i="65"/>
  <c r="F145" i="65"/>
  <c r="F144" i="65"/>
  <c r="F143" i="65"/>
  <c r="F142" i="65"/>
  <c r="F141" i="65"/>
  <c r="F140" i="65"/>
  <c r="F139" i="65"/>
  <c r="F138" i="65"/>
  <c r="F137" i="65"/>
  <c r="F136" i="65"/>
  <c r="F135" i="65"/>
  <c r="F134" i="65"/>
  <c r="F133" i="65"/>
  <c r="F132" i="65"/>
  <c r="F131" i="65"/>
  <c r="F130" i="65"/>
  <c r="F127" i="65"/>
  <c r="F126" i="65"/>
  <c r="F125" i="65"/>
  <c r="F124" i="65"/>
  <c r="F123" i="65"/>
  <c r="F122" i="65"/>
  <c r="F121" i="65"/>
  <c r="F120" i="65"/>
  <c r="F119" i="65"/>
  <c r="F118" i="65"/>
  <c r="F117" i="65"/>
  <c r="F116" i="65"/>
  <c r="F115" i="65"/>
  <c r="F114" i="65"/>
  <c r="F113" i="65"/>
  <c r="F112" i="65"/>
  <c r="F111" i="65"/>
  <c r="F110" i="65"/>
  <c r="F109" i="65"/>
  <c r="F108" i="65"/>
  <c r="F107" i="65"/>
  <c r="F106" i="65"/>
  <c r="F105" i="65"/>
  <c r="F104" i="65"/>
  <c r="F103" i="65"/>
  <c r="F102" i="65"/>
  <c r="F101" i="65"/>
  <c r="F100" i="65"/>
  <c r="F99" i="65"/>
  <c r="F98" i="65"/>
  <c r="F97" i="65"/>
  <c r="F96" i="65"/>
  <c r="F95" i="65"/>
  <c r="F94" i="65"/>
  <c r="F93" i="65"/>
  <c r="F92" i="65"/>
  <c r="F91" i="65"/>
  <c r="F90" i="65"/>
  <c r="F89" i="65"/>
  <c r="F88" i="65"/>
  <c r="F85" i="65"/>
  <c r="F84" i="65"/>
  <c r="F83" i="65"/>
  <c r="F82" i="65"/>
  <c r="F81" i="65"/>
  <c r="F80" i="65"/>
  <c r="F79" i="65"/>
  <c r="F78" i="65"/>
  <c r="F77" i="65"/>
  <c r="F76" i="65"/>
  <c r="F75" i="65"/>
  <c r="F74" i="65"/>
  <c r="F73" i="65"/>
  <c r="F72" i="65"/>
  <c r="F71" i="65"/>
  <c r="F70" i="65"/>
  <c r="F69" i="65"/>
  <c r="F68" i="65"/>
  <c r="F67" i="65"/>
  <c r="F66" i="65"/>
  <c r="F65" i="65"/>
  <c r="F64" i="65"/>
  <c r="F63" i="65"/>
  <c r="F62" i="65"/>
  <c r="F61" i="65"/>
  <c r="F60" i="65"/>
  <c r="F59" i="65"/>
  <c r="F58" i="65"/>
  <c r="F57" i="65"/>
  <c r="F56" i="65"/>
  <c r="F55" i="65"/>
  <c r="F54" i="65"/>
  <c r="F53" i="65"/>
  <c r="F52" i="65"/>
  <c r="F51" i="65"/>
  <c r="F50" i="65"/>
  <c r="F49" i="65"/>
  <c r="F48" i="65"/>
  <c r="F47" i="65"/>
  <c r="F44" i="65"/>
  <c r="F43" i="65"/>
  <c r="F42" i="65"/>
  <c r="F41" i="65"/>
  <c r="F40" i="65"/>
  <c r="F39" i="65"/>
  <c r="F38" i="65"/>
  <c r="F37" i="65"/>
  <c r="F36" i="65"/>
  <c r="F35" i="65"/>
  <c r="F34" i="65"/>
  <c r="F33" i="65"/>
  <c r="F32" i="65"/>
  <c r="F31" i="65"/>
  <c r="F30" i="65"/>
  <c r="F29" i="65"/>
  <c r="F28" i="65"/>
  <c r="F27" i="65"/>
  <c r="F26" i="65"/>
  <c r="F25" i="65"/>
  <c r="F24" i="65"/>
  <c r="F23" i="65"/>
  <c r="F22" i="65"/>
  <c r="F21" i="65"/>
  <c r="F20" i="65"/>
  <c r="F19" i="65"/>
  <c r="F18" i="65"/>
  <c r="F17" i="65"/>
  <c r="F16" i="65"/>
  <c r="F15" i="65"/>
  <c r="F14" i="65"/>
  <c r="F13" i="65"/>
  <c r="F12" i="65"/>
  <c r="F11" i="65"/>
  <c r="F10" i="65"/>
  <c r="F9" i="65"/>
  <c r="F8" i="65"/>
  <c r="F7" i="65"/>
  <c r="F6" i="65"/>
  <c r="F5" i="65"/>
  <c r="F4" i="65"/>
  <c r="F3" i="65"/>
  <c r="F2" i="65"/>
  <c r="F307" i="64"/>
  <c r="F306" i="64"/>
  <c r="F298" i="64"/>
  <c r="F297" i="64"/>
  <c r="F296" i="64"/>
  <c r="F295" i="64"/>
  <c r="F294" i="64"/>
  <c r="F293" i="64"/>
  <c r="F292" i="64"/>
  <c r="F291" i="64"/>
  <c r="F290" i="64"/>
  <c r="F289" i="64"/>
  <c r="F288" i="64"/>
  <c r="F287" i="64"/>
  <c r="F286" i="64"/>
  <c r="F285" i="64"/>
  <c r="F284" i="64"/>
  <c r="F283" i="64"/>
  <c r="F282" i="64"/>
  <c r="F281" i="64"/>
  <c r="F280" i="64"/>
  <c r="F279" i="64"/>
  <c r="F278" i="64"/>
  <c r="F277" i="64"/>
  <c r="F276" i="64"/>
  <c r="F275" i="64"/>
  <c r="F274" i="64"/>
  <c r="F273" i="64"/>
  <c r="F272" i="64"/>
  <c r="F271" i="64"/>
  <c r="F270" i="64"/>
  <c r="F269" i="64"/>
  <c r="F268" i="64"/>
  <c r="F267" i="64"/>
  <c r="F266" i="64"/>
  <c r="F265" i="64"/>
  <c r="F264" i="64"/>
  <c r="F263" i="64"/>
  <c r="F262" i="64"/>
  <c r="F261" i="64"/>
  <c r="F260" i="64"/>
  <c r="F259" i="64"/>
  <c r="F258" i="64"/>
  <c r="F257" i="64"/>
  <c r="F256" i="64"/>
  <c r="F255" i="64"/>
  <c r="F254" i="64"/>
  <c r="F253" i="64"/>
  <c r="F252" i="64"/>
  <c r="F251" i="64"/>
  <c r="F250" i="64"/>
  <c r="F249" i="64"/>
  <c r="F248" i="64"/>
  <c r="F247" i="64"/>
  <c r="F246" i="64"/>
  <c r="F245" i="64"/>
  <c r="F244" i="64"/>
  <c r="F243" i="64"/>
  <c r="F242" i="64"/>
  <c r="F241" i="64"/>
  <c r="F240" i="64"/>
  <c r="F239" i="64"/>
  <c r="F238" i="64"/>
  <c r="F237" i="64"/>
  <c r="F236" i="64"/>
  <c r="F235" i="64"/>
  <c r="F234" i="64"/>
  <c r="F233" i="64"/>
  <c r="F232" i="64"/>
  <c r="F231" i="64"/>
  <c r="F230" i="64"/>
  <c r="F229" i="64"/>
  <c r="F228" i="64"/>
  <c r="F227" i="64"/>
  <c r="F226" i="64"/>
  <c r="F225" i="64"/>
  <c r="F224" i="64"/>
  <c r="F223" i="64"/>
  <c r="F222" i="64"/>
  <c r="F221" i="64"/>
  <c r="F220" i="64"/>
  <c r="F219" i="64"/>
  <c r="F218" i="64"/>
  <c r="F217" i="64"/>
  <c r="F216" i="64"/>
  <c r="F215" i="64"/>
  <c r="F214" i="64"/>
  <c r="F213" i="64"/>
  <c r="F212" i="64"/>
  <c r="F211" i="64"/>
  <c r="F210" i="64"/>
  <c r="F209" i="64"/>
  <c r="F208" i="64"/>
  <c r="F207" i="64"/>
  <c r="F206" i="64"/>
  <c r="F205" i="64"/>
  <c r="F204" i="64"/>
  <c r="F203" i="64"/>
  <c r="F202" i="64"/>
  <c r="F201" i="64"/>
  <c r="F200" i="64"/>
  <c r="F199" i="64"/>
  <c r="F198" i="64"/>
  <c r="F197" i="64"/>
  <c r="F196" i="64"/>
  <c r="F195" i="64"/>
  <c r="F194" i="64"/>
  <c r="F193" i="64"/>
  <c r="F192" i="64"/>
  <c r="F191" i="64"/>
  <c r="F190" i="64"/>
  <c r="F189" i="64"/>
  <c r="F188" i="64"/>
  <c r="F187" i="64"/>
  <c r="F186" i="64"/>
  <c r="F185" i="64"/>
  <c r="F184" i="64"/>
  <c r="F183" i="64"/>
  <c r="F182" i="64"/>
  <c r="F181" i="64"/>
  <c r="F180" i="64"/>
  <c r="F179" i="64"/>
  <c r="F178" i="64"/>
  <c r="F177" i="64"/>
  <c r="F176" i="64"/>
  <c r="F175" i="64"/>
  <c r="F174" i="64"/>
  <c r="F173" i="64"/>
  <c r="F172" i="64"/>
  <c r="F171" i="64"/>
  <c r="F170" i="64"/>
  <c r="F169" i="64"/>
  <c r="F168" i="64"/>
  <c r="F167" i="64"/>
  <c r="F166" i="64"/>
  <c r="F165" i="64"/>
  <c r="F164" i="64"/>
  <c r="F163" i="64"/>
  <c r="F162" i="64"/>
  <c r="F161" i="64"/>
  <c r="F160" i="64"/>
  <c r="F159" i="64"/>
  <c r="F158" i="64"/>
  <c r="F157" i="64"/>
  <c r="F156" i="64"/>
  <c r="F155" i="64"/>
  <c r="F154" i="64"/>
  <c r="F153" i="64"/>
  <c r="F152" i="64"/>
  <c r="F151" i="64"/>
  <c r="F150" i="64"/>
  <c r="F149" i="64"/>
  <c r="F148" i="64"/>
  <c r="F147" i="64"/>
  <c r="F146" i="64"/>
  <c r="F145" i="64"/>
  <c r="F144" i="64"/>
  <c r="F143" i="64"/>
  <c r="F142" i="64"/>
  <c r="F141" i="64"/>
  <c r="F140" i="64"/>
  <c r="F137" i="64"/>
  <c r="F136" i="64"/>
  <c r="F135" i="64"/>
  <c r="F134" i="64"/>
  <c r="F133" i="64"/>
  <c r="F132" i="64"/>
  <c r="F131" i="64"/>
  <c r="F130" i="64"/>
  <c r="F129" i="64"/>
  <c r="F128" i="64"/>
  <c r="F127" i="64"/>
  <c r="F126" i="64"/>
  <c r="F125" i="64"/>
  <c r="F124" i="64"/>
  <c r="F123" i="64"/>
  <c r="F122" i="64"/>
  <c r="F121" i="64"/>
  <c r="F120" i="64"/>
  <c r="F119" i="64"/>
  <c r="F118" i="64"/>
  <c r="F117" i="64"/>
  <c r="F116" i="64"/>
  <c r="F115" i="64"/>
  <c r="F114" i="64"/>
  <c r="F113" i="64"/>
  <c r="F112" i="64"/>
  <c r="F111" i="64"/>
  <c r="F110" i="64"/>
  <c r="F109" i="64"/>
  <c r="F108" i="64"/>
  <c r="F107" i="64"/>
  <c r="F106" i="64"/>
  <c r="F105" i="64"/>
  <c r="F104" i="64"/>
  <c r="F103" i="64"/>
  <c r="F102" i="64"/>
  <c r="F101" i="64"/>
  <c r="F100" i="64"/>
  <c r="F99" i="64"/>
  <c r="F98" i="64"/>
  <c r="F95" i="64"/>
  <c r="F94" i="64"/>
  <c r="F93" i="64"/>
  <c r="F92" i="64"/>
  <c r="F91" i="64"/>
  <c r="F90" i="64"/>
  <c r="F89" i="64"/>
  <c r="F88" i="64"/>
  <c r="F87" i="64"/>
  <c r="F86" i="64"/>
  <c r="F85" i="64"/>
  <c r="F84" i="64"/>
  <c r="F83" i="64"/>
  <c r="F82" i="64"/>
  <c r="F81" i="64"/>
  <c r="F80" i="64"/>
  <c r="F79" i="64"/>
  <c r="F78" i="64"/>
  <c r="F77" i="64"/>
  <c r="F76" i="64"/>
  <c r="F75" i="64"/>
  <c r="F74" i="64"/>
  <c r="F73" i="64"/>
  <c r="F72" i="64"/>
  <c r="F71" i="64"/>
  <c r="F70" i="64"/>
  <c r="F69" i="64"/>
  <c r="F68" i="64"/>
  <c r="F67" i="64"/>
  <c r="F66" i="64"/>
  <c r="F65" i="64"/>
  <c r="F64" i="64"/>
  <c r="F63" i="64"/>
  <c r="F62" i="64"/>
  <c r="F61" i="64"/>
  <c r="F60" i="64"/>
  <c r="F59" i="64"/>
  <c r="F58" i="64"/>
  <c r="F57" i="64"/>
  <c r="F56" i="64"/>
  <c r="F53" i="64"/>
  <c r="F52" i="64"/>
  <c r="F51" i="64"/>
  <c r="F50" i="64"/>
  <c r="F49" i="64"/>
  <c r="F48" i="64"/>
  <c r="F47" i="64"/>
  <c r="F46" i="64"/>
  <c r="F45" i="64"/>
  <c r="F44" i="64"/>
  <c r="F43" i="64"/>
  <c r="F42" i="64"/>
  <c r="F41" i="64"/>
  <c r="F40" i="64"/>
  <c r="F39" i="64"/>
  <c r="F38" i="64"/>
  <c r="F37" i="64"/>
  <c r="F36" i="64"/>
  <c r="F35" i="64"/>
  <c r="F34" i="64"/>
  <c r="F33" i="64"/>
  <c r="F32" i="64"/>
  <c r="F31" i="64"/>
  <c r="F30" i="64"/>
  <c r="F29" i="64"/>
  <c r="F28" i="64"/>
  <c r="F27" i="64"/>
  <c r="F26" i="64"/>
  <c r="F25" i="64"/>
  <c r="F24" i="64"/>
  <c r="F23" i="64"/>
  <c r="F22" i="64"/>
  <c r="F17" i="64"/>
  <c r="F16" i="64"/>
  <c r="F15" i="64"/>
  <c r="F14" i="64"/>
  <c r="F13" i="64"/>
  <c r="F12" i="64"/>
  <c r="F11" i="64"/>
  <c r="F10" i="64"/>
  <c r="F9" i="64"/>
  <c r="F8" i="64"/>
  <c r="F7" i="64"/>
  <c r="F6" i="64"/>
  <c r="F5" i="64"/>
  <c r="F4" i="64"/>
  <c r="F3" i="64"/>
  <c r="F2" i="64"/>
  <c r="F306" i="63"/>
  <c r="F307" i="63" s="1"/>
  <c r="F298" i="63"/>
  <c r="F297" i="63"/>
  <c r="F296" i="63"/>
  <c r="F295" i="63"/>
  <c r="F294" i="63"/>
  <c r="F293" i="63"/>
  <c r="F292" i="63"/>
  <c r="F291" i="63"/>
  <c r="F290" i="63"/>
  <c r="F289" i="63"/>
  <c r="F288" i="63"/>
  <c r="F287" i="63"/>
  <c r="F286" i="63"/>
  <c r="F285" i="63"/>
  <c r="F284" i="63"/>
  <c r="F283" i="63"/>
  <c r="F282" i="63"/>
  <c r="F281" i="63"/>
  <c r="F280" i="63"/>
  <c r="F279" i="63"/>
  <c r="F278" i="63"/>
  <c r="F277" i="63"/>
  <c r="F276" i="63"/>
  <c r="F275" i="63"/>
  <c r="F274" i="63"/>
  <c r="F273" i="63"/>
  <c r="F272" i="63"/>
  <c r="F271" i="63"/>
  <c r="F270" i="63"/>
  <c r="F269" i="63"/>
  <c r="F268" i="63"/>
  <c r="F267" i="63"/>
  <c r="F266" i="63"/>
  <c r="F265" i="63"/>
  <c r="F264" i="63"/>
  <c r="F263" i="63"/>
  <c r="F262" i="63"/>
  <c r="F261" i="63"/>
  <c r="F260" i="63"/>
  <c r="F259" i="63"/>
  <c r="F258" i="63"/>
  <c r="F257" i="63"/>
  <c r="F256" i="63"/>
  <c r="F255" i="63"/>
  <c r="F254" i="63"/>
  <c r="F253" i="63"/>
  <c r="F252" i="63"/>
  <c r="F251" i="63"/>
  <c r="F250" i="63"/>
  <c r="F249" i="63"/>
  <c r="F248" i="63"/>
  <c r="F247" i="63"/>
  <c r="F246" i="63"/>
  <c r="F245" i="63"/>
  <c r="F244" i="63"/>
  <c r="F243" i="63"/>
  <c r="F242" i="63"/>
  <c r="F241" i="63"/>
  <c r="F240" i="63"/>
  <c r="F239" i="63"/>
  <c r="F238" i="63"/>
  <c r="F237" i="63"/>
  <c r="F236" i="63"/>
  <c r="F235" i="63"/>
  <c r="F234" i="63"/>
  <c r="F233" i="63"/>
  <c r="F232" i="63"/>
  <c r="F231" i="63"/>
  <c r="F230" i="63"/>
  <c r="F229" i="63"/>
  <c r="F228" i="63"/>
  <c r="F227" i="63"/>
  <c r="F226" i="63"/>
  <c r="F225" i="63"/>
  <c r="F224" i="63"/>
  <c r="F223" i="63"/>
  <c r="F222" i="63"/>
  <c r="F221" i="63"/>
  <c r="F220" i="63"/>
  <c r="F219" i="63"/>
  <c r="F218" i="63"/>
  <c r="F217" i="63"/>
  <c r="F216" i="63"/>
  <c r="F215" i="63"/>
  <c r="F214" i="63"/>
  <c r="F213" i="63"/>
  <c r="F212" i="63"/>
  <c r="F211" i="63"/>
  <c r="F210" i="63"/>
  <c r="F209" i="63"/>
  <c r="F208" i="63"/>
  <c r="F207" i="63"/>
  <c r="F206" i="63"/>
  <c r="F205" i="63"/>
  <c r="F204" i="63"/>
  <c r="F203" i="63"/>
  <c r="F202" i="63"/>
  <c r="F201" i="63"/>
  <c r="F200" i="63"/>
  <c r="F199" i="63"/>
  <c r="F198" i="63"/>
  <c r="F197" i="63"/>
  <c r="F196" i="63"/>
  <c r="F195" i="63"/>
  <c r="F42" i="63"/>
  <c r="F41" i="63"/>
  <c r="F40" i="63"/>
  <c r="F39" i="63"/>
  <c r="F38" i="63"/>
  <c r="F37" i="63"/>
  <c r="F36" i="63"/>
  <c r="F35" i="63"/>
  <c r="F34" i="63"/>
  <c r="F33" i="63"/>
  <c r="F32" i="63"/>
  <c r="F31" i="63"/>
  <c r="F30" i="63"/>
  <c r="F29" i="63"/>
  <c r="F28" i="63"/>
  <c r="F27" i="63"/>
  <c r="F26" i="63"/>
  <c r="F25" i="63"/>
  <c r="F24" i="63"/>
  <c r="F23" i="63"/>
  <c r="F22" i="63"/>
  <c r="F21" i="63"/>
  <c r="F20" i="63"/>
  <c r="F19" i="63"/>
  <c r="F18" i="63"/>
  <c r="F17" i="63"/>
  <c r="F16" i="63"/>
  <c r="F15" i="63"/>
  <c r="F14" i="63"/>
  <c r="F13" i="63"/>
  <c r="F12" i="63"/>
  <c r="F11" i="63"/>
  <c r="F10" i="63"/>
  <c r="F9" i="63"/>
  <c r="F8" i="63"/>
  <c r="F7" i="63"/>
  <c r="F6" i="63"/>
  <c r="F5" i="63"/>
  <c r="F4" i="63"/>
  <c r="F3" i="63"/>
  <c r="F274" i="62"/>
  <c r="F275" i="62" s="1"/>
  <c r="F266" i="62"/>
  <c r="F265" i="62"/>
  <c r="F264" i="62"/>
  <c r="F263" i="62"/>
  <c r="F262" i="62"/>
  <c r="F261" i="62"/>
  <c r="F260" i="62"/>
  <c r="F259" i="62"/>
  <c r="F258" i="62"/>
  <c r="F257" i="62"/>
  <c r="F256" i="62"/>
  <c r="F255" i="62"/>
  <c r="F254" i="62"/>
  <c r="F253" i="62"/>
  <c r="F252" i="62"/>
  <c r="F251" i="62"/>
  <c r="F250" i="62"/>
  <c r="F249" i="62"/>
  <c r="F248" i="62"/>
  <c r="F247" i="62"/>
  <c r="F246" i="62"/>
  <c r="F245" i="62"/>
  <c r="F244" i="62"/>
  <c r="F243" i="62"/>
  <c r="F242" i="62"/>
  <c r="F241" i="62"/>
  <c r="F240" i="62"/>
  <c r="F239" i="62"/>
  <c r="F238" i="62"/>
  <c r="F237" i="62"/>
  <c r="F236" i="62"/>
  <c r="F235" i="62"/>
  <c r="F234" i="62"/>
  <c r="F233" i="62"/>
  <c r="F232" i="62"/>
  <c r="F231" i="62"/>
  <c r="F230" i="62"/>
  <c r="F229" i="62"/>
  <c r="F228" i="62"/>
  <c r="F227" i="62"/>
  <c r="F226" i="62"/>
  <c r="F225" i="62"/>
  <c r="F224" i="62"/>
  <c r="F223" i="62"/>
  <c r="F222" i="62"/>
  <c r="F221" i="62"/>
  <c r="F220" i="62"/>
  <c r="F219" i="62"/>
  <c r="F218" i="62"/>
  <c r="F217" i="62"/>
  <c r="F216" i="62"/>
  <c r="F215" i="62"/>
  <c r="F214" i="62"/>
  <c r="F213" i="62"/>
  <c r="F212" i="62"/>
  <c r="F211" i="62"/>
  <c r="F210" i="62"/>
  <c r="F209" i="62"/>
  <c r="F208" i="62"/>
  <c r="F207" i="62"/>
  <c r="F206" i="62"/>
  <c r="F205" i="62"/>
  <c r="F204" i="62"/>
  <c r="F203" i="62"/>
  <c r="F202" i="62"/>
  <c r="F201" i="62"/>
  <c r="F200" i="62"/>
  <c r="F199" i="62"/>
  <c r="F198" i="62"/>
  <c r="F197" i="62"/>
  <c r="F196" i="62"/>
  <c r="F195" i="62"/>
  <c r="F194" i="62"/>
  <c r="F193" i="62"/>
  <c r="F192" i="62"/>
  <c r="F191" i="62"/>
  <c r="F190" i="62"/>
  <c r="F189" i="62"/>
  <c r="F188" i="62"/>
  <c r="F187" i="62"/>
  <c r="F186" i="62"/>
  <c r="F185" i="62"/>
  <c r="F184" i="62"/>
  <c r="F183" i="62"/>
  <c r="F182" i="62"/>
  <c r="F181" i="62"/>
  <c r="F180" i="62"/>
  <c r="F179" i="62"/>
  <c r="F178" i="62"/>
  <c r="F177" i="62"/>
  <c r="F176" i="62"/>
  <c r="F175" i="62"/>
  <c r="F174" i="62"/>
  <c r="F173" i="62"/>
  <c r="F172" i="62"/>
  <c r="F171" i="62"/>
  <c r="F170" i="62"/>
  <c r="F169" i="62"/>
  <c r="F168" i="62"/>
  <c r="F167" i="62"/>
  <c r="F166" i="62"/>
  <c r="F165" i="62"/>
  <c r="F164" i="62"/>
  <c r="F163" i="62"/>
  <c r="F162" i="62"/>
  <c r="F161" i="62"/>
  <c r="F160" i="62"/>
  <c r="F159" i="62"/>
  <c r="F158" i="62"/>
  <c r="F157" i="62"/>
  <c r="F156" i="62"/>
  <c r="F155" i="62"/>
  <c r="F154" i="62"/>
  <c r="F153" i="62"/>
  <c r="F152" i="62"/>
  <c r="F151" i="62"/>
  <c r="F150" i="62"/>
  <c r="F149" i="62"/>
  <c r="F148" i="62"/>
  <c r="F147" i="62"/>
  <c r="F146" i="62"/>
  <c r="F145" i="62"/>
  <c r="F144" i="62"/>
  <c r="F143" i="62"/>
  <c r="F142" i="62"/>
  <c r="F141" i="62"/>
  <c r="F140" i="62"/>
  <c r="F139" i="62"/>
  <c r="F37" i="62"/>
  <c r="F36" i="62"/>
  <c r="F35" i="62"/>
  <c r="F34" i="62"/>
  <c r="F33" i="62"/>
  <c r="F32" i="62"/>
  <c r="F31" i="62"/>
  <c r="F30" i="62"/>
  <c r="F29" i="62"/>
  <c r="F28" i="62"/>
  <c r="F27" i="62"/>
  <c r="F26" i="62"/>
  <c r="F25" i="62"/>
  <c r="F24" i="62"/>
  <c r="F23" i="62"/>
  <c r="F22" i="62"/>
  <c r="F21" i="62"/>
  <c r="F20" i="62"/>
  <c r="F19" i="62"/>
  <c r="F18" i="62"/>
  <c r="F17" i="62"/>
  <c r="F16" i="62"/>
  <c r="F15" i="62"/>
  <c r="F14" i="62"/>
  <c r="F13" i="62"/>
  <c r="F12" i="62"/>
  <c r="F11" i="62"/>
  <c r="F10" i="62"/>
  <c r="F9" i="62"/>
  <c r="F8" i="62"/>
  <c r="F7" i="62"/>
  <c r="F6" i="62"/>
  <c r="F5" i="62"/>
  <c r="F4" i="62"/>
  <c r="L7" i="51" l="1"/>
  <c r="L4" i="51"/>
  <c r="L8" i="51"/>
  <c r="C2" i="50"/>
  <c r="C15" i="50" s="1"/>
  <c r="E2" i="50"/>
  <c r="D2" i="50"/>
  <c r="D15" i="50" s="1"/>
  <c r="J6" i="50"/>
  <c r="J7" i="50"/>
  <c r="G13" i="50"/>
  <c r="J3" i="50"/>
  <c r="G3" i="50"/>
  <c r="J11" i="50"/>
  <c r="G11" i="50"/>
  <c r="J4" i="50"/>
  <c r="G4" i="50"/>
  <c r="J5" i="50"/>
  <c r="J9" i="50"/>
  <c r="J12" i="50"/>
  <c r="G10" i="50"/>
  <c r="G8" i="50"/>
  <c r="J8" i="50"/>
  <c r="H15" i="50"/>
  <c r="G7" i="50"/>
  <c r="F300" i="72"/>
  <c r="F300" i="71"/>
  <c r="F300" i="70"/>
  <c r="F300" i="69"/>
  <c r="F300" i="68"/>
  <c r="F300" i="67"/>
  <c r="F300" i="66"/>
  <c r="F300" i="65"/>
  <c r="F300" i="64"/>
  <c r="F300" i="63"/>
  <c r="F268" i="62"/>
  <c r="B2" i="50" l="1"/>
  <c r="J13" i="50"/>
  <c r="B15" i="50" l="1"/>
  <c r="E15" i="50"/>
  <c r="F2" i="50"/>
  <c r="G2" i="50" l="1"/>
  <c r="G15" i="50" s="1"/>
  <c r="J2" i="50"/>
  <c r="J15" i="50" s="1"/>
  <c r="F15" i="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1D065888-3F3D-4373-8F39-B29EE6BF9850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D75B44A6-2B40-4C26-984C-E575085FA9AD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E61846DC-8563-448C-8124-D8D1AE9EF4E7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D37C56CC-E9DB-40F6-85EE-C6C5AD527D89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5C8C6AF6-76D0-43DB-8C2A-214328A22702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B830347A-07B0-4877-BD4E-7A28BC5C1510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D3684CC9-4A98-4E87-934F-4DBBD432230C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73B8D949-AACC-469B-953C-4B1164D70344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D503D3C8-2189-4AC6-882F-44BDD26EF88E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393E5962-46EE-45B9-82DB-E4E455781EF9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FD44CC06-2EDC-4958-87D7-0BF2B67D58C2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DE84A5C6-B463-4C12-B0FB-8DB664AF79E3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26FBC3C8-259B-4F89-91E0-5E335DF12C81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FBEADAB4-3DC4-4703-8A45-A48282D2AD50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F8FC00A0-EB74-48F8-AE80-10F6C4F0EBE4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B0CE93F1-5EC5-414D-975D-9BCB1A0D01B9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5C37A137-A8AF-4360-9F3C-3BB7F0008805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446EAE8A-1970-4753-B6C0-EE2733E443C0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D07C331A-172D-4F47-A330-A011FE7FB807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4571250C-C715-4EA3-B25C-F58635BD8FA6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31EEFD4B-2FD0-4585-BB0E-E2D424022A30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5082007F-988A-4010-8B6F-825ACA1D128D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boettcherm</author>
  </authors>
  <commentList>
    <comment ref="J1" authorId="0" shapeId="0" xr:uid="{BA20CB9F-A241-4999-BF77-24CD2B4EABDD}">
      <text>
        <r>
          <rPr>
            <b/>
            <sz val="9"/>
            <color indexed="81"/>
            <rFont val="Segoe UI"/>
            <family val="2"/>
          </rPr>
          <t>Please describe the task provided in a way that is comprehensible and understandable for the project lead.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B5DC682D-8832-4BF6-8ADE-805528B04F8B}">
      <text>
        <r>
          <rPr>
            <sz val="9"/>
            <color indexed="81"/>
            <rFont val="Segoe UI"/>
            <family val="2"/>
          </rPr>
          <t xml:space="preserve">If there is any "open topic" with a Task ID - see: \\intern.itego.de\Public\Itego Reference Data Management\Topic Detai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tc={F3D195D9-CDC2-4FDF-A1ED-7DF624B5706B}</author>
  </authors>
  <commentList>
    <comment ref="E1" authorId="0" shapeId="0" xr:uid="{F3D195D9-CDC2-4FDF-A1ED-7DF624B5706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Incl. Vacation, Illness, Public Holiday</t>
      </text>
    </comment>
  </commentList>
</comments>
</file>

<file path=xl/sharedStrings.xml><?xml version="1.0" encoding="utf-8"?>
<sst xmlns="http://schemas.openxmlformats.org/spreadsheetml/2006/main" count="5379" uniqueCount="222">
  <si>
    <t>Name</t>
  </si>
  <si>
    <t>146300100109</t>
  </si>
  <si>
    <t>PSP-Element</t>
  </si>
  <si>
    <r>
      <t xml:space="preserve">Date
</t>
    </r>
    <r>
      <rPr>
        <sz val="11"/>
        <color theme="0"/>
        <rFont val="Arial"/>
        <family val="2"/>
      </rPr>
      <t>TT.MM.JJJJ</t>
    </r>
  </si>
  <si>
    <r>
      <t xml:space="preserve">from
</t>
    </r>
    <r>
      <rPr>
        <sz val="11"/>
        <color theme="0"/>
        <rFont val="Arial"/>
        <family val="2"/>
      </rPr>
      <t>hh:mm</t>
    </r>
  </si>
  <si>
    <r>
      <t xml:space="preserve">to
</t>
    </r>
    <r>
      <rPr>
        <sz val="11"/>
        <color theme="0"/>
        <rFont val="Arial"/>
        <family val="2"/>
      </rPr>
      <t>hh:mm</t>
    </r>
  </si>
  <si>
    <t>hours
autom. calculated</t>
  </si>
  <si>
    <t>Topic (long text)</t>
  </si>
  <si>
    <t>Topic (short text)</t>
  </si>
  <si>
    <t>RDM Classic Mode</t>
  </si>
  <si>
    <t>RDM Cloud Ready Mode</t>
  </si>
  <si>
    <t>Formula</t>
  </si>
  <si>
    <t>Sum (hours)</t>
  </si>
  <si>
    <t>Sum (days)</t>
  </si>
  <si>
    <t>Off (Out of Office, Vacation, Public Holiday)</t>
  </si>
  <si>
    <t>Miscellaneous (Organization, …)</t>
  </si>
  <si>
    <t>Task</t>
  </si>
  <si>
    <t>Task Group (short text)</t>
  </si>
  <si>
    <t>Task Group (long text)</t>
  </si>
  <si>
    <t>1C RDM - RDM Classic</t>
  </si>
  <si>
    <t>2C RDM C - RDM Cloud Ready</t>
  </si>
  <si>
    <t>9O Off</t>
  </si>
  <si>
    <t>9M Misc</t>
  </si>
  <si>
    <t>DV Development</t>
  </si>
  <si>
    <t>OR Organization</t>
  </si>
  <si>
    <t>CU Customer Support</t>
  </si>
  <si>
    <t>SA Sales</t>
  </si>
  <si>
    <t>BD Business Development</t>
  </si>
  <si>
    <t>TR Travel</t>
  </si>
  <si>
    <t>VA Vacation</t>
  </si>
  <si>
    <t>HO (Public) Holiday</t>
  </si>
  <si>
    <t>IL Illness</t>
  </si>
  <si>
    <t>CO Coding</t>
  </si>
  <si>
    <t>AL Alignment</t>
  </si>
  <si>
    <t>DO Documentation</t>
  </si>
  <si>
    <t>TE Testing and Quality</t>
  </si>
  <si>
    <t xml:space="preserve">BU Bugfixing </t>
  </si>
  <si>
    <t>IN Investigation</t>
  </si>
  <si>
    <t>BO Bookkeeping, Invoices, Contracts</t>
  </si>
  <si>
    <t>MI Misc</t>
  </si>
  <si>
    <t>CB Consulting (billable)</t>
  </si>
  <si>
    <t>CN Consulting (non billable)</t>
  </si>
  <si>
    <t>MA Marketing</t>
  </si>
  <si>
    <t>NE Negotiating Contracts</t>
  </si>
  <si>
    <t>TR Translation</t>
  </si>
  <si>
    <t>9O Off (incl. VA, IL, HO)</t>
  </si>
  <si>
    <t>Task ID</t>
  </si>
  <si>
    <t>LastName, FirstName</t>
  </si>
  <si>
    <t>Month</t>
  </si>
  <si>
    <t>Vacation (days)</t>
  </si>
  <si>
    <t>Sum</t>
  </si>
  <si>
    <t>hour/week</t>
  </si>
  <si>
    <t>days/week</t>
  </si>
  <si>
    <t>Project (mandatory)</t>
  </si>
  <si>
    <t>Topic (mandatory)</t>
  </si>
  <si>
    <t>Task Group (optional)</t>
  </si>
  <si>
    <t xml:space="preserve">Description (optional)
</t>
  </si>
  <si>
    <t>Last Name</t>
  </si>
  <si>
    <t>First Name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</si>
  <si>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</si>
  <si>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</si>
  <si>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</si>
  <si>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</si>
  <si>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</si>
  <si>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</si>
  <si>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</si>
  <si>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</si>
  <si>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</si>
  <si>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</si>
  <si>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</si>
  <si>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</si>
  <si>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Weekend / Wochenende</t>
  </si>
  <si>
    <t>The Three Wise Men / Die Heiligen drei Könige</t>
  </si>
  <si>
    <t>hours/day</t>
  </si>
  <si>
    <t>Vacation (hours)</t>
  </si>
  <si>
    <t>Left</t>
  </si>
  <si>
    <t>Year</t>
  </si>
  <si>
    <t>Good Friday / Karfreitag</t>
  </si>
  <si>
    <t>Easter Monday / Ostermontag</t>
  </si>
  <si>
    <t>Labor Day / Tag der Arbeit</t>
  </si>
  <si>
    <t>Whit Monday / Pfingstmontag</t>
  </si>
  <si>
    <t>Fronleichnam / Corpus Christi</t>
  </si>
  <si>
    <t>German Unity Day / Tag der Deutschen Einheit</t>
  </si>
  <si>
    <t>All Saints Day / Allerheiligen</t>
  </si>
  <si>
    <t>Boxing Day / 2. Weihnachtstag</t>
  </si>
  <si>
    <t>Boxing Day / 1. Weihnachtstag</t>
  </si>
  <si>
    <t>Christmas / Heilig Abend</t>
  </si>
  <si>
    <t>New Year's Eve / Silvester</t>
  </si>
  <si>
    <t xml:space="preserve">New Year's Day / Neujahr </t>
  </si>
  <si>
    <t>Update through Mails</t>
  </si>
  <si>
    <t>Exxon Issue 1189 and ..90</t>
  </si>
  <si>
    <t>Maximilian</t>
  </si>
  <si>
    <t>Erlenbusch</t>
  </si>
  <si>
    <t xml:space="preserve">Start Systems, Email Check, Sorting of TODOs </t>
  </si>
  <si>
    <t>Exxon Issue 1189 - Deep Dive</t>
  </si>
  <si>
    <t>Sara, Farida, Mike Call - Listening In</t>
  </si>
  <si>
    <t>Exxon Issue 1189 - Deep Dive Continue</t>
  </si>
  <si>
    <t>Mike Call Search Query</t>
  </si>
  <si>
    <t>Start Systems, Setup of Equipment</t>
  </si>
  <si>
    <t>Jean-Marc Update on Cloud Ready State</t>
  </si>
  <si>
    <t>Itego Firmenfeier 10th Anniversary</t>
  </si>
  <si>
    <t>Code Comprehension of Mikes Code</t>
  </si>
  <si>
    <t>Testing of Mikes Code</t>
  </si>
  <si>
    <t>Quick 1:1 Michael &lt;-&gt; Maxi</t>
  </si>
  <si>
    <t>Coding Adaptation for Characterstics aswell + Testing</t>
  </si>
  <si>
    <t>Country 9903</t>
  </si>
  <si>
    <t>Cloud Ready Daily Alignment</t>
  </si>
  <si>
    <t>Michael &lt;-&gt; Maxi</t>
  </si>
  <si>
    <t>Community Breakfast</t>
  </si>
  <si>
    <t>Team Meating</t>
  </si>
  <si>
    <t>Troubleshooting Eclipse after Update (AAAAARGH!!!)</t>
  </si>
  <si>
    <t>9903 CDS Stack</t>
  </si>
  <si>
    <t>9903 ABAP Stack</t>
  </si>
  <si>
    <t>Jean-Marc - View Cluster Maintanance</t>
  </si>
  <si>
    <t>Troubleshooting Process Step Blockage during Customizing</t>
  </si>
  <si>
    <t>9903 Process Chain</t>
  </si>
  <si>
    <t>Timesheet Maintanance of last day - because of not pushed state</t>
  </si>
  <si>
    <t>RDM Dev Topics (Short)</t>
  </si>
  <si>
    <t>Auxilary Class, Saver Class</t>
  </si>
  <si>
    <t>Cloud Ready SAP Alignment</t>
  </si>
  <si>
    <t>Cloud Ready Workshop</t>
  </si>
  <si>
    <t>1:1 Michael Maxi</t>
  </si>
  <si>
    <t>1:1 Mike Maxi</t>
  </si>
  <si>
    <t>1177 &amp; 1196</t>
  </si>
  <si>
    <t>Testing of Mikes Code / Fix in IH2 - Mails Org.</t>
  </si>
  <si>
    <t>Process Automation - Getting rid of hardcoded VARs inside workflow coding</t>
  </si>
  <si>
    <t>Bayer - Reproduction of Error inside ID1. Maintaining OT Document</t>
  </si>
  <si>
    <t>Bayer Call - CHAR and CLASS regarding ITR Scope +/- SAP Scope</t>
  </si>
  <si>
    <t>Debugging of Single Gov ABAP Stack</t>
  </si>
  <si>
    <t>Tester Meeting</t>
  </si>
  <si>
    <t>Daily Cloud Ready Alginment</t>
  </si>
  <si>
    <t>Dev Topics (Long)</t>
  </si>
  <si>
    <t>Mails Update</t>
  </si>
  <si>
    <t>Cloud Ready Alignment</t>
  </si>
  <si>
    <t>Mail to JM -&gt; PA, Debugging of Single Gov</t>
  </si>
  <si>
    <t>Big Block - Mails, Debugging Single Gov, Requesting Help -&gt; SCS2, Start of Testing</t>
  </si>
  <si>
    <t>Kolloqium</t>
  </si>
  <si>
    <t>Business Lunch?</t>
  </si>
  <si>
    <t>BLOCKER</t>
  </si>
  <si>
    <t>hours/month</t>
  </si>
  <si>
    <t>Mails , Start Systems, etc</t>
  </si>
  <si>
    <t>Conarum Call -&gt; Talk w. Hieu</t>
  </si>
  <si>
    <t>SEGW, ODATA Wrapping</t>
  </si>
  <si>
    <t>CLR Issue</t>
  </si>
  <si>
    <t>Mails, RDM DEV Short</t>
  </si>
  <si>
    <t>Starting to look into tools that make our process more clear without using a "one size fits all" result</t>
  </si>
  <si>
    <t>Cloud Ready Jour Fixe - SAP Alignment</t>
  </si>
  <si>
    <t>Debugging of MaSchmi's recommendations</t>
  </si>
  <si>
    <t>Duplication of Namespace Object. Navigation Message BAS Coding</t>
  </si>
  <si>
    <t>Process Issue Single Gov</t>
  </si>
  <si>
    <t>Testmeeting</t>
  </si>
  <si>
    <t>Creating User for Conarum IS1</t>
  </si>
  <si>
    <t>Cloud Ready Jour Fixe</t>
  </si>
  <si>
    <t>Selly Update</t>
  </si>
  <si>
    <t>Fixed Process Issue !</t>
  </si>
  <si>
    <t>JM, Vogt, MaSchmi, Pfisterer, UI Topics</t>
  </si>
  <si>
    <t>NAV Message</t>
  </si>
  <si>
    <t>JANUAR</t>
  </si>
  <si>
    <t>FEBRUAR</t>
  </si>
  <si>
    <t>MÄRZ</t>
  </si>
  <si>
    <t>APRIL</t>
  </si>
  <si>
    <t>Mo</t>
  </si>
  <si>
    <t>Di</t>
  </si>
  <si>
    <t>Mi</t>
  </si>
  <si>
    <t>Do</t>
  </si>
  <si>
    <t>Fr</t>
  </si>
  <si>
    <t>Sa</t>
  </si>
  <si>
    <t>So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</si>
  <si>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</si>
  <si>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</si>
  <si>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</si>
  <si>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</si>
  <si>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</si>
  <si>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</si>
  <si>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</si>
  <si>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</si>
  <si>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Baden-Württemberg</t>
  </si>
  <si>
    <t>Krankheit</t>
  </si>
  <si>
    <t>Feiertag</t>
  </si>
  <si>
    <t>Potentieller Urlaub</t>
  </si>
  <si>
    <t>Gebuchter Urlaub</t>
  </si>
  <si>
    <t>1C RDM 
RDM Classic</t>
  </si>
  <si>
    <t>2C RDM C 
RDM Cloud Ready</t>
  </si>
  <si>
    <t>9O Off
 (incl. VA, IL, HO)</t>
  </si>
  <si>
    <t>Sum 
(hours)</t>
  </si>
  <si>
    <t>Sum 
(days)</t>
  </si>
  <si>
    <t>To be 
(hours)</t>
  </si>
  <si>
    <t>To be 
(days)</t>
  </si>
  <si>
    <t xml:space="preserve"> +/- 
(hours)</t>
  </si>
  <si>
    <t>Vacation 
(hours)</t>
  </si>
  <si>
    <t>Ticket Tool, Mails, Start Systems, Replication of errors</t>
  </si>
  <si>
    <t>1177, 1216</t>
  </si>
  <si>
    <t>Client Contact Mails</t>
  </si>
  <si>
    <t>Concert</t>
  </si>
  <si>
    <t>Tool Dev</t>
  </si>
  <si>
    <t>Cloud Ready SAP alignment</t>
  </si>
  <si>
    <t>Time Sheet Maintanance</t>
  </si>
  <si>
    <t>Pre Bayer Call</t>
  </si>
  <si>
    <t>Bayer Call</t>
  </si>
  <si>
    <t>Günter &lt;-&gt; Maxi</t>
  </si>
  <si>
    <t>Tool Dev, Transport Management</t>
  </si>
  <si>
    <t xml:space="preserve">Daily Cloud Ready Alignment - Successfully implementing Editable Keys for Texts </t>
  </si>
  <si>
    <t>Code Comparison Bayer &lt;-&gt; ID1; Farida Call (quick); CLR Single Gov</t>
  </si>
  <si>
    <t>Quick Talk w. Michael about Open Prod. Hier. Tickets</t>
  </si>
  <si>
    <t>Prod Hier Tickets - Sichtung</t>
  </si>
  <si>
    <t>Activation Error Debugging</t>
  </si>
  <si>
    <t>TODO</t>
  </si>
  <si>
    <t>Team Meeting</t>
  </si>
  <si>
    <t>Mails</t>
  </si>
  <si>
    <t>Mike &lt;-&gt; Maxi: Prod Hier.</t>
  </si>
  <si>
    <t>Text Entries not persisted</t>
  </si>
  <si>
    <t>Text Entries now Work. Features Instance. Check Method and DQM Infrastructure</t>
  </si>
  <si>
    <t>Dev Meeting &amp; Mike &lt;-&gt; Maxi</t>
  </si>
  <si>
    <t>Mails and Bayer Access</t>
  </si>
  <si>
    <t>Bayer Access</t>
  </si>
  <si>
    <r>
      <t xml:space="preserve">Bayer Access &amp; Hotline Call - </t>
    </r>
    <r>
      <rPr>
        <b/>
        <sz val="11"/>
        <color theme="9"/>
        <rFont val="Arial"/>
        <family val="2"/>
      </rPr>
      <t xml:space="preserve">Access Successful </t>
    </r>
    <r>
      <rPr>
        <sz val="11"/>
        <color theme="1"/>
        <rFont val="Arial"/>
        <family val="2"/>
      </rPr>
      <t>!</t>
    </r>
  </si>
  <si>
    <t>Mike &lt;-&gt; Maxi. Various Topics and Tickets - Deep Dive</t>
  </si>
  <si>
    <t>Bayer Acess. Conarum Mail</t>
  </si>
  <si>
    <t>Tool</t>
  </si>
  <si>
    <t>Basis Meeting</t>
  </si>
  <si>
    <t>SAP Alignment</t>
  </si>
  <si>
    <t>basis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</si>
</sst>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6"/>
      <color theme="0"/>
      <name val="Candara"/>
      <family val="2"/>
    </font>
    <font>
      <sz val="10"/>
      <name val="Candara"/>
      <family val="2"/>
    </font>
    <font>
      <b/>
      <sz val="10"/>
      <color indexed="9"/>
      <name val="Candara"/>
      <family val="2"/>
    </font>
    <font>
      <sz val="8"/>
      <name val="Candara"/>
      <family val="2"/>
    </font>
    <font>
      <b/>
      <sz val="11"/>
      <color theme="9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1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3" tint="0.59999389629810485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9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499984740745262"/>
      </left>
      <right style="thin">
        <color indexed="9"/>
      </right>
      <top style="medium">
        <color theme="0" tint="-0.499984740745262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theme="0" tint="-0.499984740745262"/>
      </top>
      <bottom style="thin">
        <color indexed="9"/>
      </bottom>
      <diagonal/>
    </border>
    <border>
      <left style="thin">
        <color indexed="9"/>
      </left>
      <right style="medium">
        <color theme="0" tint="-0.499984740745262"/>
      </right>
      <top style="medium">
        <color theme="0" tint="-0.499984740745262"/>
      </top>
      <bottom style="thin">
        <color indexed="9"/>
      </bottom>
      <diagonal/>
    </border>
    <border>
      <left style="medium">
        <color theme="0" tint="-0.499984740745262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theme="0" tint="-0.499984740745262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medium">
        <color theme="0" tint="-0.499984740745262"/>
      </right>
      <top style="thin">
        <color indexed="9"/>
      </top>
      <bottom style="thin">
        <color indexed="9"/>
      </bottom>
      <diagonal/>
    </border>
    <border>
      <left style="medium">
        <color theme="0" tint="-0.499984740745262"/>
      </left>
      <right style="medium">
        <color theme="0"/>
      </right>
      <top style="thin">
        <color indexed="9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9"/>
      </top>
      <bottom style="medium">
        <color theme="0"/>
      </bottom>
      <diagonal/>
    </border>
    <border>
      <left style="medium">
        <color theme="0"/>
      </left>
      <right style="thin">
        <color indexed="9"/>
      </right>
      <top style="thin">
        <color indexed="9"/>
      </top>
      <bottom style="medium">
        <color theme="0"/>
      </bottom>
      <diagonal/>
    </border>
    <border>
      <left/>
      <right style="medium">
        <color theme="0"/>
      </right>
      <top style="thin">
        <color indexed="9"/>
      </top>
      <bottom style="medium">
        <color theme="0"/>
      </bottom>
      <diagonal/>
    </border>
    <border>
      <left style="medium">
        <color theme="0" tint="-0.499984740745262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9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medium">
        <color theme="0"/>
      </right>
      <top style="medium">
        <color theme="0"/>
      </top>
      <bottom style="thin">
        <color indexed="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9"/>
      </bottom>
      <diagonal/>
    </border>
    <border>
      <left style="medium">
        <color theme="0"/>
      </left>
      <right style="thin">
        <color indexed="9"/>
      </right>
      <top style="medium">
        <color theme="0"/>
      </top>
      <bottom style="thin">
        <color indexed="9"/>
      </bottom>
      <diagonal/>
    </border>
    <border>
      <left style="medium">
        <color theme="0" tint="-0.499984740745262"/>
      </left>
      <right/>
      <top style="thin">
        <color indexed="9"/>
      </top>
      <bottom style="thin">
        <color indexed="9"/>
      </bottom>
      <diagonal/>
    </border>
    <border>
      <left style="medium">
        <color theme="0" tint="-0.499984740745262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theme="0" tint="-0.499984740745262"/>
      </left>
      <right style="thin">
        <color indexed="9"/>
      </right>
      <top/>
      <bottom style="thin">
        <color indexed="9"/>
      </bottom>
      <diagonal/>
    </border>
    <border>
      <left style="medium">
        <color theme="0" tint="-0.499984740745262"/>
      </left>
      <right style="thin">
        <color indexed="9"/>
      </right>
      <top style="thin">
        <color indexed="9"/>
      </top>
      <bottom style="medium">
        <color theme="0" tint="-0.49998474074526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theme="0" tint="-0.499984740745262"/>
      </bottom>
      <diagonal/>
    </border>
    <border>
      <left style="thin">
        <color indexed="9"/>
      </left>
      <right style="medium">
        <color theme="0" tint="-0.499984740745262"/>
      </right>
      <top style="thin">
        <color indexed="9"/>
      </top>
      <bottom style="medium">
        <color theme="0" tint="-0.49998474074526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62">
    <xf numFmtId="0" fontId="0" fillId="0" borderId="0" xfId="0"/>
    <xf numFmtId="49" fontId="0" fillId="0" borderId="0" xfId="0" applyNumberFormat="1"/>
    <xf numFmtId="49" fontId="0" fillId="0" borderId="2" xfId="0" applyNumberFormat="1" applyBorder="1"/>
    <xf numFmtId="49" fontId="3" fillId="5" borderId="2" xfId="0" applyNumberFormat="1" applyFont="1" applyFill="1" applyBorder="1"/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2" applyFont="1" applyAlignment="1"/>
    <xf numFmtId="0" fontId="4" fillId="0" borderId="0" xfId="0" applyFont="1" applyAlignment="1">
      <alignment horizontal="left"/>
    </xf>
    <xf numFmtId="49" fontId="4" fillId="0" borderId="0" xfId="0" applyNumberFormat="1" applyFont="1"/>
    <xf numFmtId="0" fontId="4" fillId="0" borderId="1" xfId="0" applyFont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164" fontId="6" fillId="0" borderId="1" xfId="1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horizontal="left" vertical="center" wrapText="1"/>
    </xf>
    <xf numFmtId="20" fontId="4" fillId="0" borderId="1" xfId="0" applyNumberFormat="1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top"/>
    </xf>
    <xf numFmtId="164" fontId="5" fillId="3" borderId="1" xfId="2" applyFont="1" applyFill="1" applyBorder="1" applyAlignment="1">
      <alignment horizontal="center" vertical="top" wrapText="1"/>
    </xf>
    <xf numFmtId="0" fontId="8" fillId="0" borderId="0" xfId="3"/>
    <xf numFmtId="16" fontId="4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3" fillId="0" borderId="0" xfId="0" applyFont="1"/>
    <xf numFmtId="0" fontId="9" fillId="0" borderId="1" xfId="0" quotePrefix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right"/>
    </xf>
    <xf numFmtId="49" fontId="9" fillId="0" borderId="1" xfId="0" applyNumberFormat="1" applyFont="1" applyBorder="1" applyAlignment="1">
      <alignment vertical="center" wrapText="1"/>
    </xf>
    <xf numFmtId="14" fontId="4" fillId="6" borderId="1" xfId="0" applyNumberFormat="1" applyFont="1" applyFill="1" applyBorder="1" applyAlignment="1">
      <alignment vertical="center" wrapText="1"/>
    </xf>
    <xf numFmtId="20" fontId="4" fillId="6" borderId="1" xfId="0" applyNumberFormat="1" applyFont="1" applyFill="1" applyBorder="1" applyAlignment="1">
      <alignment horizontal="center" vertical="center" wrapText="1"/>
    </xf>
    <xf numFmtId="164" fontId="6" fillId="6" borderId="1" xfId="1" applyNumberFormat="1" applyFont="1" applyFill="1" applyBorder="1" applyAlignment="1">
      <alignment vertical="center" wrapText="1"/>
    </xf>
    <xf numFmtId="20" fontId="4" fillId="6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16" fontId="4" fillId="6" borderId="1" xfId="0" applyNumberFormat="1" applyFont="1" applyFill="1" applyBorder="1" applyAlignment="1">
      <alignment vertical="center" wrapText="1"/>
    </xf>
    <xf numFmtId="14" fontId="4" fillId="7" borderId="1" xfId="0" applyNumberFormat="1" applyFont="1" applyFill="1" applyBorder="1" applyAlignment="1">
      <alignment vertical="center" wrapText="1"/>
    </xf>
    <xf numFmtId="20" fontId="4" fillId="7" borderId="1" xfId="0" applyNumberFormat="1" applyFont="1" applyFill="1" applyBorder="1" applyAlignment="1">
      <alignment horizontal="center" vertical="center" wrapText="1"/>
    </xf>
    <xf numFmtId="164" fontId="6" fillId="7" borderId="1" xfId="1" applyNumberFormat="1" applyFont="1" applyFill="1" applyBorder="1" applyAlignment="1">
      <alignment vertical="center" wrapText="1"/>
    </xf>
    <xf numFmtId="20" fontId="4" fillId="7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165" fontId="4" fillId="0" borderId="7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1" xfId="0" applyNumberFormat="1" applyFont="1" applyBorder="1" applyAlignment="1">
      <alignment vertical="center" wrapText="1"/>
    </xf>
    <xf numFmtId="14" fontId="4" fillId="8" borderId="1" xfId="0" applyNumberFormat="1" applyFont="1" applyFill="1" applyBorder="1" applyAlignment="1">
      <alignment vertical="center" wrapText="1"/>
    </xf>
    <xf numFmtId="20" fontId="4" fillId="8" borderId="1" xfId="0" applyNumberFormat="1" applyFont="1" applyFill="1" applyBorder="1" applyAlignment="1">
      <alignment horizontal="center" vertical="center" wrapText="1"/>
    </xf>
    <xf numFmtId="164" fontId="6" fillId="8" borderId="1" xfId="1" applyNumberFormat="1" applyFont="1" applyFill="1" applyBorder="1" applyAlignment="1">
      <alignment vertical="center" wrapText="1"/>
    </xf>
    <xf numFmtId="20" fontId="4" fillId="8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vertical="center" wrapText="1"/>
    </xf>
    <xf numFmtId="14" fontId="4" fillId="9" borderId="1" xfId="0" applyNumberFormat="1" applyFont="1" applyFill="1" applyBorder="1" applyAlignment="1">
      <alignment vertical="center" wrapText="1"/>
    </xf>
    <xf numFmtId="20" fontId="4" fillId="9" borderId="1" xfId="0" applyNumberFormat="1" applyFont="1" applyFill="1" applyBorder="1" applyAlignment="1">
      <alignment horizontal="center" vertical="center" wrapText="1"/>
    </xf>
    <xf numFmtId="164" fontId="6" fillId="9" borderId="1" xfId="1" applyNumberFormat="1" applyFont="1" applyFill="1" applyBorder="1" applyAlignment="1">
      <alignment vertical="center" wrapText="1"/>
    </xf>
    <xf numFmtId="20" fontId="4" fillId="9" borderId="1" xfId="0" applyNumberFormat="1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vertical="center" wrapText="1"/>
    </xf>
    <xf numFmtId="14" fontId="4" fillId="4" borderId="1" xfId="0" applyNumberFormat="1" applyFont="1" applyFill="1" applyBorder="1" applyAlignment="1">
      <alignment vertical="center" wrapText="1"/>
    </xf>
    <xf numFmtId="20" fontId="4" fillId="4" borderId="1" xfId="0" applyNumberFormat="1" applyFont="1" applyFill="1" applyBorder="1" applyAlignment="1">
      <alignment horizontal="center" vertical="center" wrapText="1"/>
    </xf>
    <xf numFmtId="164" fontId="6" fillId="4" borderId="1" xfId="1" applyNumberFormat="1" applyFont="1" applyFill="1" applyBorder="1" applyAlignment="1">
      <alignment vertical="center" wrapText="1"/>
    </xf>
    <xf numFmtId="20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49" fontId="4" fillId="0" borderId="0" xfId="0" applyNumberFormat="1" applyFont="1" applyAlignment="1">
      <alignment horizontal="left"/>
    </xf>
    <xf numFmtId="0" fontId="13" fillId="10" borderId="16" xfId="0" applyFont="1" applyFill="1" applyBorder="1"/>
    <xf numFmtId="0" fontId="13" fillId="10" borderId="17" xfId="0" applyFont="1" applyFill="1" applyBorder="1"/>
    <xf numFmtId="0" fontId="13" fillId="0" borderId="17" xfId="0" applyFont="1" applyBorder="1"/>
    <xf numFmtId="0" fontId="13" fillId="0" borderId="18" xfId="0" applyFont="1" applyBorder="1"/>
    <xf numFmtId="0" fontId="15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0" fontId="15" fillId="12" borderId="25" xfId="0" applyFont="1" applyFill="1" applyBorder="1" applyAlignment="1">
      <alignment horizontal="center" vertical="center"/>
    </xf>
    <xf numFmtId="0" fontId="15" fillId="12" borderId="26" xfId="0" applyFont="1" applyFill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0" fontId="15" fillId="12" borderId="18" xfId="0" applyFont="1" applyFill="1" applyBorder="1" applyAlignment="1">
      <alignment horizontal="center" vertical="center"/>
    </xf>
    <xf numFmtId="0" fontId="15" fillId="13" borderId="27" xfId="0" applyFont="1" applyFill="1" applyBorder="1" applyAlignment="1">
      <alignment horizontal="center" vertical="center" wrapText="1"/>
    </xf>
    <xf numFmtId="0" fontId="15" fillId="13" borderId="28" xfId="0" applyFont="1" applyFill="1" applyBorder="1" applyAlignment="1">
      <alignment horizontal="center" vertical="center" wrapText="1"/>
    </xf>
    <xf numFmtId="0" fontId="15" fillId="14" borderId="28" xfId="0" applyFont="1" applyFill="1" applyBorder="1" applyAlignment="1">
      <alignment horizontal="center" vertical="center" wrapText="1"/>
    </xf>
    <xf numFmtId="0" fontId="15" fillId="10" borderId="28" xfId="0" applyFont="1" applyFill="1" applyBorder="1" applyAlignment="1">
      <alignment horizontal="center" vertical="center" wrapText="1"/>
    </xf>
    <xf numFmtId="0" fontId="15" fillId="15" borderId="28" xfId="0" applyFont="1" applyFill="1" applyBorder="1" applyAlignment="1">
      <alignment horizontal="center" vertical="center" wrapText="1"/>
    </xf>
    <xf numFmtId="0" fontId="15" fillId="16" borderId="29" xfId="0" applyFont="1" applyFill="1" applyBorder="1" applyAlignment="1">
      <alignment horizontal="center" vertical="center" wrapText="1"/>
    </xf>
    <xf numFmtId="0" fontId="15" fillId="13" borderId="30" xfId="0" applyFont="1" applyFill="1" applyBorder="1" applyAlignment="1">
      <alignment horizontal="center" vertical="center" wrapText="1"/>
    </xf>
    <xf numFmtId="0" fontId="15" fillId="13" borderId="17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14" borderId="17" xfId="0" applyFont="1" applyFill="1" applyBorder="1" applyAlignment="1">
      <alignment horizontal="center" vertical="center" wrapText="1"/>
    </xf>
    <xf numFmtId="0" fontId="15" fillId="15" borderId="17" xfId="0" applyFont="1" applyFill="1" applyBorder="1" applyAlignment="1">
      <alignment horizontal="center" vertical="center" wrapText="1"/>
    </xf>
    <xf numFmtId="0" fontId="15" fillId="17" borderId="18" xfId="0" applyFont="1" applyFill="1" applyBorder="1" applyAlignment="1">
      <alignment horizontal="center" vertical="center" wrapText="1"/>
    </xf>
    <xf numFmtId="0" fontId="15" fillId="14" borderId="31" xfId="0" applyFont="1" applyFill="1" applyBorder="1" applyAlignment="1">
      <alignment horizontal="center" vertical="center"/>
    </xf>
    <xf numFmtId="0" fontId="15" fillId="18" borderId="30" xfId="0" applyFont="1" applyFill="1" applyBorder="1" applyAlignment="1">
      <alignment horizontal="center" vertical="center" wrapText="1"/>
    </xf>
    <xf numFmtId="0" fontId="15" fillId="17" borderId="17" xfId="0" applyFont="1" applyFill="1" applyBorder="1" applyAlignment="1">
      <alignment horizontal="center" vertical="center" wrapText="1"/>
    </xf>
    <xf numFmtId="0" fontId="15" fillId="16" borderId="18" xfId="0" applyFont="1" applyFill="1" applyBorder="1" applyAlignment="1">
      <alignment horizontal="center" vertical="center" wrapText="1"/>
    </xf>
    <xf numFmtId="0" fontId="15" fillId="18" borderId="27" xfId="0" applyFont="1" applyFill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18" borderId="17" xfId="0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13" borderId="29" xfId="0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15" borderId="29" xfId="0" applyFont="1" applyFill="1" applyBorder="1" applyAlignment="1">
      <alignment horizontal="center" vertical="center" wrapText="1"/>
    </xf>
    <xf numFmtId="0" fontId="15" fillId="13" borderId="18" xfId="0" applyFont="1" applyFill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13" borderId="33" xfId="0" applyFont="1" applyFill="1" applyBorder="1" applyAlignment="1">
      <alignment horizontal="center" vertical="center" wrapText="1"/>
    </xf>
    <xf numFmtId="0" fontId="15" fillId="13" borderId="34" xfId="0" applyFont="1" applyFill="1" applyBorder="1" applyAlignment="1">
      <alignment horizontal="center" vertical="center" wrapText="1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9" xfId="0" applyFont="1" applyFill="1" applyBorder="1" applyAlignment="1">
      <alignment horizontal="center"/>
    </xf>
    <xf numFmtId="0" fontId="15" fillId="10" borderId="19" xfId="0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/>
    </xf>
    <xf numFmtId="0" fontId="15" fillId="12" borderId="36" xfId="0" applyFont="1" applyFill="1" applyBorder="1" applyAlignment="1">
      <alignment horizontal="center" vertical="center"/>
    </xf>
    <xf numFmtId="0" fontId="15" fillId="12" borderId="37" xfId="0" applyFont="1" applyFill="1" applyBorder="1" applyAlignment="1">
      <alignment horizontal="center" vertical="center"/>
    </xf>
    <xf numFmtId="0" fontId="15" fillId="13" borderId="38" xfId="0" applyFont="1" applyFill="1" applyBorder="1" applyAlignment="1">
      <alignment horizontal="center" vertical="center" wrapText="1"/>
    </xf>
    <xf numFmtId="0" fontId="15" fillId="13" borderId="31" xfId="0" applyFont="1" applyFill="1" applyBorder="1" applyAlignment="1">
      <alignment horizontal="center" vertical="center" wrapText="1"/>
    </xf>
    <xf numFmtId="0" fontId="15" fillId="14" borderId="31" xfId="0" applyFont="1" applyFill="1" applyBorder="1" applyAlignment="1">
      <alignment horizontal="center" vertical="center" wrapText="1"/>
    </xf>
    <xf numFmtId="0" fontId="15" fillId="15" borderId="31" xfId="0" applyFont="1" applyFill="1" applyBorder="1" applyAlignment="1">
      <alignment horizontal="center" vertical="center" wrapText="1"/>
    </xf>
    <xf numFmtId="0" fontId="15" fillId="16" borderId="31" xfId="0" applyFont="1" applyFill="1" applyBorder="1" applyAlignment="1">
      <alignment horizontal="center" vertical="center" wrapText="1"/>
    </xf>
    <xf numFmtId="0" fontId="15" fillId="17" borderId="30" xfId="0" applyFont="1" applyFill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16" borderId="17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14" borderId="16" xfId="0" applyFont="1" applyFill="1" applyBorder="1" applyAlignment="1">
      <alignment horizontal="center" vertical="center" wrapText="1"/>
    </xf>
    <xf numFmtId="0" fontId="15" fillId="15" borderId="18" xfId="0" applyFont="1" applyFill="1" applyBorder="1" applyAlignment="1">
      <alignment horizontal="center" vertical="center" wrapText="1"/>
    </xf>
    <xf numFmtId="0" fontId="15" fillId="17" borderId="29" xfId="0" applyFont="1" applyFill="1" applyBorder="1" applyAlignment="1">
      <alignment horizontal="center" vertical="center" wrapText="1"/>
    </xf>
    <xf numFmtId="0" fontId="13" fillId="10" borderId="39" xfId="0" applyFont="1" applyFill="1" applyBorder="1"/>
    <xf numFmtId="0" fontId="13" fillId="10" borderId="40" xfId="0" applyFont="1" applyFill="1" applyBorder="1"/>
    <xf numFmtId="0" fontId="15" fillId="10" borderId="40" xfId="0" applyFont="1" applyFill="1" applyBorder="1" applyAlignment="1">
      <alignment vertical="center"/>
    </xf>
    <xf numFmtId="0" fontId="13" fillId="0" borderId="40" xfId="0" applyFont="1" applyBorder="1"/>
    <xf numFmtId="0" fontId="13" fillId="0" borderId="41" xfId="0" applyFont="1" applyBorder="1"/>
    <xf numFmtId="0" fontId="13" fillId="0" borderId="31" xfId="0" applyFont="1" applyBorder="1"/>
    <xf numFmtId="0" fontId="15" fillId="10" borderId="31" xfId="0" applyFont="1" applyFill="1" applyBorder="1" applyAlignment="1">
      <alignment vertical="center"/>
    </xf>
    <xf numFmtId="0" fontId="13" fillId="19" borderId="17" xfId="0" applyFont="1" applyFill="1" applyBorder="1"/>
    <xf numFmtId="0" fontId="15" fillId="10" borderId="17" xfId="0" applyFont="1" applyFill="1" applyBorder="1" applyAlignment="1">
      <alignment vertical="center"/>
    </xf>
    <xf numFmtId="0" fontId="13" fillId="20" borderId="17" xfId="0" applyFont="1" applyFill="1" applyBorder="1"/>
    <xf numFmtId="0" fontId="13" fillId="21" borderId="17" xfId="0" applyFont="1" applyFill="1" applyBorder="1"/>
    <xf numFmtId="0" fontId="15" fillId="10" borderId="0" xfId="0" applyFont="1" applyFill="1" applyAlignment="1">
      <alignment vertical="center"/>
    </xf>
    <xf numFmtId="0" fontId="13" fillId="22" borderId="31" xfId="0" applyFont="1" applyFill="1" applyBorder="1"/>
    <xf numFmtId="0" fontId="15" fillId="23" borderId="30" xfId="0" applyFont="1" applyFill="1" applyBorder="1" applyAlignment="1">
      <alignment horizontal="center" vertical="center" wrapText="1"/>
    </xf>
    <xf numFmtId="0" fontId="15" fillId="21" borderId="28" xfId="0" applyFont="1" applyFill="1" applyBorder="1" applyAlignment="1">
      <alignment horizontal="center" vertical="center" wrapText="1"/>
    </xf>
    <xf numFmtId="0" fontId="15" fillId="21" borderId="30" xfId="0" applyFont="1" applyFill="1" applyBorder="1" applyAlignment="1">
      <alignment horizontal="center" vertical="center" wrapText="1"/>
    </xf>
    <xf numFmtId="0" fontId="0" fillId="24" borderId="0" xfId="0" applyFill="1"/>
    <xf numFmtId="0" fontId="13" fillId="24" borderId="31" xfId="0" applyFont="1" applyFill="1" applyBorder="1"/>
    <xf numFmtId="0" fontId="13" fillId="24" borderId="17" xfId="0" applyFont="1" applyFill="1" applyBorder="1"/>
    <xf numFmtId="165" fontId="4" fillId="0" borderId="1" xfId="0" applyNumberFormat="1" applyFont="1" applyBorder="1" applyAlignment="1">
      <alignment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14" fillId="11" borderId="35" xfId="0" applyFont="1" applyFill="1" applyBorder="1" applyAlignment="1">
      <alignment horizontal="center" vertical="center"/>
    </xf>
    <xf numFmtId="0" fontId="14" fillId="11" borderId="21" xfId="0" applyFont="1" applyFill="1" applyBorder="1" applyAlignment="1">
      <alignment horizontal="center" vertical="center"/>
    </xf>
    <xf numFmtId="0" fontId="14" fillId="11" borderId="19" xfId="0" applyFont="1" applyFill="1" applyBorder="1" applyAlignment="1">
      <alignment horizontal="center" vertical="center"/>
    </xf>
    <xf numFmtId="0" fontId="14" fillId="11" borderId="17" xfId="0" applyFont="1" applyFill="1" applyBorder="1" applyAlignment="1">
      <alignment horizontal="center" vertical="center"/>
    </xf>
    <xf numFmtId="0" fontId="14" fillId="11" borderId="18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/>
    </xf>
    <xf numFmtId="0" fontId="14" fillId="11" borderId="20" xfId="0" applyFont="1" applyFill="1" applyBorder="1" applyAlignment="1">
      <alignment horizontal="center" vertical="center"/>
    </xf>
    <xf numFmtId="0" fontId="14" fillId="11" borderId="22" xfId="0" applyFont="1" applyFill="1" applyBorder="1" applyAlignment="1">
      <alignment horizontal="center" vertical="center"/>
    </xf>
  </cellXfs>
  <cellStyles count="4">
    <cellStyle name="Gut" xfId="1" builtinId="26"/>
    <cellStyle name="Komma 2" xfId="2" xr:uid="{A42F19A9-A26D-4A1B-B466-F39BDA4D53C9}"/>
    <cellStyle name="Link" xfId="3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hael Boettcher" id="{F5ED3ED5-3EDF-4510-804F-B1DC349E8024}" userId="34e4ad35d39e8435" providerId="Windows Live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1-27T06:49:47.28" personId="{F5ED3ED5-3EDF-4510-804F-B1DC349E8024}" id="{F3D195D9-CDC2-4FDF-A1ED-7DF624B5706B}">
    <text>Incl. Vacation, Illness, Public Holiday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A463-0A42-42E0-A1A4-0FC565E30375}">
  <sheetPr codeName="Tabelle1" filterMode="1">
    <pageSetUpPr fitToPage="1"/>
  </sheetPr>
  <dimension ref="A1:M385"/>
  <sheetViews>
    <sheetView showGridLines="0" tabSelected="1" zoomScale="85" zoomScaleNormal="85" workbookViewId="0">
      <pane xSplit="1" ySplit="1" topLeftCell="B95" activePane="bottomRight" state="frozen"/>
      <selection pane="topRight" activeCell="B1" sqref="B1"/>
      <selection pane="bottomLeft" activeCell="A11" sqref="A11"/>
      <selection pane="bottomRight" activeCell="M102" sqref="M102:M103"/>
    </sheetView>
  </sheetViews>
  <sheetFormatPr baseColWidth="10" defaultColWidth="11.42578125" defaultRowHeight="14.25" x14ac:dyDescent="0.2"/>
  <cols>
    <col min="1" max="1" width="12.42578125" style="7" hidden="1" customWidth="1"/>
    <col min="2" max="2" width="17.4257812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7.710937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1" width="11.42578125" style="5"/>
    <col min="12" max="12" width="10.7109375" style="5" customWidth="1"/>
    <col min="13" max="13" width="33.28515625" style="5" customWidth="1"/>
    <col min="14" max="16384" width="11.42578125" style="5"/>
  </cols>
  <sheetData>
    <row r="1" spans="1:13" s="18" customFormat="1" ht="60.75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3" s="13" customFormat="1" ht="30" hidden="1" customHeight="1" thickBot="1" x14ac:dyDescent="0.3">
      <c r="A2" s="19" t="s">
        <v>47</v>
      </c>
      <c r="B2" s="10" t="s">
        <v>1</v>
      </c>
      <c r="C2" s="31">
        <v>46023</v>
      </c>
      <c r="D2" s="32">
        <v>0.35416666666666669</v>
      </c>
      <c r="E2" s="32">
        <v>0.6875</v>
      </c>
      <c r="F2" s="33">
        <f t="shared" ref="F2:F43" si="0">+(E2-D2)*24</f>
        <v>8</v>
      </c>
      <c r="G2" s="34" t="s">
        <v>21</v>
      </c>
      <c r="H2" s="34" t="s">
        <v>30</v>
      </c>
      <c r="I2" s="35"/>
      <c r="J2" s="35" t="s">
        <v>88</v>
      </c>
      <c r="K2" s="35"/>
    </row>
    <row r="3" spans="1:13" s="13" customFormat="1" ht="30" customHeight="1" thickBot="1" x14ac:dyDescent="0.3">
      <c r="A3" s="19" t="s">
        <v>47</v>
      </c>
      <c r="B3" s="10" t="s">
        <v>1</v>
      </c>
      <c r="C3" s="148">
        <v>46024</v>
      </c>
      <c r="D3" s="11">
        <v>0.58333333333333337</v>
      </c>
      <c r="E3" s="11">
        <v>0.64583333333333337</v>
      </c>
      <c r="F3" s="12">
        <f t="shared" si="0"/>
        <v>1.5</v>
      </c>
      <c r="G3" s="20" t="s">
        <v>22</v>
      </c>
      <c r="H3" s="20" t="s">
        <v>24</v>
      </c>
      <c r="I3" s="9"/>
      <c r="J3" s="24" t="s">
        <v>89</v>
      </c>
      <c r="K3" s="9"/>
    </row>
    <row r="4" spans="1:13" s="13" customFormat="1" ht="30" customHeight="1" thickBot="1" x14ac:dyDescent="0.3">
      <c r="A4" s="19" t="s">
        <v>47</v>
      </c>
      <c r="B4" s="10" t="s">
        <v>1</v>
      </c>
      <c r="C4" s="150"/>
      <c r="D4" s="11">
        <v>0.64583333333333337</v>
      </c>
      <c r="E4" s="11">
        <v>0.71875</v>
      </c>
      <c r="F4" s="12">
        <f t="shared" si="0"/>
        <v>1.7499999999999991</v>
      </c>
      <c r="G4" s="20" t="s">
        <v>19</v>
      </c>
      <c r="H4" s="20" t="s">
        <v>23</v>
      </c>
      <c r="I4" s="9" t="s">
        <v>37</v>
      </c>
      <c r="J4" s="24" t="s">
        <v>90</v>
      </c>
      <c r="K4" s="43">
        <v>1189</v>
      </c>
      <c r="L4" s="47">
        <f>SUBTOTAL(9,$F$2:$F$235)</f>
        <v>127.58333333333336</v>
      </c>
      <c r="M4" s="44" t="s">
        <v>11</v>
      </c>
    </row>
    <row r="5" spans="1:13" s="13" customFormat="1" ht="30" hidden="1" customHeight="1" thickBot="1" x14ac:dyDescent="0.3">
      <c r="A5" s="19" t="s">
        <v>47</v>
      </c>
      <c r="B5" s="10" t="s">
        <v>1</v>
      </c>
      <c r="C5" s="31">
        <v>46025</v>
      </c>
      <c r="D5" s="32">
        <v>0.35416666666666669</v>
      </c>
      <c r="E5" s="32">
        <v>0.6875</v>
      </c>
      <c r="F5" s="33">
        <f t="shared" si="0"/>
        <v>8</v>
      </c>
      <c r="G5" s="34" t="s">
        <v>21</v>
      </c>
      <c r="H5" s="34" t="s">
        <v>30</v>
      </c>
      <c r="I5" s="35"/>
      <c r="J5" s="36" t="s">
        <v>71</v>
      </c>
      <c r="K5" s="42"/>
      <c r="L5" s="48"/>
      <c r="M5" s="45"/>
    </row>
    <row r="6" spans="1:13" s="13" customFormat="1" ht="30" hidden="1" customHeight="1" thickBot="1" x14ac:dyDescent="0.3">
      <c r="A6" s="19" t="s">
        <v>47</v>
      </c>
      <c r="B6" s="10" t="s">
        <v>1</v>
      </c>
      <c r="C6" s="31">
        <v>46026</v>
      </c>
      <c r="D6" s="32">
        <v>0.35416666666666669</v>
      </c>
      <c r="E6" s="32">
        <v>0.6875</v>
      </c>
      <c r="F6" s="33">
        <f t="shared" si="0"/>
        <v>8</v>
      </c>
      <c r="G6" s="34" t="s">
        <v>21</v>
      </c>
      <c r="H6" s="34" t="s">
        <v>30</v>
      </c>
      <c r="I6" s="35"/>
      <c r="J6" s="36" t="s">
        <v>71</v>
      </c>
      <c r="K6" s="42"/>
      <c r="L6" s="48"/>
      <c r="M6" s="45"/>
    </row>
    <row r="7" spans="1:13" s="13" customFormat="1" ht="30" customHeight="1" thickBot="1" x14ac:dyDescent="0.3">
      <c r="A7" s="19" t="s">
        <v>47</v>
      </c>
      <c r="B7" s="10" t="s">
        <v>1</v>
      </c>
      <c r="C7" s="148">
        <v>46027</v>
      </c>
      <c r="D7" s="11">
        <v>0.34722222222222221</v>
      </c>
      <c r="E7" s="11">
        <v>0.38194444444444442</v>
      </c>
      <c r="F7" s="12">
        <f t="shared" si="0"/>
        <v>0.83333333333333304</v>
      </c>
      <c r="G7" s="20" t="s">
        <v>22</v>
      </c>
      <c r="H7" s="20" t="s">
        <v>24</v>
      </c>
      <c r="I7" s="9"/>
      <c r="J7" s="9" t="s">
        <v>93</v>
      </c>
      <c r="K7" s="43"/>
      <c r="L7" s="48">
        <f>SUMIF(G2:G259,Metadata!$A$6,F2:F259)</f>
        <v>22.616666666666667</v>
      </c>
      <c r="M7" s="45" t="s">
        <v>22</v>
      </c>
    </row>
    <row r="8" spans="1:13" s="13" customFormat="1" ht="30" customHeight="1" thickBot="1" x14ac:dyDescent="0.3">
      <c r="A8" s="19" t="s">
        <v>47</v>
      </c>
      <c r="B8" s="10" t="s">
        <v>1</v>
      </c>
      <c r="C8" s="149"/>
      <c r="D8" s="11">
        <v>0.38194444444444442</v>
      </c>
      <c r="E8" s="11">
        <v>0.47916666666666669</v>
      </c>
      <c r="F8" s="12">
        <f t="shared" si="0"/>
        <v>2.3333333333333344</v>
      </c>
      <c r="G8" s="20" t="s">
        <v>19</v>
      </c>
      <c r="H8" s="20" t="s">
        <v>23</v>
      </c>
      <c r="I8" s="9" t="s">
        <v>37</v>
      </c>
      <c r="J8" s="9" t="s">
        <v>94</v>
      </c>
      <c r="K8" s="43">
        <v>1189</v>
      </c>
      <c r="L8" s="48">
        <f>SUMIF(G2:G259,Metadata!$A$5,F2:F259)</f>
        <v>80</v>
      </c>
      <c r="M8" s="45" t="s">
        <v>45</v>
      </c>
    </row>
    <row r="9" spans="1:13" s="13" customFormat="1" ht="30" customHeight="1" thickBot="1" x14ac:dyDescent="0.3">
      <c r="A9" s="19" t="s">
        <v>47</v>
      </c>
      <c r="B9" s="10" t="s">
        <v>1</v>
      </c>
      <c r="C9" s="149"/>
      <c r="D9" s="11">
        <v>0.47916666666666669</v>
      </c>
      <c r="E9" s="11">
        <v>0.51388888888888884</v>
      </c>
      <c r="F9" s="12">
        <f t="shared" si="0"/>
        <v>0.83333333333333171</v>
      </c>
      <c r="G9" s="20" t="s">
        <v>19</v>
      </c>
      <c r="H9" s="20" t="s">
        <v>24</v>
      </c>
      <c r="I9" s="9" t="s">
        <v>33</v>
      </c>
      <c r="J9" s="9" t="s">
        <v>95</v>
      </c>
      <c r="K9" s="43"/>
      <c r="L9" s="48"/>
      <c r="M9" s="45"/>
    </row>
    <row r="10" spans="1:13" s="13" customFormat="1" ht="30" customHeight="1" thickBot="1" x14ac:dyDescent="0.3">
      <c r="A10" s="19" t="s">
        <v>47</v>
      </c>
      <c r="B10" s="10" t="s">
        <v>1</v>
      </c>
      <c r="C10" s="149"/>
      <c r="D10" s="11">
        <v>0.53472222222222221</v>
      </c>
      <c r="E10" s="11">
        <v>0.58333333333333337</v>
      </c>
      <c r="F10" s="12">
        <f t="shared" si="0"/>
        <v>1.1666666666666679</v>
      </c>
      <c r="G10" s="20" t="s">
        <v>19</v>
      </c>
      <c r="H10" s="20" t="s">
        <v>23</v>
      </c>
      <c r="I10" s="9" t="s">
        <v>37</v>
      </c>
      <c r="J10" s="9" t="s">
        <v>96</v>
      </c>
      <c r="K10" s="43">
        <v>1189</v>
      </c>
      <c r="L10" s="48">
        <f>SUBTOTAL(9,F261:F264)</f>
        <v>0</v>
      </c>
      <c r="M10" s="45" t="s">
        <v>12</v>
      </c>
    </row>
    <row r="11" spans="1:13" s="13" customFormat="1" ht="30" customHeight="1" thickBot="1" x14ac:dyDescent="0.3">
      <c r="A11" s="19" t="s">
        <v>47</v>
      </c>
      <c r="B11" s="10" t="s">
        <v>1</v>
      </c>
      <c r="C11" s="150"/>
      <c r="D11" s="11">
        <v>0.58333333333333337</v>
      </c>
      <c r="E11" s="11">
        <v>0.70486111111111116</v>
      </c>
      <c r="F11" s="12">
        <f t="shared" si="0"/>
        <v>2.916666666666667</v>
      </c>
      <c r="G11" s="20" t="s">
        <v>19</v>
      </c>
      <c r="H11" s="20" t="s">
        <v>24</v>
      </c>
      <c r="I11" s="9" t="s">
        <v>33</v>
      </c>
      <c r="J11" s="9" t="s">
        <v>97</v>
      </c>
      <c r="K11" s="43">
        <v>1189</v>
      </c>
      <c r="L11" s="48">
        <f>F266/Overview!$B$21</f>
        <v>0</v>
      </c>
      <c r="M11" s="45" t="s">
        <v>13</v>
      </c>
    </row>
    <row r="12" spans="1:13" s="13" customFormat="1" ht="30" hidden="1" customHeight="1" thickBot="1" x14ac:dyDescent="0.3">
      <c r="A12" s="19" t="s">
        <v>47</v>
      </c>
      <c r="B12" s="10" t="s">
        <v>1</v>
      </c>
      <c r="C12" s="60">
        <v>46028</v>
      </c>
      <c r="D12" s="61">
        <v>0.35416666666666669</v>
      </c>
      <c r="E12" s="61">
        <v>0.6875</v>
      </c>
      <c r="F12" s="62">
        <f t="shared" si="0"/>
        <v>8</v>
      </c>
      <c r="G12" s="63" t="s">
        <v>21</v>
      </c>
      <c r="H12" s="63" t="s">
        <v>30</v>
      </c>
      <c r="I12" s="64"/>
      <c r="J12" s="64" t="s">
        <v>72</v>
      </c>
      <c r="K12" s="65"/>
      <c r="L12" s="48"/>
      <c r="M12" s="45"/>
    </row>
    <row r="13" spans="1:13" s="13" customFormat="1" ht="30" customHeight="1" thickBot="1" x14ac:dyDescent="0.3">
      <c r="A13" s="19" t="s">
        <v>47</v>
      </c>
      <c r="B13" s="10" t="s">
        <v>1</v>
      </c>
      <c r="C13" s="148">
        <v>46029</v>
      </c>
      <c r="D13" s="11">
        <v>0.36458333333333331</v>
      </c>
      <c r="E13" s="11">
        <v>0.375</v>
      </c>
      <c r="F13" s="12">
        <f t="shared" si="0"/>
        <v>0.25000000000000044</v>
      </c>
      <c r="G13" s="20" t="s">
        <v>22</v>
      </c>
      <c r="H13" s="20" t="s">
        <v>24</v>
      </c>
      <c r="I13" s="9"/>
      <c r="J13" s="9" t="s">
        <v>98</v>
      </c>
      <c r="K13" s="43"/>
      <c r="L13" s="48"/>
      <c r="M13" s="45"/>
    </row>
    <row r="14" spans="1:13" s="13" customFormat="1" ht="30" customHeight="1" thickBot="1" x14ac:dyDescent="0.3">
      <c r="A14" s="19" t="s">
        <v>47</v>
      </c>
      <c r="B14" s="10" t="s">
        <v>1</v>
      </c>
      <c r="C14" s="149"/>
      <c r="D14" s="11">
        <v>0.375</v>
      </c>
      <c r="E14" s="11">
        <v>0.46875</v>
      </c>
      <c r="F14" s="12">
        <f t="shared" si="0"/>
        <v>2.25</v>
      </c>
      <c r="G14" s="20" t="s">
        <v>20</v>
      </c>
      <c r="H14" s="20" t="s">
        <v>23</v>
      </c>
      <c r="I14" s="9" t="s">
        <v>33</v>
      </c>
      <c r="J14" s="9" t="s">
        <v>99</v>
      </c>
      <c r="K14" s="43"/>
      <c r="L14" s="49">
        <f>SUMIF(H2:H259,"VA Vacation",F2:F259)</f>
        <v>0</v>
      </c>
      <c r="M14" s="46" t="s">
        <v>74</v>
      </c>
    </row>
    <row r="15" spans="1:13" s="13" customFormat="1" ht="30" customHeight="1" thickBot="1" x14ac:dyDescent="0.3">
      <c r="A15" s="19" t="s">
        <v>47</v>
      </c>
      <c r="B15" s="10" t="s">
        <v>1</v>
      </c>
      <c r="C15" s="149"/>
      <c r="D15" s="11">
        <v>0.45833333333333331</v>
      </c>
      <c r="E15" s="11">
        <v>0.51041666666666663</v>
      </c>
      <c r="F15" s="12">
        <f t="shared" si="0"/>
        <v>1.2499999999999996</v>
      </c>
      <c r="G15" s="20" t="s">
        <v>19</v>
      </c>
      <c r="H15" s="20" t="s">
        <v>23</v>
      </c>
      <c r="I15" s="9" t="s">
        <v>37</v>
      </c>
      <c r="J15" s="9" t="s">
        <v>101</v>
      </c>
      <c r="K15" s="9">
        <v>1189</v>
      </c>
    </row>
    <row r="16" spans="1:13" s="13" customFormat="1" ht="30" customHeight="1" thickBot="1" x14ac:dyDescent="0.3">
      <c r="A16" s="19" t="s">
        <v>47</v>
      </c>
      <c r="B16" s="10" t="s">
        <v>1</v>
      </c>
      <c r="C16" s="149"/>
      <c r="D16" s="11">
        <v>0.53472222222222221</v>
      </c>
      <c r="E16" s="11">
        <v>0.61111111111111116</v>
      </c>
      <c r="F16" s="12">
        <f t="shared" si="0"/>
        <v>1.8333333333333348</v>
      </c>
      <c r="G16" s="20" t="s">
        <v>19</v>
      </c>
      <c r="H16" s="20" t="s">
        <v>23</v>
      </c>
      <c r="I16" s="9" t="s">
        <v>35</v>
      </c>
      <c r="J16" s="9" t="s">
        <v>102</v>
      </c>
      <c r="K16" s="9">
        <v>1189</v>
      </c>
    </row>
    <row r="17" spans="1:11" s="13" customFormat="1" ht="30" customHeight="1" thickBot="1" x14ac:dyDescent="0.3">
      <c r="A17" s="19" t="s">
        <v>47</v>
      </c>
      <c r="B17" s="10" t="s">
        <v>1</v>
      </c>
      <c r="C17" s="149"/>
      <c r="D17" s="11">
        <v>0.61111111111111116</v>
      </c>
      <c r="E17" s="11">
        <v>0.625</v>
      </c>
      <c r="F17" s="12">
        <f t="shared" si="0"/>
        <v>0.33333333333333215</v>
      </c>
      <c r="G17" s="20" t="s">
        <v>22</v>
      </c>
      <c r="H17" s="20" t="s">
        <v>24</v>
      </c>
      <c r="I17" s="9" t="s">
        <v>33</v>
      </c>
      <c r="J17" s="9" t="s">
        <v>103</v>
      </c>
      <c r="K17" s="9"/>
    </row>
    <row r="18" spans="1:11" s="13" customFormat="1" ht="30" customHeight="1" thickBot="1" x14ac:dyDescent="0.3">
      <c r="A18" s="19" t="s">
        <v>47</v>
      </c>
      <c r="B18" s="10" t="s">
        <v>1</v>
      </c>
      <c r="C18" s="150"/>
      <c r="D18" s="11">
        <v>0.625</v>
      </c>
      <c r="E18" s="11">
        <v>0.69791666666666663</v>
      </c>
      <c r="F18" s="12">
        <f t="shared" si="0"/>
        <v>1.7499999999999991</v>
      </c>
      <c r="G18" s="20" t="s">
        <v>19</v>
      </c>
      <c r="H18" s="20" t="s">
        <v>23</v>
      </c>
      <c r="I18" s="9" t="s">
        <v>32</v>
      </c>
      <c r="J18" s="9" t="s">
        <v>104</v>
      </c>
      <c r="K18" s="9">
        <v>1189</v>
      </c>
    </row>
    <row r="19" spans="1:11" s="13" customFormat="1" ht="30" customHeight="1" thickBot="1" x14ac:dyDescent="0.3">
      <c r="A19" s="19" t="s">
        <v>47</v>
      </c>
      <c r="B19" s="10" t="s">
        <v>1</v>
      </c>
      <c r="C19" s="148">
        <v>46030</v>
      </c>
      <c r="D19" s="11">
        <v>0.375</v>
      </c>
      <c r="E19" s="11">
        <v>0.41666666666666669</v>
      </c>
      <c r="F19" s="12">
        <f t="shared" si="0"/>
        <v>1.0000000000000004</v>
      </c>
      <c r="G19" s="20" t="s">
        <v>20</v>
      </c>
      <c r="H19" s="20" t="s">
        <v>23</v>
      </c>
      <c r="I19" s="9" t="s">
        <v>32</v>
      </c>
      <c r="J19" s="9" t="s">
        <v>105</v>
      </c>
      <c r="K19" s="9"/>
    </row>
    <row r="20" spans="1:11" s="13" customFormat="1" ht="30" customHeight="1" thickBot="1" x14ac:dyDescent="0.3">
      <c r="A20" s="19" t="s">
        <v>47</v>
      </c>
      <c r="B20" s="10" t="s">
        <v>1</v>
      </c>
      <c r="C20" s="149"/>
      <c r="D20" s="11">
        <v>0.41666666666666669</v>
      </c>
      <c r="E20" s="11">
        <v>0.4375</v>
      </c>
      <c r="F20" s="12">
        <f t="shared" si="0"/>
        <v>0.49999999999999956</v>
      </c>
      <c r="G20" s="20" t="s">
        <v>22</v>
      </c>
      <c r="H20" s="20" t="s">
        <v>24</v>
      </c>
      <c r="I20" s="9" t="s">
        <v>33</v>
      </c>
      <c r="J20" s="9" t="s">
        <v>107</v>
      </c>
      <c r="K20" s="9"/>
    </row>
    <row r="21" spans="1:11" s="13" customFormat="1" ht="30" customHeight="1" thickBot="1" x14ac:dyDescent="0.3">
      <c r="A21" s="19" t="s">
        <v>47</v>
      </c>
      <c r="B21" s="10" t="s">
        <v>1</v>
      </c>
      <c r="C21" s="149"/>
      <c r="D21" s="11">
        <v>0.4375</v>
      </c>
      <c r="E21" s="11">
        <v>0.52083333333333337</v>
      </c>
      <c r="F21" s="12">
        <f t="shared" si="0"/>
        <v>2.0000000000000009</v>
      </c>
      <c r="G21" s="20" t="s">
        <v>20</v>
      </c>
      <c r="H21" s="20" t="s">
        <v>23</v>
      </c>
      <c r="I21" s="9" t="s">
        <v>32</v>
      </c>
      <c r="J21" s="9" t="s">
        <v>105</v>
      </c>
      <c r="K21" s="9"/>
    </row>
    <row r="22" spans="1:11" s="13" customFormat="1" ht="30" customHeight="1" thickBot="1" x14ac:dyDescent="0.3">
      <c r="A22" s="19" t="s">
        <v>47</v>
      </c>
      <c r="B22" s="10" t="s">
        <v>1</v>
      </c>
      <c r="C22" s="149"/>
      <c r="D22" s="11">
        <v>0.54166666666666663</v>
      </c>
      <c r="E22" s="11">
        <v>0.66666666666666663</v>
      </c>
      <c r="F22" s="12">
        <f t="shared" si="0"/>
        <v>3</v>
      </c>
      <c r="G22" s="20" t="s">
        <v>20</v>
      </c>
      <c r="H22" s="20" t="s">
        <v>23</v>
      </c>
      <c r="I22" s="9" t="s">
        <v>32</v>
      </c>
      <c r="J22" s="9" t="s">
        <v>105</v>
      </c>
      <c r="K22" s="9"/>
    </row>
    <row r="23" spans="1:11" s="13" customFormat="1" ht="30" customHeight="1" thickBot="1" x14ac:dyDescent="0.3">
      <c r="A23" s="19" t="s">
        <v>47</v>
      </c>
      <c r="B23" s="10" t="s">
        <v>1</v>
      </c>
      <c r="C23" s="150"/>
      <c r="D23" s="11">
        <v>0.66666666666666663</v>
      </c>
      <c r="E23" s="11">
        <v>0.72222222222222221</v>
      </c>
      <c r="F23" s="12">
        <f t="shared" si="0"/>
        <v>1.3333333333333339</v>
      </c>
      <c r="G23" s="20" t="s">
        <v>20</v>
      </c>
      <c r="H23" s="20" t="s">
        <v>24</v>
      </c>
      <c r="I23" s="9" t="s">
        <v>33</v>
      </c>
      <c r="J23" s="9" t="s">
        <v>106</v>
      </c>
      <c r="K23" s="9"/>
    </row>
    <row r="24" spans="1:11" s="13" customFormat="1" ht="30" customHeight="1" thickBot="1" x14ac:dyDescent="0.3">
      <c r="A24" s="19" t="s">
        <v>47</v>
      </c>
      <c r="B24" s="10" t="s">
        <v>1</v>
      </c>
      <c r="C24" s="148">
        <v>46031</v>
      </c>
      <c r="D24" s="11">
        <v>0.375</v>
      </c>
      <c r="E24" s="11">
        <v>0.41666666666666669</v>
      </c>
      <c r="F24" s="12">
        <f t="shared" si="0"/>
        <v>1.0000000000000004</v>
      </c>
      <c r="G24" s="20" t="s">
        <v>22</v>
      </c>
      <c r="H24" s="20"/>
      <c r="I24" s="9"/>
      <c r="J24" s="24" t="s">
        <v>108</v>
      </c>
      <c r="K24" s="9"/>
    </row>
    <row r="25" spans="1:11" s="13" customFormat="1" ht="30" customHeight="1" thickBot="1" x14ac:dyDescent="0.3">
      <c r="A25" s="19" t="s">
        <v>47</v>
      </c>
      <c r="B25" s="10" t="s">
        <v>1</v>
      </c>
      <c r="C25" s="149"/>
      <c r="D25" s="11">
        <v>0.41666666666666669</v>
      </c>
      <c r="E25" s="11">
        <v>0.45833333333333331</v>
      </c>
      <c r="F25" s="12">
        <f t="shared" si="0"/>
        <v>0.99999999999999911</v>
      </c>
      <c r="G25" s="20" t="s">
        <v>20</v>
      </c>
      <c r="H25" s="20" t="s">
        <v>23</v>
      </c>
      <c r="I25" s="9" t="s">
        <v>37</v>
      </c>
      <c r="J25" s="24" t="s">
        <v>110</v>
      </c>
      <c r="K25" s="9"/>
    </row>
    <row r="26" spans="1:11" s="13" customFormat="1" ht="30" customHeight="1" thickBot="1" x14ac:dyDescent="0.3">
      <c r="A26" s="19" t="s">
        <v>47</v>
      </c>
      <c r="B26" s="10" t="s">
        <v>1</v>
      </c>
      <c r="C26" s="149"/>
      <c r="D26" s="11">
        <v>0.45833333333333331</v>
      </c>
      <c r="E26" s="11">
        <v>0.47916666666666669</v>
      </c>
      <c r="F26" s="12">
        <f t="shared" si="0"/>
        <v>0.50000000000000089</v>
      </c>
      <c r="G26" s="20" t="s">
        <v>19</v>
      </c>
      <c r="H26" s="20" t="s">
        <v>24</v>
      </c>
      <c r="I26" s="9" t="s">
        <v>33</v>
      </c>
      <c r="J26" s="9" t="s">
        <v>109</v>
      </c>
      <c r="K26" s="9"/>
    </row>
    <row r="27" spans="1:11" s="13" customFormat="1" ht="30" customHeight="1" thickBot="1" x14ac:dyDescent="0.3">
      <c r="A27" s="19" t="s">
        <v>47</v>
      </c>
      <c r="B27" s="10" t="s">
        <v>1</v>
      </c>
      <c r="C27" s="149"/>
      <c r="D27" s="11">
        <v>0.47916666666666669</v>
      </c>
      <c r="E27" s="11">
        <v>0.54861111111111116</v>
      </c>
      <c r="F27" s="12">
        <f t="shared" si="0"/>
        <v>1.6666666666666674</v>
      </c>
      <c r="G27" s="20" t="s">
        <v>20</v>
      </c>
      <c r="H27" s="20" t="s">
        <v>23</v>
      </c>
      <c r="I27" s="9" t="s">
        <v>32</v>
      </c>
      <c r="J27" s="9" t="s">
        <v>111</v>
      </c>
      <c r="K27" s="9"/>
    </row>
    <row r="28" spans="1:11" s="13" customFormat="1" ht="30" customHeight="1" thickBot="1" x14ac:dyDescent="0.3">
      <c r="A28" s="19" t="s">
        <v>47</v>
      </c>
      <c r="B28" s="10" t="s">
        <v>1</v>
      </c>
      <c r="C28" s="149"/>
      <c r="D28" s="11">
        <v>0.56944444444444442</v>
      </c>
      <c r="E28" s="11">
        <v>0.66666666666666663</v>
      </c>
      <c r="F28" s="12">
        <f t="shared" si="0"/>
        <v>2.333333333333333</v>
      </c>
      <c r="G28" s="20" t="s">
        <v>20</v>
      </c>
      <c r="H28" s="20" t="s">
        <v>23</v>
      </c>
      <c r="I28" s="9" t="s">
        <v>32</v>
      </c>
      <c r="J28" s="9" t="s">
        <v>111</v>
      </c>
      <c r="K28" s="9"/>
    </row>
    <row r="29" spans="1:11" s="13" customFormat="1" ht="30" customHeight="1" thickBot="1" x14ac:dyDescent="0.3">
      <c r="A29" s="19" t="s">
        <v>47</v>
      </c>
      <c r="B29" s="10" t="s">
        <v>1</v>
      </c>
      <c r="C29" s="150"/>
      <c r="D29" s="11">
        <v>0.66666666666666663</v>
      </c>
      <c r="E29" s="11">
        <v>0.70833333333333337</v>
      </c>
      <c r="F29" s="12">
        <f t="shared" si="0"/>
        <v>1.0000000000000018</v>
      </c>
      <c r="G29" s="20" t="s">
        <v>20</v>
      </c>
      <c r="H29" s="20" t="s">
        <v>24</v>
      </c>
      <c r="I29" s="9" t="s">
        <v>33</v>
      </c>
      <c r="J29" s="9" t="s">
        <v>106</v>
      </c>
      <c r="K29" s="9"/>
    </row>
    <row r="30" spans="1:11" s="13" customFormat="1" ht="30" hidden="1" customHeight="1" thickBot="1" x14ac:dyDescent="0.3">
      <c r="A30" s="19" t="s">
        <v>47</v>
      </c>
      <c r="B30" s="10" t="s">
        <v>1</v>
      </c>
      <c r="C30" s="31">
        <v>46032</v>
      </c>
      <c r="D30" s="32">
        <v>0.35416666666666669</v>
      </c>
      <c r="E30" s="32">
        <v>0.6875</v>
      </c>
      <c r="F30" s="33">
        <f t="shared" si="0"/>
        <v>8</v>
      </c>
      <c r="G30" s="34" t="s">
        <v>21</v>
      </c>
      <c r="H30" s="34" t="s">
        <v>30</v>
      </c>
      <c r="I30" s="35"/>
      <c r="J30" s="35" t="s">
        <v>71</v>
      </c>
      <c r="K30" s="35"/>
    </row>
    <row r="31" spans="1:11" s="13" customFormat="1" ht="30" hidden="1" customHeight="1" thickBot="1" x14ac:dyDescent="0.3">
      <c r="A31" s="19" t="s">
        <v>47</v>
      </c>
      <c r="B31" s="10" t="s">
        <v>1</v>
      </c>
      <c r="C31" s="31">
        <v>46033</v>
      </c>
      <c r="D31" s="32">
        <v>0.35416666666666669</v>
      </c>
      <c r="E31" s="32">
        <v>0.6875</v>
      </c>
      <c r="F31" s="33">
        <f t="shared" si="0"/>
        <v>8</v>
      </c>
      <c r="G31" s="34" t="s">
        <v>21</v>
      </c>
      <c r="H31" s="34" t="s">
        <v>30</v>
      </c>
      <c r="I31" s="35"/>
      <c r="J31" s="35" t="s">
        <v>71</v>
      </c>
      <c r="K31" s="35"/>
    </row>
    <row r="32" spans="1:11" s="13" customFormat="1" ht="30" customHeight="1" thickBot="1" x14ac:dyDescent="0.3">
      <c r="A32" s="19" t="s">
        <v>47</v>
      </c>
      <c r="B32" s="10" t="s">
        <v>1</v>
      </c>
      <c r="C32" s="148">
        <v>46034</v>
      </c>
      <c r="D32" s="11">
        <v>0.35416666666666669</v>
      </c>
      <c r="E32" s="11">
        <v>0.47916666666666669</v>
      </c>
      <c r="F32" s="12">
        <f t="shared" si="0"/>
        <v>3</v>
      </c>
      <c r="G32" s="20" t="s">
        <v>20</v>
      </c>
      <c r="H32" s="20" t="s">
        <v>23</v>
      </c>
      <c r="I32" s="9" t="s">
        <v>32</v>
      </c>
      <c r="J32" s="9" t="s">
        <v>112</v>
      </c>
      <c r="K32" s="9"/>
    </row>
    <row r="33" spans="1:11" s="13" customFormat="1" ht="30" customHeight="1" thickBot="1" x14ac:dyDescent="0.3">
      <c r="A33" s="19" t="s">
        <v>47</v>
      </c>
      <c r="B33" s="10" t="s">
        <v>1</v>
      </c>
      <c r="C33" s="149"/>
      <c r="D33" s="11">
        <v>0.47916666666666669</v>
      </c>
      <c r="E33" s="11">
        <v>0.48958333333333331</v>
      </c>
      <c r="F33" s="12">
        <f t="shared" si="0"/>
        <v>0.24999999999999911</v>
      </c>
      <c r="G33" s="20" t="s">
        <v>20</v>
      </c>
      <c r="H33" s="20" t="s">
        <v>24</v>
      </c>
      <c r="I33" s="9" t="s">
        <v>33</v>
      </c>
      <c r="J33" s="9" t="s">
        <v>113</v>
      </c>
      <c r="K33" s="9"/>
    </row>
    <row r="34" spans="1:11" s="13" customFormat="1" ht="30" customHeight="1" thickBot="1" x14ac:dyDescent="0.3">
      <c r="A34" s="19" t="s">
        <v>47</v>
      </c>
      <c r="B34" s="10" t="s">
        <v>1</v>
      </c>
      <c r="C34" s="149"/>
      <c r="D34" s="11">
        <v>0.48958333333333331</v>
      </c>
      <c r="E34" s="11">
        <v>0.5625</v>
      </c>
      <c r="F34" s="12">
        <f t="shared" si="0"/>
        <v>1.7500000000000004</v>
      </c>
      <c r="G34" s="20" t="s">
        <v>20</v>
      </c>
      <c r="H34" s="20" t="s">
        <v>23</v>
      </c>
      <c r="I34" s="9" t="s">
        <v>37</v>
      </c>
      <c r="J34" s="9" t="s">
        <v>114</v>
      </c>
      <c r="K34" s="9"/>
    </row>
    <row r="35" spans="1:11" s="13" customFormat="1" ht="30" customHeight="1" thickBot="1" x14ac:dyDescent="0.3">
      <c r="A35" s="19" t="s">
        <v>47</v>
      </c>
      <c r="B35" s="10" t="s">
        <v>1</v>
      </c>
      <c r="C35" s="149"/>
      <c r="D35" s="11">
        <v>0.625</v>
      </c>
      <c r="E35" s="11">
        <v>0.67708333333333337</v>
      </c>
      <c r="F35" s="12">
        <f>+(E35-D35)*24</f>
        <v>1.2500000000000009</v>
      </c>
      <c r="G35" s="20" t="s">
        <v>20</v>
      </c>
      <c r="H35" s="20" t="s">
        <v>23</v>
      </c>
      <c r="I35" s="9" t="s">
        <v>37</v>
      </c>
      <c r="J35" s="9" t="s">
        <v>115</v>
      </c>
      <c r="K35" s="9"/>
    </row>
    <row r="36" spans="1:11" s="13" customFormat="1" ht="30" customHeight="1" thickBot="1" x14ac:dyDescent="0.3">
      <c r="A36" s="19" t="s">
        <v>47</v>
      </c>
      <c r="B36" s="10"/>
      <c r="C36" s="150"/>
      <c r="D36" s="11">
        <v>0.67708333333333337</v>
      </c>
      <c r="E36" s="11">
        <v>0.71875</v>
      </c>
      <c r="F36" s="12">
        <f>+(E36-D36)*24</f>
        <v>0.99999999999999911</v>
      </c>
      <c r="G36" s="20" t="s">
        <v>20</v>
      </c>
      <c r="H36" s="20" t="s">
        <v>24</v>
      </c>
      <c r="I36" s="9" t="s">
        <v>33</v>
      </c>
      <c r="J36" s="9" t="s">
        <v>106</v>
      </c>
      <c r="K36" s="9"/>
    </row>
    <row r="37" spans="1:11" s="13" customFormat="1" ht="30" customHeight="1" thickBot="1" x14ac:dyDescent="0.3">
      <c r="A37" s="19" t="s">
        <v>47</v>
      </c>
      <c r="B37" s="10"/>
      <c r="C37" s="148">
        <v>46035</v>
      </c>
      <c r="D37" s="11">
        <v>0.36458333333333331</v>
      </c>
      <c r="E37" s="11">
        <v>0.375</v>
      </c>
      <c r="F37" s="12">
        <f t="shared" si="0"/>
        <v>0.25000000000000044</v>
      </c>
      <c r="G37" s="20" t="s">
        <v>22</v>
      </c>
      <c r="H37" s="20" t="s">
        <v>24</v>
      </c>
      <c r="I37" s="9"/>
      <c r="J37" s="9" t="s">
        <v>116</v>
      </c>
      <c r="K37" s="9"/>
    </row>
    <row r="38" spans="1:11" s="13" customFormat="1" ht="30" customHeight="1" thickBot="1" x14ac:dyDescent="0.3">
      <c r="A38" s="19" t="s">
        <v>47</v>
      </c>
      <c r="B38" s="10"/>
      <c r="C38" s="149"/>
      <c r="D38" s="11">
        <v>0.375</v>
      </c>
      <c r="E38" s="11">
        <v>0.39583333333333331</v>
      </c>
      <c r="F38" s="12">
        <f t="shared" si="0"/>
        <v>0.49999999999999956</v>
      </c>
      <c r="G38" s="20" t="s">
        <v>19</v>
      </c>
      <c r="H38" s="20" t="s">
        <v>24</v>
      </c>
      <c r="I38" s="9" t="s">
        <v>33</v>
      </c>
      <c r="J38" s="9" t="s">
        <v>117</v>
      </c>
      <c r="K38" s="9"/>
    </row>
    <row r="39" spans="1:11" s="13" customFormat="1" ht="30" customHeight="1" thickBot="1" x14ac:dyDescent="0.3">
      <c r="A39" s="19" t="s">
        <v>47</v>
      </c>
      <c r="B39" s="10"/>
      <c r="C39" s="149"/>
      <c r="D39" s="11">
        <v>0.39583333333333331</v>
      </c>
      <c r="E39" s="11">
        <v>0.4375</v>
      </c>
      <c r="F39" s="12">
        <f t="shared" si="0"/>
        <v>1.0000000000000004</v>
      </c>
      <c r="G39" s="20" t="s">
        <v>20</v>
      </c>
      <c r="H39" s="20" t="s">
        <v>23</v>
      </c>
      <c r="I39" s="9" t="s">
        <v>32</v>
      </c>
      <c r="J39" s="9" t="s">
        <v>118</v>
      </c>
      <c r="K39" s="9"/>
    </row>
    <row r="40" spans="1:11" s="13" customFormat="1" ht="30" customHeight="1" thickBot="1" x14ac:dyDescent="0.3">
      <c r="A40" s="19" t="s">
        <v>47</v>
      </c>
      <c r="B40" s="10"/>
      <c r="C40" s="149"/>
      <c r="D40" s="11">
        <v>0.4375</v>
      </c>
      <c r="E40" s="11">
        <v>0.47916666666666669</v>
      </c>
      <c r="F40" s="12">
        <f t="shared" si="0"/>
        <v>1.0000000000000004</v>
      </c>
      <c r="G40" s="20" t="s">
        <v>20</v>
      </c>
      <c r="H40" s="20" t="s">
        <v>24</v>
      </c>
      <c r="I40" s="9" t="s">
        <v>33</v>
      </c>
      <c r="J40" s="9" t="s">
        <v>119</v>
      </c>
      <c r="K40" s="9"/>
    </row>
    <row r="41" spans="1:11" s="13" customFormat="1" ht="30" customHeight="1" thickBot="1" x14ac:dyDescent="0.3">
      <c r="A41" s="19" t="s">
        <v>47</v>
      </c>
      <c r="B41" s="10"/>
      <c r="C41" s="149"/>
      <c r="D41" s="11">
        <v>0.5</v>
      </c>
      <c r="E41" s="11">
        <v>0.66666666666666663</v>
      </c>
      <c r="F41" s="12">
        <f t="shared" si="0"/>
        <v>3.9999999999999991</v>
      </c>
      <c r="G41" s="20" t="s">
        <v>20</v>
      </c>
      <c r="H41" s="20" t="s">
        <v>23</v>
      </c>
      <c r="I41" s="9" t="s">
        <v>32</v>
      </c>
      <c r="J41" s="9"/>
      <c r="K41" s="9"/>
    </row>
    <row r="42" spans="1:11" s="13" customFormat="1" ht="30" customHeight="1" thickBot="1" x14ac:dyDescent="0.3">
      <c r="A42" s="19" t="s">
        <v>47</v>
      </c>
      <c r="B42" s="10"/>
      <c r="C42" s="150"/>
      <c r="D42" s="11">
        <v>0.66666666666666663</v>
      </c>
      <c r="E42" s="11">
        <v>0.70833333333333337</v>
      </c>
      <c r="F42" s="12">
        <f t="shared" si="0"/>
        <v>1.0000000000000018</v>
      </c>
      <c r="G42" s="20" t="s">
        <v>20</v>
      </c>
      <c r="H42" s="20" t="s">
        <v>24</v>
      </c>
      <c r="I42" s="9" t="s">
        <v>33</v>
      </c>
      <c r="J42" s="9" t="s">
        <v>106</v>
      </c>
      <c r="K42" s="9"/>
    </row>
    <row r="43" spans="1:11" s="13" customFormat="1" ht="30" customHeight="1" thickBot="1" x14ac:dyDescent="0.3">
      <c r="A43" s="19" t="s">
        <v>47</v>
      </c>
      <c r="B43" s="10"/>
      <c r="C43" s="50">
        <v>46036</v>
      </c>
      <c r="D43" s="51">
        <v>0.375</v>
      </c>
      <c r="E43" s="51">
        <v>0.70833333333333337</v>
      </c>
      <c r="F43" s="52">
        <f t="shared" si="0"/>
        <v>8</v>
      </c>
      <c r="G43" s="53" t="s">
        <v>19</v>
      </c>
      <c r="H43" s="53" t="s">
        <v>27</v>
      </c>
      <c r="I43" s="54"/>
      <c r="J43" s="54" t="s">
        <v>120</v>
      </c>
      <c r="K43" s="54"/>
    </row>
    <row r="44" spans="1:11" s="13" customFormat="1" ht="30" customHeight="1" thickBot="1" x14ac:dyDescent="0.3">
      <c r="A44" s="19" t="s">
        <v>47</v>
      </c>
      <c r="B44" s="10"/>
      <c r="C44" s="148">
        <v>46037</v>
      </c>
      <c r="D44" s="11">
        <v>0.375</v>
      </c>
      <c r="E44" s="11">
        <v>0.39583333333333331</v>
      </c>
      <c r="F44" s="12">
        <f t="shared" ref="F44:F63" si="1">+(E44-D44)*24</f>
        <v>0.49999999999999956</v>
      </c>
      <c r="G44" s="20" t="s">
        <v>19</v>
      </c>
      <c r="H44" s="20" t="s">
        <v>24</v>
      </c>
      <c r="I44" s="9" t="s">
        <v>33</v>
      </c>
      <c r="J44" s="9" t="s">
        <v>117</v>
      </c>
      <c r="K44" s="9"/>
    </row>
    <row r="45" spans="1:11" s="13" customFormat="1" ht="30" customHeight="1" thickBot="1" x14ac:dyDescent="0.3">
      <c r="A45" s="19" t="s">
        <v>47</v>
      </c>
      <c r="B45" s="10"/>
      <c r="C45" s="149"/>
      <c r="D45" s="11">
        <v>0.39583333333333331</v>
      </c>
      <c r="E45" s="11">
        <v>0.41666666666666669</v>
      </c>
      <c r="F45" s="12">
        <f t="shared" si="1"/>
        <v>0.50000000000000089</v>
      </c>
      <c r="G45" s="20" t="s">
        <v>19</v>
      </c>
      <c r="H45" s="20" t="s">
        <v>24</v>
      </c>
      <c r="I45" s="9" t="s">
        <v>33</v>
      </c>
      <c r="J45" s="9" t="s">
        <v>121</v>
      </c>
      <c r="K45" s="9"/>
    </row>
    <row r="46" spans="1:11" s="13" customFormat="1" ht="30" customHeight="1" thickBot="1" x14ac:dyDescent="0.3">
      <c r="A46" s="19" t="s">
        <v>47</v>
      </c>
      <c r="B46" s="10"/>
      <c r="C46" s="149"/>
      <c r="D46" s="11">
        <v>0.41666666666666669</v>
      </c>
      <c r="E46" s="11">
        <v>0.4375</v>
      </c>
      <c r="F46" s="12">
        <f t="shared" si="1"/>
        <v>0.49999999999999956</v>
      </c>
      <c r="G46" s="20" t="s">
        <v>20</v>
      </c>
      <c r="H46" s="20" t="s">
        <v>24</v>
      </c>
      <c r="I46" s="9" t="s">
        <v>33</v>
      </c>
      <c r="J46" s="9" t="s">
        <v>122</v>
      </c>
      <c r="K46" s="9" t="s">
        <v>123</v>
      </c>
    </row>
    <row r="47" spans="1:11" s="13" customFormat="1" ht="30" customHeight="1" thickBot="1" x14ac:dyDescent="0.3">
      <c r="A47" s="19" t="s">
        <v>47</v>
      </c>
      <c r="B47" s="10"/>
      <c r="C47" s="150"/>
      <c r="D47" s="11">
        <v>0.54166666666666663</v>
      </c>
      <c r="E47" s="11">
        <v>0.63541666666666663</v>
      </c>
      <c r="F47" s="12">
        <f t="shared" si="1"/>
        <v>2.25</v>
      </c>
      <c r="G47" s="20" t="s">
        <v>19</v>
      </c>
      <c r="H47" s="20" t="s">
        <v>23</v>
      </c>
      <c r="I47" s="9" t="s">
        <v>35</v>
      </c>
      <c r="J47" s="9" t="s">
        <v>124</v>
      </c>
      <c r="K47" s="9" t="s">
        <v>123</v>
      </c>
    </row>
    <row r="48" spans="1:11" s="13" customFormat="1" ht="30" customHeight="1" thickBot="1" x14ac:dyDescent="0.3">
      <c r="A48" s="19" t="s">
        <v>47</v>
      </c>
      <c r="B48" s="10"/>
      <c r="C48" s="37">
        <v>46038</v>
      </c>
      <c r="D48" s="38">
        <v>0.35416666666666669</v>
      </c>
      <c r="E48" s="38">
        <v>0.6875</v>
      </c>
      <c r="F48" s="39">
        <f t="shared" si="1"/>
        <v>8</v>
      </c>
      <c r="G48" s="40" t="s">
        <v>22</v>
      </c>
      <c r="H48" s="40" t="s">
        <v>28</v>
      </c>
      <c r="I48" s="41"/>
      <c r="J48" s="41" t="s">
        <v>100</v>
      </c>
      <c r="K48" s="41"/>
    </row>
    <row r="49" spans="1:11" s="13" customFormat="1" ht="30" hidden="1" customHeight="1" thickBot="1" x14ac:dyDescent="0.3">
      <c r="A49" s="19" t="s">
        <v>47</v>
      </c>
      <c r="B49" s="10"/>
      <c r="C49" s="31">
        <v>46039</v>
      </c>
      <c r="D49" s="32">
        <v>0.35416666666666669</v>
      </c>
      <c r="E49" s="32">
        <v>0.6875</v>
      </c>
      <c r="F49" s="33">
        <f t="shared" si="1"/>
        <v>8</v>
      </c>
      <c r="G49" s="34" t="s">
        <v>21</v>
      </c>
      <c r="H49" s="34" t="s">
        <v>30</v>
      </c>
      <c r="I49" s="35"/>
      <c r="J49" s="35" t="s">
        <v>71</v>
      </c>
      <c r="K49" s="35"/>
    </row>
    <row r="50" spans="1:11" s="13" customFormat="1" ht="30" hidden="1" customHeight="1" thickBot="1" x14ac:dyDescent="0.3">
      <c r="A50" s="19" t="s">
        <v>47</v>
      </c>
      <c r="B50" s="10"/>
      <c r="C50" s="31">
        <v>46040</v>
      </c>
      <c r="D50" s="32">
        <v>0.35416666666666669</v>
      </c>
      <c r="E50" s="32">
        <v>0.6875</v>
      </c>
      <c r="F50" s="33">
        <f t="shared" si="1"/>
        <v>8</v>
      </c>
      <c r="G50" s="34" t="s">
        <v>21</v>
      </c>
      <c r="H50" s="34" t="s">
        <v>30</v>
      </c>
      <c r="I50" s="35"/>
      <c r="J50" s="35" t="s">
        <v>71</v>
      </c>
      <c r="K50" s="35"/>
    </row>
    <row r="51" spans="1:11" s="13" customFormat="1" ht="30" customHeight="1" thickBot="1" x14ac:dyDescent="0.3">
      <c r="A51" s="19" t="s">
        <v>47</v>
      </c>
      <c r="B51" s="10"/>
      <c r="C51" s="148">
        <v>46041</v>
      </c>
      <c r="D51" s="11">
        <v>0.40972222222222221</v>
      </c>
      <c r="E51" s="11">
        <v>0.42708333333333331</v>
      </c>
      <c r="F51" s="12">
        <f t="shared" si="1"/>
        <v>0.41666666666666652</v>
      </c>
      <c r="G51" s="20" t="s">
        <v>22</v>
      </c>
      <c r="H51" s="20" t="s">
        <v>24</v>
      </c>
      <c r="I51" s="9"/>
      <c r="J51" s="9"/>
      <c r="K51" s="9"/>
    </row>
    <row r="52" spans="1:11" s="13" customFormat="1" ht="30" customHeight="1" thickBot="1" x14ac:dyDescent="0.3">
      <c r="A52" s="19" t="s">
        <v>47</v>
      </c>
      <c r="B52" s="10"/>
      <c r="C52" s="149"/>
      <c r="D52" s="11">
        <v>0.42708333333333331</v>
      </c>
      <c r="E52" s="11">
        <v>0.45833333333333331</v>
      </c>
      <c r="F52" s="12">
        <f t="shared" si="1"/>
        <v>0.75</v>
      </c>
      <c r="G52" s="20" t="s">
        <v>22</v>
      </c>
      <c r="H52" s="20" t="s">
        <v>24</v>
      </c>
      <c r="I52" s="9" t="s">
        <v>33</v>
      </c>
      <c r="J52" s="9" t="s">
        <v>107</v>
      </c>
      <c r="K52" s="9"/>
    </row>
    <row r="53" spans="1:11" s="13" customFormat="1" ht="30" customHeight="1" thickBot="1" x14ac:dyDescent="0.3">
      <c r="A53" s="19" t="s">
        <v>47</v>
      </c>
      <c r="B53" s="10"/>
      <c r="C53" s="149"/>
      <c r="D53" s="11">
        <v>0.45833333333333331</v>
      </c>
      <c r="E53" s="11">
        <v>0.48958333333333331</v>
      </c>
      <c r="F53" s="12">
        <f t="shared" si="1"/>
        <v>0.75</v>
      </c>
      <c r="G53" s="20" t="s">
        <v>20</v>
      </c>
      <c r="H53" s="20" t="s">
        <v>23</v>
      </c>
      <c r="I53" s="9" t="s">
        <v>37</v>
      </c>
      <c r="J53" s="9" t="s">
        <v>125</v>
      </c>
      <c r="K53" s="9"/>
    </row>
    <row r="54" spans="1:11" s="13" customFormat="1" ht="30" customHeight="1" thickBot="1" x14ac:dyDescent="0.3">
      <c r="A54" s="19" t="s">
        <v>47</v>
      </c>
      <c r="B54" s="10"/>
      <c r="C54" s="149"/>
      <c r="D54" s="11">
        <v>0.50347222222222221</v>
      </c>
      <c r="E54" s="11">
        <v>0.53472222222222221</v>
      </c>
      <c r="F54" s="12">
        <f t="shared" si="1"/>
        <v>0.75</v>
      </c>
      <c r="G54" s="20" t="s">
        <v>19</v>
      </c>
      <c r="H54" s="20" t="s">
        <v>23</v>
      </c>
      <c r="I54" s="9" t="s">
        <v>37</v>
      </c>
      <c r="J54" s="9" t="s">
        <v>126</v>
      </c>
      <c r="K54" s="9">
        <v>1202</v>
      </c>
    </row>
    <row r="55" spans="1:11" s="13" customFormat="1" ht="30" customHeight="1" thickBot="1" x14ac:dyDescent="0.3">
      <c r="A55" s="19" t="s">
        <v>47</v>
      </c>
      <c r="B55" s="10"/>
      <c r="C55" s="149"/>
      <c r="D55" s="11">
        <v>0.53472222222222221</v>
      </c>
      <c r="E55" s="11">
        <v>0.5625</v>
      </c>
      <c r="F55" s="12">
        <f t="shared" si="1"/>
        <v>0.66666666666666696</v>
      </c>
      <c r="G55" s="20" t="s">
        <v>19</v>
      </c>
      <c r="H55" s="20" t="s">
        <v>24</v>
      </c>
      <c r="I55" s="9" t="s">
        <v>33</v>
      </c>
      <c r="J55" s="9" t="s">
        <v>127</v>
      </c>
      <c r="K55" s="9"/>
    </row>
    <row r="56" spans="1:11" s="13" customFormat="1" ht="30" customHeight="1" thickBot="1" x14ac:dyDescent="0.3">
      <c r="A56" s="19" t="s">
        <v>47</v>
      </c>
      <c r="B56" s="10"/>
      <c r="C56" s="149"/>
      <c r="D56" s="11">
        <v>0.5625</v>
      </c>
      <c r="E56" s="11">
        <v>0.625</v>
      </c>
      <c r="F56" s="12">
        <f t="shared" si="1"/>
        <v>1.5</v>
      </c>
      <c r="G56" s="20" t="s">
        <v>20</v>
      </c>
      <c r="H56" s="20" t="s">
        <v>23</v>
      </c>
      <c r="I56" s="9" t="s">
        <v>37</v>
      </c>
      <c r="J56" s="9" t="s">
        <v>128</v>
      </c>
      <c r="K56" s="9"/>
    </row>
    <row r="57" spans="1:11" s="13" customFormat="1" ht="30" customHeight="1" thickBot="1" x14ac:dyDescent="0.3">
      <c r="A57" s="19" t="s">
        <v>47</v>
      </c>
      <c r="B57" s="10"/>
      <c r="C57" s="149"/>
      <c r="D57" s="11">
        <v>0.625</v>
      </c>
      <c r="E57" s="11">
        <v>0.66666666666666663</v>
      </c>
      <c r="F57" s="12">
        <f t="shared" si="1"/>
        <v>0.99999999999999911</v>
      </c>
      <c r="G57" s="20" t="s">
        <v>19</v>
      </c>
      <c r="H57" s="20" t="s">
        <v>24</v>
      </c>
      <c r="I57" s="9" t="s">
        <v>33</v>
      </c>
      <c r="J57" s="9" t="s">
        <v>129</v>
      </c>
      <c r="K57" s="9"/>
    </row>
    <row r="58" spans="1:11" s="13" customFormat="1" ht="30" customHeight="1" thickBot="1" x14ac:dyDescent="0.3">
      <c r="A58" s="19" t="s">
        <v>47</v>
      </c>
      <c r="B58" s="10"/>
      <c r="C58" s="150"/>
      <c r="D58" s="11">
        <v>0.66666666666666663</v>
      </c>
      <c r="E58" s="11">
        <v>0.70833333333333337</v>
      </c>
      <c r="F58" s="12">
        <f t="shared" si="1"/>
        <v>1.0000000000000018</v>
      </c>
      <c r="G58" s="20" t="s">
        <v>20</v>
      </c>
      <c r="H58" s="20" t="s">
        <v>24</v>
      </c>
      <c r="I58" s="9" t="s">
        <v>33</v>
      </c>
      <c r="J58" s="9" t="s">
        <v>130</v>
      </c>
      <c r="K58" s="9"/>
    </row>
    <row r="59" spans="1:11" s="13" customFormat="1" ht="30" customHeight="1" thickBot="1" x14ac:dyDescent="0.3">
      <c r="A59" s="19" t="s">
        <v>47</v>
      </c>
      <c r="B59" s="10"/>
      <c r="C59" s="148">
        <v>46042</v>
      </c>
      <c r="D59" s="11">
        <v>0.38541666666666669</v>
      </c>
      <c r="E59" s="11">
        <v>0.41666666666666669</v>
      </c>
      <c r="F59" s="12">
        <f t="shared" si="1"/>
        <v>0.75</v>
      </c>
      <c r="G59" s="20" t="s">
        <v>19</v>
      </c>
      <c r="H59" s="20" t="s">
        <v>24</v>
      </c>
      <c r="I59" s="9" t="s">
        <v>33</v>
      </c>
      <c r="J59" s="9" t="s">
        <v>131</v>
      </c>
      <c r="K59" s="9"/>
    </row>
    <row r="60" spans="1:11" s="13" customFormat="1" ht="30" customHeight="1" thickBot="1" x14ac:dyDescent="0.3">
      <c r="A60" s="19" t="s">
        <v>47</v>
      </c>
      <c r="B60" s="10"/>
      <c r="C60" s="149"/>
      <c r="D60" s="11">
        <v>0.41666666666666669</v>
      </c>
      <c r="E60" s="11">
        <v>0.4375</v>
      </c>
      <c r="F60" s="12">
        <f t="shared" si="1"/>
        <v>0.49999999999999956</v>
      </c>
      <c r="G60" s="20" t="s">
        <v>22</v>
      </c>
      <c r="H60" s="20" t="s">
        <v>24</v>
      </c>
      <c r="I60" s="9" t="s">
        <v>39</v>
      </c>
      <c r="J60" s="9" t="s">
        <v>132</v>
      </c>
      <c r="K60" s="9"/>
    </row>
    <row r="61" spans="1:11" s="13" customFormat="1" ht="30" customHeight="1" thickBot="1" x14ac:dyDescent="0.3">
      <c r="A61" s="19" t="s">
        <v>47</v>
      </c>
      <c r="B61" s="10"/>
      <c r="C61" s="149"/>
      <c r="D61" s="11">
        <v>0.4375</v>
      </c>
      <c r="E61" s="11">
        <v>0.45833333333333331</v>
      </c>
      <c r="F61" s="12">
        <f t="shared" si="1"/>
        <v>0.49999999999999956</v>
      </c>
      <c r="G61" s="20" t="s">
        <v>20</v>
      </c>
      <c r="H61" s="20" t="s">
        <v>24</v>
      </c>
      <c r="I61" s="9" t="s">
        <v>33</v>
      </c>
      <c r="J61" s="9" t="s">
        <v>133</v>
      </c>
      <c r="K61" s="9"/>
    </row>
    <row r="62" spans="1:11" s="13" customFormat="1" ht="30" customHeight="1" thickBot="1" x14ac:dyDescent="0.3">
      <c r="A62" s="19" t="s">
        <v>47</v>
      </c>
      <c r="B62" s="10"/>
      <c r="C62" s="150"/>
      <c r="D62" s="11">
        <v>0.45833333333333331</v>
      </c>
      <c r="E62" s="11">
        <v>0.5625</v>
      </c>
      <c r="F62" s="12">
        <f t="shared" si="1"/>
        <v>2.5000000000000004</v>
      </c>
      <c r="G62" s="20" t="s">
        <v>20</v>
      </c>
      <c r="H62" s="20" t="s">
        <v>24</v>
      </c>
      <c r="I62" s="9" t="s">
        <v>37</v>
      </c>
      <c r="J62" s="9" t="s">
        <v>134</v>
      </c>
      <c r="K62" s="9"/>
    </row>
    <row r="63" spans="1:11" s="13" customFormat="1" ht="30" customHeight="1" thickBot="1" x14ac:dyDescent="0.3">
      <c r="A63" s="19" t="s">
        <v>47</v>
      </c>
      <c r="B63" s="10"/>
      <c r="C63" s="14">
        <v>46043</v>
      </c>
      <c r="D63" s="11">
        <v>0.36458333333333331</v>
      </c>
      <c r="E63" s="11">
        <v>0.5625</v>
      </c>
      <c r="F63" s="12">
        <f t="shared" si="1"/>
        <v>4.75</v>
      </c>
      <c r="G63" s="20" t="s">
        <v>19</v>
      </c>
      <c r="H63" s="20" t="s">
        <v>23</v>
      </c>
      <c r="I63" s="9"/>
      <c r="J63" s="9" t="s">
        <v>135</v>
      </c>
      <c r="K63" s="9"/>
    </row>
    <row r="64" spans="1:11" s="13" customFormat="1" ht="30" hidden="1" customHeight="1" thickBot="1" x14ac:dyDescent="0.3">
      <c r="A64" s="19" t="s">
        <v>47</v>
      </c>
      <c r="B64" s="10"/>
      <c r="C64" s="55">
        <v>46044</v>
      </c>
      <c r="D64" s="56"/>
      <c r="E64" s="56"/>
      <c r="F64" s="57">
        <f t="shared" ref="F64:F84" si="2">+(E64-D64)*24</f>
        <v>0</v>
      </c>
      <c r="G64" s="58" t="s">
        <v>21</v>
      </c>
      <c r="H64" s="58"/>
      <c r="I64" s="59"/>
      <c r="J64" s="59" t="s">
        <v>136</v>
      </c>
      <c r="K64" s="59"/>
    </row>
    <row r="65" spans="1:11" s="13" customFormat="1" ht="30" hidden="1" customHeight="1" thickBot="1" x14ac:dyDescent="0.3">
      <c r="A65" s="19" t="s">
        <v>47</v>
      </c>
      <c r="B65" s="10"/>
      <c r="C65" s="148">
        <v>46045</v>
      </c>
      <c r="D65" s="11">
        <v>0.375</v>
      </c>
      <c r="E65" s="11">
        <v>0.5</v>
      </c>
      <c r="F65" s="12">
        <f t="shared" si="2"/>
        <v>3</v>
      </c>
      <c r="G65" s="20"/>
      <c r="H65" s="20"/>
      <c r="I65" s="9"/>
      <c r="J65" s="9" t="s">
        <v>138</v>
      </c>
      <c r="K65" s="9"/>
    </row>
    <row r="66" spans="1:11" s="13" customFormat="1" ht="30" hidden="1" customHeight="1" thickBot="1" x14ac:dyDescent="0.3">
      <c r="A66" s="19" t="s">
        <v>47</v>
      </c>
      <c r="B66" s="10"/>
      <c r="C66" s="150"/>
      <c r="D66" s="11">
        <v>0.5</v>
      </c>
      <c r="E66" s="11">
        <v>0.54166666666666663</v>
      </c>
      <c r="F66" s="12">
        <f t="shared" si="2"/>
        <v>0.99999999999999911</v>
      </c>
      <c r="G66" s="20"/>
      <c r="H66" s="20"/>
      <c r="I66" s="9"/>
      <c r="J66" s="9" t="s">
        <v>137</v>
      </c>
      <c r="K66" s="9"/>
    </row>
    <row r="67" spans="1:11" s="13" customFormat="1" ht="30" hidden="1" customHeight="1" thickBot="1" x14ac:dyDescent="0.3">
      <c r="A67" s="19" t="s">
        <v>47</v>
      </c>
      <c r="B67" s="10"/>
      <c r="C67" s="31">
        <v>46046</v>
      </c>
      <c r="D67" s="32">
        <v>0.35416666666666669</v>
      </c>
      <c r="E67" s="32">
        <v>0.6875</v>
      </c>
      <c r="F67" s="33">
        <f t="shared" si="2"/>
        <v>8</v>
      </c>
      <c r="G67" s="34" t="s">
        <v>21</v>
      </c>
      <c r="H67" s="34" t="s">
        <v>30</v>
      </c>
      <c r="I67" s="35"/>
      <c r="J67" s="35" t="s">
        <v>71</v>
      </c>
      <c r="K67" s="35"/>
    </row>
    <row r="68" spans="1:11" s="13" customFormat="1" ht="30" hidden="1" customHeight="1" thickBot="1" x14ac:dyDescent="0.3">
      <c r="A68" s="19" t="s">
        <v>47</v>
      </c>
      <c r="B68" s="10"/>
      <c r="C68" s="31">
        <v>46047</v>
      </c>
      <c r="D68" s="32">
        <v>0.35416666666666669</v>
      </c>
      <c r="E68" s="32">
        <v>0.6875</v>
      </c>
      <c r="F68" s="33">
        <f t="shared" si="2"/>
        <v>8</v>
      </c>
      <c r="G68" s="34" t="s">
        <v>21</v>
      </c>
      <c r="H68" s="34" t="s">
        <v>30</v>
      </c>
      <c r="I68" s="35"/>
      <c r="J68" s="35" t="s">
        <v>71</v>
      </c>
      <c r="K68" s="35"/>
    </row>
    <row r="69" spans="1:11" s="13" customFormat="1" ht="30" customHeight="1" thickBot="1" x14ac:dyDescent="0.3">
      <c r="A69" s="19" t="s">
        <v>47</v>
      </c>
      <c r="B69" s="10"/>
      <c r="C69" s="148">
        <v>46048</v>
      </c>
      <c r="D69" s="11">
        <v>0.34375</v>
      </c>
      <c r="E69" s="11">
        <v>0.35555555555555557</v>
      </c>
      <c r="F69" s="12">
        <f t="shared" si="2"/>
        <v>0.28333333333333366</v>
      </c>
      <c r="G69" s="20" t="s">
        <v>22</v>
      </c>
      <c r="H69" s="20" t="s">
        <v>24</v>
      </c>
      <c r="I69" s="9"/>
      <c r="J69" s="9" t="s">
        <v>140</v>
      </c>
      <c r="K69" s="9"/>
    </row>
    <row r="70" spans="1:11" s="13" customFormat="1" ht="30" customHeight="1" thickBot="1" x14ac:dyDescent="0.3">
      <c r="A70" s="19" t="s">
        <v>47</v>
      </c>
      <c r="B70" s="10"/>
      <c r="C70" s="149"/>
      <c r="D70" s="11">
        <v>0.35555555555555557</v>
      </c>
      <c r="E70" s="11">
        <v>0.3888888888888889</v>
      </c>
      <c r="F70" s="12">
        <f t="shared" si="2"/>
        <v>0.79999999999999982</v>
      </c>
      <c r="G70" s="20" t="s">
        <v>19</v>
      </c>
      <c r="H70" s="20" t="s">
        <v>24</v>
      </c>
      <c r="I70" s="9" t="s">
        <v>33</v>
      </c>
      <c r="J70" s="9" t="s">
        <v>141</v>
      </c>
      <c r="K70" s="9"/>
    </row>
    <row r="71" spans="1:11" s="13" customFormat="1" ht="30" customHeight="1" thickBot="1" x14ac:dyDescent="0.3">
      <c r="A71" s="19" t="s">
        <v>47</v>
      </c>
      <c r="B71" s="10"/>
      <c r="C71" s="149"/>
      <c r="D71" s="11">
        <v>0.3888888888888889</v>
      </c>
      <c r="E71" s="11">
        <v>0.4375</v>
      </c>
      <c r="F71" s="12">
        <f t="shared" si="2"/>
        <v>1.1666666666666665</v>
      </c>
      <c r="G71" s="20" t="s">
        <v>19</v>
      </c>
      <c r="H71" s="20" t="s">
        <v>23</v>
      </c>
      <c r="I71" s="9"/>
      <c r="J71" s="9" t="s">
        <v>142</v>
      </c>
      <c r="K71" s="9"/>
    </row>
    <row r="72" spans="1:11" s="13" customFormat="1" ht="30" customHeight="1" thickBot="1" x14ac:dyDescent="0.3">
      <c r="A72" s="19" t="s">
        <v>47</v>
      </c>
      <c r="B72" s="10"/>
      <c r="C72" s="149"/>
      <c r="D72" s="11">
        <v>0.4375</v>
      </c>
      <c r="E72" s="11">
        <v>0.45833333333333331</v>
      </c>
      <c r="F72" s="12">
        <f t="shared" si="2"/>
        <v>0.49999999999999956</v>
      </c>
      <c r="G72" s="20" t="s">
        <v>19</v>
      </c>
      <c r="H72" s="20" t="s">
        <v>24</v>
      </c>
      <c r="I72" s="9" t="s">
        <v>33</v>
      </c>
      <c r="J72" s="9" t="s">
        <v>121</v>
      </c>
      <c r="K72" s="9"/>
    </row>
    <row r="73" spans="1:11" s="13" customFormat="1" ht="30" customHeight="1" thickBot="1" x14ac:dyDescent="0.3">
      <c r="A73" s="19" t="s">
        <v>47</v>
      </c>
      <c r="B73" s="10"/>
      <c r="C73" s="149"/>
      <c r="D73" s="11">
        <v>0.45833333333333331</v>
      </c>
      <c r="E73" s="11">
        <v>0.52083333333333337</v>
      </c>
      <c r="F73" s="12">
        <f t="shared" si="2"/>
        <v>1.5000000000000013</v>
      </c>
      <c r="G73" s="20" t="s">
        <v>19</v>
      </c>
      <c r="H73" s="20" t="s">
        <v>23</v>
      </c>
      <c r="I73" s="9"/>
      <c r="J73" s="9" t="s">
        <v>142</v>
      </c>
      <c r="K73" s="9"/>
    </row>
    <row r="74" spans="1:11" s="13" customFormat="1" ht="30" customHeight="1" thickBot="1" x14ac:dyDescent="0.3">
      <c r="A74" s="19" t="s">
        <v>47</v>
      </c>
      <c r="B74" s="10"/>
      <c r="C74" s="149"/>
      <c r="D74" s="11">
        <v>0.54166666666666663</v>
      </c>
      <c r="E74" s="11">
        <v>0.625</v>
      </c>
      <c r="F74" s="12">
        <f t="shared" si="2"/>
        <v>2.0000000000000009</v>
      </c>
      <c r="G74" s="20" t="s">
        <v>19</v>
      </c>
      <c r="H74" s="20" t="s">
        <v>23</v>
      </c>
      <c r="I74" s="9" t="s">
        <v>35</v>
      </c>
      <c r="J74" s="9"/>
      <c r="K74" s="9"/>
    </row>
    <row r="75" spans="1:11" s="13" customFormat="1" ht="30" customHeight="1" thickBot="1" x14ac:dyDescent="0.3">
      <c r="A75" s="19" t="s">
        <v>47</v>
      </c>
      <c r="B75" s="10"/>
      <c r="C75" s="149"/>
      <c r="D75" s="11">
        <v>0.625</v>
      </c>
      <c r="E75" s="11">
        <v>0.66666666666666663</v>
      </c>
      <c r="F75" s="12">
        <f t="shared" si="2"/>
        <v>0.99999999999999911</v>
      </c>
      <c r="G75" s="20" t="s">
        <v>19</v>
      </c>
      <c r="H75" s="20" t="s">
        <v>24</v>
      </c>
      <c r="I75" s="9" t="s">
        <v>33</v>
      </c>
      <c r="J75" s="9" t="s">
        <v>129</v>
      </c>
      <c r="K75" s="9"/>
    </row>
    <row r="76" spans="1:11" s="13" customFormat="1" ht="30" customHeight="1" thickBot="1" x14ac:dyDescent="0.3">
      <c r="A76" s="19" t="s">
        <v>47</v>
      </c>
      <c r="B76" s="10"/>
      <c r="C76" s="150"/>
      <c r="D76" s="11">
        <v>0.66666666666666663</v>
      </c>
      <c r="E76" s="11">
        <v>0.70833333333333337</v>
      </c>
      <c r="F76" s="12">
        <f t="shared" si="2"/>
        <v>1.0000000000000018</v>
      </c>
      <c r="G76" s="20" t="s">
        <v>20</v>
      </c>
      <c r="H76" s="20" t="s">
        <v>23</v>
      </c>
      <c r="I76" s="9" t="s">
        <v>37</v>
      </c>
      <c r="J76" s="9" t="s">
        <v>143</v>
      </c>
      <c r="K76" s="9"/>
    </row>
    <row r="77" spans="1:11" s="13" customFormat="1" ht="30" customHeight="1" thickBot="1" x14ac:dyDescent="0.3">
      <c r="A77" s="19" t="s">
        <v>47</v>
      </c>
      <c r="B77" s="10"/>
      <c r="C77" s="148">
        <v>46049</v>
      </c>
      <c r="D77" s="11">
        <v>0.36458333333333331</v>
      </c>
      <c r="E77" s="11">
        <v>0.39583333333333331</v>
      </c>
      <c r="F77" s="12">
        <f t="shared" si="2"/>
        <v>0.75</v>
      </c>
      <c r="G77" s="20" t="s">
        <v>19</v>
      </c>
      <c r="H77" s="20" t="s">
        <v>24</v>
      </c>
      <c r="I77" s="9" t="s">
        <v>33</v>
      </c>
      <c r="J77" s="9" t="s">
        <v>144</v>
      </c>
      <c r="K77" s="9"/>
    </row>
    <row r="78" spans="1:11" s="13" customFormat="1" ht="30" customHeight="1" thickBot="1" x14ac:dyDescent="0.3">
      <c r="A78" s="19" t="s">
        <v>47</v>
      </c>
      <c r="B78" s="10"/>
      <c r="C78" s="149"/>
      <c r="D78" s="11">
        <v>0.39583333333333331</v>
      </c>
      <c r="E78" s="11">
        <v>0.4375</v>
      </c>
      <c r="F78" s="12">
        <f t="shared" si="2"/>
        <v>1.0000000000000004</v>
      </c>
      <c r="G78" s="20" t="s">
        <v>22</v>
      </c>
      <c r="H78" s="20" t="s">
        <v>24</v>
      </c>
      <c r="I78" s="9"/>
      <c r="J78" s="9" t="s">
        <v>145</v>
      </c>
      <c r="K78" s="9"/>
    </row>
    <row r="79" spans="1:11" s="13" customFormat="1" ht="30" customHeight="1" thickBot="1" x14ac:dyDescent="0.3">
      <c r="A79" s="19" t="s">
        <v>47</v>
      </c>
      <c r="B79" s="10"/>
      <c r="C79" s="149"/>
      <c r="D79" s="11">
        <v>0.4375</v>
      </c>
      <c r="E79" s="11">
        <v>0.45833333333333331</v>
      </c>
      <c r="F79" s="12">
        <f t="shared" si="2"/>
        <v>0.49999999999999956</v>
      </c>
      <c r="G79" s="20" t="s">
        <v>20</v>
      </c>
      <c r="H79" s="20" t="s">
        <v>24</v>
      </c>
      <c r="I79" s="9" t="s">
        <v>33</v>
      </c>
      <c r="J79" s="9" t="s">
        <v>146</v>
      </c>
      <c r="K79" s="9"/>
    </row>
    <row r="80" spans="1:11" s="13" customFormat="1" ht="30" customHeight="1" thickBot="1" x14ac:dyDescent="0.3">
      <c r="A80" s="19" t="s">
        <v>47</v>
      </c>
      <c r="B80" s="10"/>
      <c r="C80" s="149"/>
      <c r="D80" s="11">
        <v>0.45833333333333331</v>
      </c>
      <c r="E80" s="11">
        <v>0.54166666666666663</v>
      </c>
      <c r="F80" s="12">
        <f t="shared" si="2"/>
        <v>1.9999999999999996</v>
      </c>
      <c r="G80" s="20" t="s">
        <v>20</v>
      </c>
      <c r="H80" s="20" t="s">
        <v>23</v>
      </c>
      <c r="I80" s="9" t="s">
        <v>37</v>
      </c>
      <c r="J80" s="9" t="s">
        <v>147</v>
      </c>
      <c r="K80" s="9"/>
    </row>
    <row r="81" spans="1:11" s="13" customFormat="1" ht="30" customHeight="1" thickBot="1" x14ac:dyDescent="0.3">
      <c r="A81" s="19" t="s">
        <v>47</v>
      </c>
      <c r="B81" s="10"/>
      <c r="C81" s="149"/>
      <c r="D81" s="11">
        <v>0.5625</v>
      </c>
      <c r="E81" s="11">
        <v>0.66666666666666663</v>
      </c>
      <c r="F81" s="12">
        <f t="shared" si="2"/>
        <v>2.4999999999999991</v>
      </c>
      <c r="G81" s="20" t="s">
        <v>20</v>
      </c>
      <c r="H81" s="20" t="s">
        <v>23</v>
      </c>
      <c r="I81" s="9" t="s">
        <v>32</v>
      </c>
      <c r="J81" s="9" t="s">
        <v>148</v>
      </c>
      <c r="K81" s="9"/>
    </row>
    <row r="82" spans="1:11" s="13" customFormat="1" ht="30" customHeight="1" thickBot="1" x14ac:dyDescent="0.3">
      <c r="A82" s="19" t="s">
        <v>47</v>
      </c>
      <c r="B82" s="10"/>
      <c r="C82" s="150"/>
      <c r="D82" s="11">
        <v>0.66666666666666663</v>
      </c>
      <c r="E82" s="11">
        <v>0.70833333333333337</v>
      </c>
      <c r="F82" s="12">
        <f t="shared" si="2"/>
        <v>1.0000000000000018</v>
      </c>
      <c r="G82" s="20" t="s">
        <v>20</v>
      </c>
      <c r="H82" s="20" t="s">
        <v>24</v>
      </c>
      <c r="I82" s="9" t="s">
        <v>33</v>
      </c>
      <c r="J82" s="9" t="s">
        <v>130</v>
      </c>
      <c r="K82" s="9"/>
    </row>
    <row r="83" spans="1:11" s="13" customFormat="1" ht="30" customHeight="1" thickBot="1" x14ac:dyDescent="0.3">
      <c r="A83" s="19" t="s">
        <v>47</v>
      </c>
      <c r="B83" s="10"/>
      <c r="C83" s="148">
        <v>46050</v>
      </c>
      <c r="D83" s="11">
        <v>0.35416666666666669</v>
      </c>
      <c r="E83" s="11">
        <v>0.5</v>
      </c>
      <c r="F83" s="12">
        <f t="shared" si="2"/>
        <v>3.4999999999999996</v>
      </c>
      <c r="G83" s="20" t="s">
        <v>20</v>
      </c>
      <c r="H83" s="20" t="s">
        <v>23</v>
      </c>
      <c r="I83" s="9" t="s">
        <v>37</v>
      </c>
      <c r="J83" s="9" t="s">
        <v>149</v>
      </c>
      <c r="K83" s="9"/>
    </row>
    <row r="84" spans="1:11" s="13" customFormat="1" ht="30" customHeight="1" thickBot="1" x14ac:dyDescent="0.3">
      <c r="A84" s="19" t="s">
        <v>47</v>
      </c>
      <c r="B84" s="10"/>
      <c r="C84" s="149"/>
      <c r="D84" s="11">
        <v>0.52083333333333337</v>
      </c>
      <c r="E84" s="11">
        <v>0.625</v>
      </c>
      <c r="F84" s="12">
        <f t="shared" si="2"/>
        <v>2.4999999999999991</v>
      </c>
      <c r="G84" s="20" t="s">
        <v>20</v>
      </c>
      <c r="H84" s="20" t="s">
        <v>23</v>
      </c>
      <c r="I84" s="9" t="s">
        <v>37</v>
      </c>
      <c r="J84" s="9" t="s">
        <v>149</v>
      </c>
      <c r="K84" s="9"/>
    </row>
    <row r="85" spans="1:11" s="13" customFormat="1" ht="30" customHeight="1" thickBot="1" x14ac:dyDescent="0.3">
      <c r="A85" s="19" t="s">
        <v>47</v>
      </c>
      <c r="B85" s="10"/>
      <c r="C85" s="149"/>
      <c r="D85" s="11">
        <v>0.625</v>
      </c>
      <c r="E85" s="11">
        <v>0.66666666666666663</v>
      </c>
      <c r="F85" s="12">
        <f t="shared" ref="F85:F104" si="3">+(E85-D85)*24</f>
        <v>0.99999999999999911</v>
      </c>
      <c r="G85" s="20" t="s">
        <v>19</v>
      </c>
      <c r="H85" s="20" t="s">
        <v>24</v>
      </c>
      <c r="I85" s="9" t="s">
        <v>33</v>
      </c>
      <c r="J85" s="9" t="s">
        <v>150</v>
      </c>
      <c r="K85" s="9"/>
    </row>
    <row r="86" spans="1:11" s="13" customFormat="1" ht="30" customHeight="1" thickBot="1" x14ac:dyDescent="0.3">
      <c r="A86" s="19" t="s">
        <v>47</v>
      </c>
      <c r="B86" s="10"/>
      <c r="C86" s="149"/>
      <c r="D86" s="11">
        <v>0.66666666666666663</v>
      </c>
      <c r="E86" s="11">
        <v>0.71875</v>
      </c>
      <c r="F86" s="12">
        <f t="shared" si="3"/>
        <v>1.2500000000000009</v>
      </c>
      <c r="G86" s="20" t="s">
        <v>20</v>
      </c>
      <c r="H86" s="20" t="s">
        <v>24</v>
      </c>
      <c r="I86" s="9" t="s">
        <v>33</v>
      </c>
      <c r="J86" s="9" t="s">
        <v>106</v>
      </c>
      <c r="K86" s="9"/>
    </row>
    <row r="87" spans="1:11" s="13" customFormat="1" ht="30" customHeight="1" thickBot="1" x14ac:dyDescent="0.3">
      <c r="A87" s="19" t="s">
        <v>47</v>
      </c>
      <c r="B87" s="10"/>
      <c r="C87" s="150"/>
      <c r="D87" s="11">
        <v>0.71875</v>
      </c>
      <c r="E87" s="11">
        <v>0.72569444444444442</v>
      </c>
      <c r="F87" s="12">
        <f t="shared" si="3"/>
        <v>0.16666666666666607</v>
      </c>
      <c r="G87" s="20" t="s">
        <v>19</v>
      </c>
      <c r="H87" s="20" t="s">
        <v>24</v>
      </c>
      <c r="I87" s="9"/>
      <c r="J87" s="9" t="s">
        <v>151</v>
      </c>
      <c r="K87" s="9"/>
    </row>
    <row r="88" spans="1:11" s="13" customFormat="1" ht="30" customHeight="1" thickBot="1" x14ac:dyDescent="0.3">
      <c r="A88" s="19" t="s">
        <v>47</v>
      </c>
      <c r="B88" s="10"/>
      <c r="C88" s="148">
        <v>46051</v>
      </c>
      <c r="D88" s="11">
        <v>0.35416666666666669</v>
      </c>
      <c r="E88" s="11">
        <v>0.39583333333333331</v>
      </c>
      <c r="F88" s="12">
        <f t="shared" si="3"/>
        <v>0.99999999999999911</v>
      </c>
      <c r="G88" s="20" t="s">
        <v>19</v>
      </c>
      <c r="H88" s="20" t="s">
        <v>24</v>
      </c>
      <c r="I88" s="9" t="s">
        <v>33</v>
      </c>
      <c r="J88" s="9" t="s">
        <v>117</v>
      </c>
      <c r="K88" s="9"/>
    </row>
    <row r="89" spans="1:11" s="13" customFormat="1" ht="30" customHeight="1" thickBot="1" x14ac:dyDescent="0.3">
      <c r="A89" s="19" t="s">
        <v>47</v>
      </c>
      <c r="B89" s="10"/>
      <c r="C89" s="149"/>
      <c r="D89" s="11">
        <v>0.39583333333333331</v>
      </c>
      <c r="E89" s="11">
        <v>0.4375</v>
      </c>
      <c r="F89" s="12">
        <f t="shared" si="3"/>
        <v>1.0000000000000004</v>
      </c>
      <c r="G89" s="20" t="s">
        <v>20</v>
      </c>
      <c r="H89" s="20" t="s">
        <v>23</v>
      </c>
      <c r="I89" s="9" t="s">
        <v>37</v>
      </c>
      <c r="J89" s="9"/>
      <c r="K89" s="9"/>
    </row>
    <row r="90" spans="1:11" s="13" customFormat="1" ht="30" customHeight="1" thickBot="1" x14ac:dyDescent="0.3">
      <c r="A90" s="19" t="s">
        <v>47</v>
      </c>
      <c r="B90" s="10"/>
      <c r="C90" s="149"/>
      <c r="D90" s="11">
        <v>0.4375</v>
      </c>
      <c r="E90" s="11">
        <v>0.45833333333333331</v>
      </c>
      <c r="F90" s="12">
        <f t="shared" si="3"/>
        <v>0.49999999999999956</v>
      </c>
      <c r="G90" s="20" t="s">
        <v>20</v>
      </c>
      <c r="H90" s="20" t="s">
        <v>24</v>
      </c>
      <c r="I90" s="9" t="s">
        <v>33</v>
      </c>
      <c r="J90" s="9" t="s">
        <v>152</v>
      </c>
      <c r="K90" s="9"/>
    </row>
    <row r="91" spans="1:11" s="13" customFormat="1" ht="30" customHeight="1" thickBot="1" x14ac:dyDescent="0.3">
      <c r="A91" s="19" t="s">
        <v>47</v>
      </c>
      <c r="B91" s="10"/>
      <c r="C91" s="149"/>
      <c r="D91" s="11">
        <v>0.45833333333333331</v>
      </c>
      <c r="E91" s="11">
        <v>0.60763888888888884</v>
      </c>
      <c r="F91" s="12">
        <f t="shared" si="3"/>
        <v>3.5833333333333326</v>
      </c>
      <c r="G91" s="20" t="s">
        <v>20</v>
      </c>
      <c r="H91" s="20" t="s">
        <v>23</v>
      </c>
      <c r="I91" s="9" t="s">
        <v>37</v>
      </c>
      <c r="J91" s="9" t="s">
        <v>154</v>
      </c>
      <c r="K91" s="9"/>
    </row>
    <row r="92" spans="1:11" s="13" customFormat="1" ht="30" customHeight="1" thickBot="1" x14ac:dyDescent="0.3">
      <c r="A92" s="19" t="s">
        <v>47</v>
      </c>
      <c r="B92" s="10"/>
      <c r="C92" s="149"/>
      <c r="D92" s="11">
        <v>0.60763888888888884</v>
      </c>
      <c r="E92" s="11">
        <v>0.61805555555555558</v>
      </c>
      <c r="F92" s="12">
        <f t="shared" si="3"/>
        <v>0.25000000000000178</v>
      </c>
      <c r="G92" s="20" t="s">
        <v>19</v>
      </c>
      <c r="H92" s="20" t="s">
        <v>24</v>
      </c>
      <c r="I92" s="9" t="s">
        <v>33</v>
      </c>
      <c r="J92" s="9" t="s">
        <v>153</v>
      </c>
      <c r="K92" s="9">
        <v>625</v>
      </c>
    </row>
    <row r="93" spans="1:11" s="13" customFormat="1" ht="30" customHeight="1" thickBot="1" x14ac:dyDescent="0.3">
      <c r="A93" s="19" t="s">
        <v>47</v>
      </c>
      <c r="B93" s="10"/>
      <c r="C93" s="149"/>
      <c r="D93" s="11">
        <v>0.61805555555555558</v>
      </c>
      <c r="E93" s="11">
        <v>0.64583333333333337</v>
      </c>
      <c r="F93" s="12">
        <f t="shared" si="3"/>
        <v>0.66666666666666696</v>
      </c>
      <c r="G93" s="20" t="s">
        <v>20</v>
      </c>
      <c r="H93" s="20" t="s">
        <v>24</v>
      </c>
      <c r="I93" s="9" t="s">
        <v>33</v>
      </c>
      <c r="J93" s="9" t="s">
        <v>155</v>
      </c>
      <c r="K93" s="9"/>
    </row>
    <row r="94" spans="1:11" s="13" customFormat="1" ht="30" customHeight="1" thickBot="1" x14ac:dyDescent="0.3">
      <c r="A94" s="19" t="s">
        <v>47</v>
      </c>
      <c r="B94" s="10"/>
      <c r="C94" s="149"/>
      <c r="D94" s="11">
        <v>0.64583333333333337</v>
      </c>
      <c r="E94" s="11">
        <v>0.66666666666666663</v>
      </c>
      <c r="F94" s="12">
        <f t="shared" si="3"/>
        <v>0.49999999999999822</v>
      </c>
      <c r="G94" s="20" t="s">
        <v>20</v>
      </c>
      <c r="H94" s="20" t="s">
        <v>23</v>
      </c>
      <c r="I94" s="9" t="s">
        <v>32</v>
      </c>
      <c r="J94" s="9" t="s">
        <v>156</v>
      </c>
      <c r="K94" s="9"/>
    </row>
    <row r="95" spans="1:11" s="13" customFormat="1" ht="30" customHeight="1" thickBot="1" x14ac:dyDescent="0.3">
      <c r="A95" s="19" t="s">
        <v>47</v>
      </c>
      <c r="B95" s="10"/>
      <c r="C95" s="150"/>
      <c r="D95" s="11">
        <v>0.66666666666666663</v>
      </c>
      <c r="E95" s="11">
        <v>0.71875</v>
      </c>
      <c r="F95" s="12">
        <f t="shared" si="3"/>
        <v>1.2500000000000009</v>
      </c>
      <c r="G95" s="20" t="s">
        <v>20</v>
      </c>
      <c r="H95" s="20" t="s">
        <v>24</v>
      </c>
      <c r="I95" s="9" t="s">
        <v>33</v>
      </c>
      <c r="J95" s="9" t="s">
        <v>106</v>
      </c>
      <c r="K95" s="9"/>
    </row>
    <row r="96" spans="1:11" s="13" customFormat="1" ht="30" customHeight="1" thickBot="1" x14ac:dyDescent="0.3">
      <c r="A96" s="19" t="s">
        <v>47</v>
      </c>
      <c r="B96" s="10"/>
      <c r="C96" s="14">
        <v>46052</v>
      </c>
      <c r="D96" s="11">
        <v>0.35416666666666669</v>
      </c>
      <c r="E96" s="11">
        <v>0.41666666666666669</v>
      </c>
      <c r="F96" s="12">
        <f t="shared" si="3"/>
        <v>1.5</v>
      </c>
      <c r="G96" s="20" t="s">
        <v>22</v>
      </c>
      <c r="H96" s="20" t="s">
        <v>23</v>
      </c>
      <c r="I96" s="9"/>
      <c r="J96" s="9" t="s">
        <v>218</v>
      </c>
      <c r="K96" s="9"/>
    </row>
    <row r="97" spans="1:11" s="13" customFormat="1" ht="30" customHeight="1" thickBot="1" x14ac:dyDescent="0.3">
      <c r="A97" s="19" t="s">
        <v>47</v>
      </c>
      <c r="B97" s="10"/>
      <c r="C97" s="14">
        <v>46052</v>
      </c>
      <c r="D97" s="11">
        <v>0.41666666666666669</v>
      </c>
      <c r="E97" s="11">
        <v>0.4375</v>
      </c>
      <c r="F97" s="12">
        <f t="shared" si="3"/>
        <v>0.49999999999999956</v>
      </c>
      <c r="G97" s="20" t="s">
        <v>19</v>
      </c>
      <c r="H97" s="20" t="s">
        <v>24</v>
      </c>
      <c r="I97" s="9" t="s">
        <v>33</v>
      </c>
      <c r="J97" s="9" t="s">
        <v>107</v>
      </c>
      <c r="K97" s="9"/>
    </row>
    <row r="98" spans="1:11" s="13" customFormat="1" ht="30" customHeight="1" thickBot="1" x14ac:dyDescent="0.3">
      <c r="A98" s="19" t="s">
        <v>47</v>
      </c>
      <c r="B98" s="10"/>
      <c r="C98" s="14">
        <v>46052</v>
      </c>
      <c r="D98" s="11">
        <v>0.4375</v>
      </c>
      <c r="E98" s="11">
        <v>0.45833333333333331</v>
      </c>
      <c r="F98" s="12">
        <f t="shared" si="3"/>
        <v>0.49999999999999956</v>
      </c>
      <c r="G98" s="20" t="s">
        <v>19</v>
      </c>
      <c r="H98" s="20" t="s">
        <v>24</v>
      </c>
      <c r="I98" s="9" t="s">
        <v>33</v>
      </c>
      <c r="J98" s="9" t="s">
        <v>221</v>
      </c>
      <c r="K98" s="9"/>
    </row>
    <row r="99" spans="1:11" s="13" customFormat="1" ht="30" customHeight="1" thickBot="1" x14ac:dyDescent="0.3">
      <c r="A99" s="19" t="s">
        <v>47</v>
      </c>
      <c r="B99" s="10"/>
      <c r="C99" s="14">
        <v>46052</v>
      </c>
      <c r="D99" s="11">
        <v>0.45833333333333331</v>
      </c>
      <c r="E99" s="11">
        <v>0.47916666666666669</v>
      </c>
      <c r="F99" s="12">
        <f t="shared" si="3"/>
        <v>0.50000000000000089</v>
      </c>
      <c r="G99" s="20" t="s">
        <v>19</v>
      </c>
      <c r="H99" s="20" t="s">
        <v>24</v>
      </c>
      <c r="I99" s="9" t="s">
        <v>33</v>
      </c>
      <c r="J99" s="9" t="s">
        <v>207</v>
      </c>
      <c r="K99" s="9"/>
    </row>
    <row r="100" spans="1:11" s="13" customFormat="1" ht="30" customHeight="1" thickBot="1" x14ac:dyDescent="0.3">
      <c r="A100" s="19" t="s">
        <v>47</v>
      </c>
      <c r="B100" s="10"/>
      <c r="C100" s="14">
        <v>46052</v>
      </c>
      <c r="D100" s="11">
        <v>0.47916666666666669</v>
      </c>
      <c r="E100" s="11">
        <v>0.49652777777777779</v>
      </c>
      <c r="F100" s="12">
        <f t="shared" si="3"/>
        <v>0.41666666666666652</v>
      </c>
      <c r="G100" s="20" t="s">
        <v>22</v>
      </c>
      <c r="H100" s="20" t="s">
        <v>23</v>
      </c>
      <c r="I100" s="9"/>
      <c r="J100" s="9" t="s">
        <v>218</v>
      </c>
      <c r="K100" s="9"/>
    </row>
    <row r="101" spans="1:11" s="13" customFormat="1" ht="30" customHeight="1" thickBot="1" x14ac:dyDescent="0.3">
      <c r="A101" s="19" t="s">
        <v>47</v>
      </c>
      <c r="B101" s="10"/>
      <c r="C101" s="14">
        <v>46052</v>
      </c>
      <c r="D101" s="11">
        <v>0.51736111111111116</v>
      </c>
      <c r="E101" s="11">
        <v>0.66666666666666663</v>
      </c>
      <c r="F101" s="12">
        <f t="shared" si="3"/>
        <v>3.5833333333333313</v>
      </c>
      <c r="G101" s="20" t="s">
        <v>22</v>
      </c>
      <c r="H101" s="20" t="s">
        <v>23</v>
      </c>
      <c r="I101" s="9"/>
      <c r="J101" s="9" t="s">
        <v>218</v>
      </c>
      <c r="K101" s="9"/>
    </row>
    <row r="102" spans="1:11" s="13" customFormat="1" ht="30" customHeight="1" thickBot="1" x14ac:dyDescent="0.3">
      <c r="A102" s="19" t="s">
        <v>47</v>
      </c>
      <c r="B102" s="10"/>
      <c r="C102" s="14">
        <v>46052</v>
      </c>
      <c r="D102" s="11">
        <v>0.66666666666666663</v>
      </c>
      <c r="E102" s="11">
        <v>0.70833333333333337</v>
      </c>
      <c r="F102" s="12">
        <f t="shared" si="3"/>
        <v>1.0000000000000018</v>
      </c>
      <c r="G102" s="20" t="s">
        <v>20</v>
      </c>
      <c r="H102" s="20" t="s">
        <v>24</v>
      </c>
      <c r="I102" s="9" t="s">
        <v>33</v>
      </c>
      <c r="J102" s="9" t="s">
        <v>106</v>
      </c>
      <c r="K102" s="9"/>
    </row>
    <row r="103" spans="1:11" s="13" customFormat="1" ht="30" customHeight="1" thickBot="1" x14ac:dyDescent="0.3">
      <c r="A103" s="19" t="s">
        <v>47</v>
      </c>
      <c r="B103" s="10"/>
      <c r="C103" s="14">
        <v>46052</v>
      </c>
      <c r="D103" s="11">
        <v>0.70833333333333337</v>
      </c>
      <c r="E103" s="11">
        <v>0.77083333333333337</v>
      </c>
      <c r="F103" s="12">
        <f t="shared" si="3"/>
        <v>1.5</v>
      </c>
      <c r="G103" s="20" t="s">
        <v>22</v>
      </c>
      <c r="H103" s="20" t="s">
        <v>23</v>
      </c>
      <c r="I103" s="9"/>
      <c r="J103" s="9" t="s">
        <v>218</v>
      </c>
      <c r="K103" s="9"/>
    </row>
    <row r="104" spans="1:11" s="13" customFormat="1" ht="29.25" hidden="1" thickBot="1" x14ac:dyDescent="0.3">
      <c r="A104" s="19" t="s">
        <v>47</v>
      </c>
      <c r="B104" s="10"/>
      <c r="C104" s="31">
        <v>46053</v>
      </c>
      <c r="D104" s="32"/>
      <c r="E104" s="32"/>
      <c r="F104" s="33">
        <f t="shared" si="3"/>
        <v>0</v>
      </c>
      <c r="G104" s="34" t="s">
        <v>21</v>
      </c>
      <c r="H104" s="34" t="s">
        <v>30</v>
      </c>
      <c r="I104" s="35"/>
      <c r="J104" s="35" t="s">
        <v>71</v>
      </c>
      <c r="K104" s="35"/>
    </row>
    <row r="105" spans="1:11" s="13" customFormat="1" ht="29.25" hidden="1" thickBot="1" x14ac:dyDescent="0.3">
      <c r="A105" s="19" t="s">
        <v>47</v>
      </c>
      <c r="B105" s="10"/>
      <c r="C105" s="14"/>
      <c r="D105" s="11"/>
      <c r="E105" s="11"/>
      <c r="F105" s="12">
        <f t="shared" ref="F105:F133" si="4">+(E105-D105)*24</f>
        <v>0</v>
      </c>
      <c r="G105" s="20"/>
      <c r="H105" s="20"/>
      <c r="I105" s="9"/>
      <c r="J105" s="9"/>
      <c r="K105" s="9"/>
    </row>
    <row r="106" spans="1:11" s="13" customFormat="1" ht="29.25" hidden="1" thickBot="1" x14ac:dyDescent="0.3">
      <c r="A106" s="19" t="s">
        <v>47</v>
      </c>
      <c r="B106" s="10"/>
      <c r="C106" s="14"/>
      <c r="D106" s="11"/>
      <c r="E106" s="11"/>
      <c r="F106" s="12">
        <f t="shared" si="4"/>
        <v>0</v>
      </c>
      <c r="G106" s="20"/>
      <c r="H106" s="20"/>
      <c r="I106" s="9"/>
      <c r="J106" s="9"/>
      <c r="K106" s="9"/>
    </row>
    <row r="107" spans="1:11" s="13" customFormat="1" ht="29.25" hidden="1" thickBot="1" x14ac:dyDescent="0.3">
      <c r="A107" s="19" t="s">
        <v>47</v>
      </c>
      <c r="B107" s="10"/>
      <c r="C107" s="14"/>
      <c r="D107" s="11"/>
      <c r="E107" s="11"/>
      <c r="F107" s="12">
        <f t="shared" si="4"/>
        <v>0</v>
      </c>
      <c r="G107" s="20"/>
      <c r="H107" s="20"/>
      <c r="I107" s="9"/>
      <c r="J107" s="9"/>
      <c r="K107" s="9"/>
    </row>
    <row r="108" spans="1:11" s="13" customFormat="1" ht="29.25" hidden="1" thickBot="1" x14ac:dyDescent="0.3">
      <c r="A108" s="19" t="s">
        <v>47</v>
      </c>
      <c r="B108" s="10"/>
      <c r="C108" s="14"/>
      <c r="D108" s="11"/>
      <c r="E108" s="11"/>
      <c r="F108" s="12">
        <f t="shared" si="4"/>
        <v>0</v>
      </c>
      <c r="G108" s="20"/>
      <c r="H108" s="20"/>
      <c r="I108" s="9"/>
      <c r="J108" s="9"/>
      <c r="K108" s="9"/>
    </row>
    <row r="109" spans="1:11" s="13" customFormat="1" ht="29.25" hidden="1" thickBot="1" x14ac:dyDescent="0.3">
      <c r="A109" s="19" t="s">
        <v>47</v>
      </c>
      <c r="B109" s="10"/>
      <c r="C109" s="14"/>
      <c r="D109" s="11"/>
      <c r="E109" s="11"/>
      <c r="F109" s="12">
        <f t="shared" si="4"/>
        <v>0</v>
      </c>
      <c r="G109" s="20"/>
      <c r="H109" s="20"/>
      <c r="I109" s="9"/>
      <c r="J109" s="9"/>
      <c r="K109" s="9"/>
    </row>
    <row r="110" spans="1:11" s="13" customFormat="1" ht="29.25" hidden="1" thickBot="1" x14ac:dyDescent="0.3">
      <c r="A110" s="19" t="s">
        <v>47</v>
      </c>
      <c r="B110" s="10"/>
      <c r="C110" s="14"/>
      <c r="D110" s="11"/>
      <c r="E110" s="11"/>
      <c r="F110" s="12">
        <f t="shared" si="4"/>
        <v>0</v>
      </c>
      <c r="G110" s="20"/>
      <c r="H110" s="20"/>
      <c r="I110" s="9"/>
      <c r="J110" s="9"/>
      <c r="K110" s="9"/>
    </row>
    <row r="111" spans="1:11" s="13" customFormat="1" ht="29.25" hidden="1" thickBot="1" x14ac:dyDescent="0.3">
      <c r="A111" s="19" t="s">
        <v>47</v>
      </c>
      <c r="B111" s="10"/>
      <c r="C111" s="14"/>
      <c r="D111" s="11"/>
      <c r="E111" s="11"/>
      <c r="F111" s="12">
        <f t="shared" si="4"/>
        <v>0</v>
      </c>
      <c r="G111" s="20"/>
      <c r="H111" s="20"/>
      <c r="I111" s="9"/>
      <c r="J111" s="9"/>
      <c r="K111" s="9"/>
    </row>
    <row r="112" spans="1:11" s="13" customFormat="1" ht="29.25" hidden="1" thickBot="1" x14ac:dyDescent="0.3">
      <c r="A112" s="19" t="s">
        <v>47</v>
      </c>
      <c r="B112" s="10"/>
      <c r="C112" s="14"/>
      <c r="D112" s="11"/>
      <c r="E112" s="11"/>
      <c r="F112" s="12">
        <f t="shared" si="4"/>
        <v>0</v>
      </c>
      <c r="G112" s="20"/>
      <c r="H112" s="20"/>
      <c r="I112" s="9"/>
      <c r="J112" s="9"/>
      <c r="K112" s="9"/>
    </row>
    <row r="113" spans="1:11" s="13" customFormat="1" ht="29.25" hidden="1" thickBot="1" x14ac:dyDescent="0.3">
      <c r="A113" s="19" t="s">
        <v>47</v>
      </c>
      <c r="B113" s="10"/>
      <c r="C113" s="14"/>
      <c r="D113" s="11"/>
      <c r="E113" s="11"/>
      <c r="F113" s="12">
        <f t="shared" si="4"/>
        <v>0</v>
      </c>
      <c r="G113" s="20"/>
      <c r="H113" s="20"/>
      <c r="I113" s="9"/>
      <c r="J113" s="9"/>
      <c r="K113" s="9"/>
    </row>
    <row r="114" spans="1:11" s="13" customFormat="1" ht="29.25" hidden="1" thickBot="1" x14ac:dyDescent="0.3">
      <c r="A114" s="19" t="s">
        <v>47</v>
      </c>
      <c r="B114" s="10"/>
      <c r="C114" s="14"/>
      <c r="D114" s="11"/>
      <c r="E114" s="11"/>
      <c r="F114" s="12">
        <f t="shared" si="4"/>
        <v>0</v>
      </c>
      <c r="G114" s="20"/>
      <c r="H114" s="20"/>
      <c r="I114" s="9"/>
      <c r="J114" s="9"/>
      <c r="K114" s="9"/>
    </row>
    <row r="115" spans="1:11" s="13" customFormat="1" ht="29.25" hidden="1" thickBot="1" x14ac:dyDescent="0.3">
      <c r="A115" s="19" t="s">
        <v>47</v>
      </c>
      <c r="B115" s="10"/>
      <c r="C115" s="14"/>
      <c r="D115" s="11"/>
      <c r="E115" s="11"/>
      <c r="F115" s="12">
        <f t="shared" si="4"/>
        <v>0</v>
      </c>
      <c r="G115" s="20"/>
      <c r="H115" s="20"/>
      <c r="I115" s="9"/>
      <c r="J115" s="9"/>
      <c r="K115" s="9"/>
    </row>
    <row r="116" spans="1:11" s="13" customFormat="1" ht="29.25" hidden="1" thickBot="1" x14ac:dyDescent="0.3">
      <c r="A116" s="19" t="s">
        <v>47</v>
      </c>
      <c r="B116" s="10"/>
      <c r="C116" s="14"/>
      <c r="D116" s="11"/>
      <c r="E116" s="11"/>
      <c r="F116" s="12">
        <f t="shared" si="4"/>
        <v>0</v>
      </c>
      <c r="G116" s="20"/>
      <c r="H116" s="20"/>
      <c r="I116" s="9"/>
      <c r="J116" s="9"/>
      <c r="K116" s="9"/>
    </row>
    <row r="117" spans="1:11" s="13" customFormat="1" ht="29.25" hidden="1" thickBot="1" x14ac:dyDescent="0.3">
      <c r="A117" s="19" t="s">
        <v>47</v>
      </c>
      <c r="B117" s="10"/>
      <c r="C117" s="14"/>
      <c r="D117" s="11"/>
      <c r="E117" s="11"/>
      <c r="F117" s="12">
        <f t="shared" si="4"/>
        <v>0</v>
      </c>
      <c r="G117" s="20"/>
      <c r="H117" s="20"/>
      <c r="I117" s="9"/>
      <c r="J117" s="9"/>
      <c r="K117" s="9"/>
    </row>
    <row r="118" spans="1:11" s="13" customFormat="1" ht="29.25" hidden="1" thickBot="1" x14ac:dyDescent="0.3">
      <c r="A118" s="19" t="s">
        <v>47</v>
      </c>
      <c r="B118" s="10"/>
      <c r="C118" s="14"/>
      <c r="D118" s="11"/>
      <c r="E118" s="11"/>
      <c r="F118" s="12">
        <f t="shared" si="4"/>
        <v>0</v>
      </c>
      <c r="G118" s="20"/>
      <c r="H118" s="20"/>
      <c r="I118" s="9"/>
      <c r="J118" s="9"/>
      <c r="K118" s="9"/>
    </row>
    <row r="119" spans="1:11" s="13" customFormat="1" ht="29.25" hidden="1" thickBot="1" x14ac:dyDescent="0.3">
      <c r="A119" s="19" t="s">
        <v>47</v>
      </c>
      <c r="B119" s="10"/>
      <c r="C119" s="14"/>
      <c r="D119" s="11"/>
      <c r="E119" s="11"/>
      <c r="F119" s="12">
        <f t="shared" si="4"/>
        <v>0</v>
      </c>
      <c r="G119" s="20"/>
      <c r="H119" s="20"/>
      <c r="I119" s="9"/>
      <c r="J119" s="9"/>
      <c r="K119" s="9"/>
    </row>
    <row r="120" spans="1:11" s="13" customFormat="1" ht="29.25" hidden="1" thickBot="1" x14ac:dyDescent="0.3">
      <c r="A120" s="19" t="s">
        <v>47</v>
      </c>
      <c r="B120" s="10"/>
      <c r="C120" s="14"/>
      <c r="D120" s="11"/>
      <c r="E120" s="11"/>
      <c r="F120" s="12">
        <f t="shared" si="4"/>
        <v>0</v>
      </c>
      <c r="G120" s="20"/>
      <c r="H120" s="20"/>
      <c r="I120" s="9"/>
      <c r="J120" s="9"/>
      <c r="K120" s="9"/>
    </row>
    <row r="121" spans="1:11" s="13" customFormat="1" ht="29.25" hidden="1" thickBot="1" x14ac:dyDescent="0.3">
      <c r="A121" s="19" t="s">
        <v>47</v>
      </c>
      <c r="B121" s="10"/>
      <c r="C121" s="14"/>
      <c r="D121" s="11"/>
      <c r="E121" s="11"/>
      <c r="F121" s="12">
        <f t="shared" si="4"/>
        <v>0</v>
      </c>
      <c r="G121" s="20"/>
      <c r="H121" s="20"/>
      <c r="I121" s="9"/>
      <c r="J121" s="9"/>
      <c r="K121" s="9"/>
    </row>
    <row r="122" spans="1:11" s="13" customFormat="1" ht="29.25" hidden="1" thickBot="1" x14ac:dyDescent="0.3">
      <c r="A122" s="19" t="s">
        <v>47</v>
      </c>
      <c r="B122" s="10"/>
      <c r="C122" s="14"/>
      <c r="D122" s="11"/>
      <c r="E122" s="11"/>
      <c r="F122" s="12">
        <f t="shared" si="4"/>
        <v>0</v>
      </c>
      <c r="G122" s="20"/>
      <c r="H122" s="20"/>
      <c r="I122" s="9"/>
      <c r="J122" s="9"/>
      <c r="K122" s="9"/>
    </row>
    <row r="123" spans="1:11" s="13" customFormat="1" ht="29.25" hidden="1" thickBot="1" x14ac:dyDescent="0.3">
      <c r="A123" s="19" t="s">
        <v>47</v>
      </c>
      <c r="B123" s="10"/>
      <c r="C123" s="14"/>
      <c r="D123" s="11"/>
      <c r="E123" s="11"/>
      <c r="F123" s="12">
        <f t="shared" si="4"/>
        <v>0</v>
      </c>
      <c r="G123" s="20"/>
      <c r="H123" s="20"/>
      <c r="I123" s="9"/>
      <c r="J123" s="9"/>
      <c r="K123" s="9"/>
    </row>
    <row r="124" spans="1:11" s="13" customFormat="1" ht="29.25" hidden="1" thickBot="1" x14ac:dyDescent="0.3">
      <c r="A124" s="19" t="s">
        <v>47</v>
      </c>
      <c r="B124" s="10"/>
      <c r="C124" s="14"/>
      <c r="D124" s="11"/>
      <c r="E124" s="11"/>
      <c r="F124" s="12">
        <f t="shared" si="4"/>
        <v>0</v>
      </c>
      <c r="G124" s="20"/>
      <c r="H124" s="20"/>
      <c r="I124" s="9"/>
      <c r="J124" s="9"/>
      <c r="K124" s="9"/>
    </row>
    <row r="125" spans="1:11" s="13" customFormat="1" ht="29.25" hidden="1" thickBot="1" x14ac:dyDescent="0.3">
      <c r="A125" s="19" t="s">
        <v>47</v>
      </c>
      <c r="B125" s="10"/>
      <c r="C125" s="14"/>
      <c r="D125" s="11"/>
      <c r="E125" s="11"/>
      <c r="F125" s="12">
        <f t="shared" si="4"/>
        <v>0</v>
      </c>
      <c r="G125" s="20"/>
      <c r="H125" s="20"/>
      <c r="I125" s="9"/>
      <c r="J125" s="9"/>
      <c r="K125" s="9"/>
    </row>
    <row r="126" spans="1:11" s="13" customFormat="1" ht="29.25" hidden="1" thickBot="1" x14ac:dyDescent="0.3">
      <c r="A126" s="19" t="s">
        <v>47</v>
      </c>
      <c r="B126" s="10"/>
      <c r="C126" s="14"/>
      <c r="D126" s="11"/>
      <c r="E126" s="11"/>
      <c r="F126" s="12">
        <f t="shared" si="4"/>
        <v>0</v>
      </c>
      <c r="G126" s="20"/>
      <c r="H126" s="20"/>
      <c r="I126" s="9"/>
      <c r="J126" s="9"/>
      <c r="K126" s="9"/>
    </row>
    <row r="127" spans="1:11" s="13" customFormat="1" ht="29.25" hidden="1" thickBot="1" x14ac:dyDescent="0.3">
      <c r="A127" s="19" t="s">
        <v>47</v>
      </c>
      <c r="B127" s="10"/>
      <c r="C127" s="14"/>
      <c r="D127" s="11"/>
      <c r="E127" s="11"/>
      <c r="F127" s="12">
        <f t="shared" si="4"/>
        <v>0</v>
      </c>
      <c r="G127" s="20"/>
      <c r="H127" s="20"/>
      <c r="I127" s="9"/>
      <c r="J127" s="9"/>
      <c r="K127" s="9"/>
    </row>
    <row r="128" spans="1:11" s="13" customFormat="1" ht="29.25" hidden="1" thickBot="1" x14ac:dyDescent="0.3">
      <c r="A128" s="19" t="s">
        <v>47</v>
      </c>
      <c r="B128" s="10"/>
      <c r="C128" s="14"/>
      <c r="D128" s="11"/>
      <c r="E128" s="11"/>
      <c r="F128" s="12">
        <f t="shared" si="4"/>
        <v>0</v>
      </c>
      <c r="G128" s="20"/>
      <c r="H128" s="20"/>
      <c r="I128" s="9"/>
      <c r="J128" s="9"/>
      <c r="K128" s="9"/>
    </row>
    <row r="129" spans="1:11" s="13" customFormat="1" ht="29.25" hidden="1" thickBot="1" x14ac:dyDescent="0.3">
      <c r="A129" s="19" t="s">
        <v>47</v>
      </c>
      <c r="B129" s="10"/>
      <c r="C129" s="14"/>
      <c r="D129" s="11"/>
      <c r="E129" s="11"/>
      <c r="F129" s="12">
        <f t="shared" si="4"/>
        <v>0</v>
      </c>
      <c r="G129" s="20"/>
      <c r="H129" s="20"/>
      <c r="I129" s="9"/>
      <c r="J129" s="9"/>
      <c r="K129" s="9"/>
    </row>
    <row r="130" spans="1:11" s="13" customFormat="1" ht="29.25" hidden="1" thickBot="1" x14ac:dyDescent="0.3">
      <c r="A130" s="19" t="s">
        <v>47</v>
      </c>
      <c r="B130" s="10"/>
      <c r="C130" s="14"/>
      <c r="D130" s="11"/>
      <c r="E130" s="11"/>
      <c r="F130" s="12">
        <f t="shared" si="4"/>
        <v>0</v>
      </c>
      <c r="G130" s="20"/>
      <c r="H130" s="20"/>
      <c r="I130" s="9"/>
      <c r="J130" s="9"/>
      <c r="K130" s="9"/>
    </row>
    <row r="131" spans="1:11" s="13" customFormat="1" ht="29.25" hidden="1" thickBot="1" x14ac:dyDescent="0.3">
      <c r="A131" s="19" t="s">
        <v>47</v>
      </c>
      <c r="B131" s="10"/>
      <c r="C131" s="14"/>
      <c r="D131" s="11"/>
      <c r="E131" s="11"/>
      <c r="F131" s="12">
        <f t="shared" si="4"/>
        <v>0</v>
      </c>
      <c r="G131" s="20"/>
      <c r="H131" s="20"/>
      <c r="I131" s="9"/>
      <c r="J131" s="9"/>
      <c r="K131" s="9"/>
    </row>
    <row r="132" spans="1:11" s="13" customFormat="1" ht="29.25" hidden="1" thickBot="1" x14ac:dyDescent="0.3">
      <c r="A132" s="19" t="s">
        <v>47</v>
      </c>
      <c r="B132" s="10"/>
      <c r="C132" s="14"/>
      <c r="D132" s="11"/>
      <c r="E132" s="11"/>
      <c r="F132" s="12">
        <f t="shared" si="4"/>
        <v>0</v>
      </c>
      <c r="G132" s="20"/>
      <c r="H132" s="20"/>
      <c r="I132" s="9"/>
      <c r="J132" s="9"/>
      <c r="K132" s="9"/>
    </row>
    <row r="133" spans="1:11" s="13" customFormat="1" ht="29.25" hidden="1" thickBot="1" x14ac:dyDescent="0.3">
      <c r="A133" s="19" t="s">
        <v>47</v>
      </c>
      <c r="B133" s="10"/>
      <c r="C133" s="14"/>
      <c r="D133" s="11"/>
      <c r="E133" s="11"/>
      <c r="F133" s="12">
        <f t="shared" si="4"/>
        <v>0</v>
      </c>
      <c r="G133" s="20"/>
      <c r="H133" s="20"/>
      <c r="I133" s="9"/>
      <c r="J133" s="9"/>
      <c r="K133" s="9"/>
    </row>
    <row r="134" spans="1:11" s="13" customFormat="1" ht="29.25" hidden="1" thickBot="1" x14ac:dyDescent="0.3">
      <c r="A134" s="19" t="s">
        <v>47</v>
      </c>
      <c r="B134" s="10"/>
      <c r="C134" s="14"/>
      <c r="D134" s="11"/>
      <c r="E134" s="11"/>
      <c r="F134" s="12">
        <f t="shared" ref="F134:F197" si="5">+(E134-D134)*24</f>
        <v>0</v>
      </c>
      <c r="G134" s="20"/>
      <c r="H134" s="20"/>
      <c r="I134" s="9"/>
      <c r="J134" s="9"/>
      <c r="K134" s="9"/>
    </row>
    <row r="135" spans="1:11" s="13" customFormat="1" ht="29.25" hidden="1" thickBot="1" x14ac:dyDescent="0.3">
      <c r="A135" s="19" t="s">
        <v>47</v>
      </c>
      <c r="B135" s="10"/>
      <c r="C135" s="14"/>
      <c r="D135" s="11"/>
      <c r="E135" s="11"/>
      <c r="F135" s="12">
        <f t="shared" si="5"/>
        <v>0</v>
      </c>
      <c r="G135" s="20"/>
      <c r="H135" s="20"/>
      <c r="I135" s="9"/>
      <c r="J135" s="9"/>
      <c r="K135" s="9"/>
    </row>
    <row r="136" spans="1:11" s="13" customFormat="1" ht="29.25" hidden="1" thickBot="1" x14ac:dyDescent="0.3">
      <c r="A136" s="19" t="s">
        <v>47</v>
      </c>
      <c r="B136" s="10"/>
      <c r="C136" s="14"/>
      <c r="D136" s="11"/>
      <c r="E136" s="11"/>
      <c r="F136" s="12">
        <f t="shared" si="5"/>
        <v>0</v>
      </c>
      <c r="G136" s="20"/>
      <c r="H136" s="20"/>
      <c r="I136" s="9"/>
      <c r="J136" s="9"/>
      <c r="K136" s="9"/>
    </row>
    <row r="137" spans="1:11" s="13" customFormat="1" ht="29.25" hidden="1" thickBot="1" x14ac:dyDescent="0.3">
      <c r="A137" s="19" t="s">
        <v>47</v>
      </c>
      <c r="B137" s="10"/>
      <c r="C137" s="14"/>
      <c r="D137" s="11"/>
      <c r="E137" s="11"/>
      <c r="F137" s="12">
        <f t="shared" si="5"/>
        <v>0</v>
      </c>
      <c r="G137" s="20"/>
      <c r="H137" s="20"/>
      <c r="I137" s="9"/>
      <c r="J137" s="9"/>
      <c r="K137" s="9"/>
    </row>
    <row r="138" spans="1:11" s="13" customFormat="1" ht="29.25" hidden="1" thickBot="1" x14ac:dyDescent="0.3">
      <c r="A138" s="19" t="s">
        <v>47</v>
      </c>
      <c r="B138" s="10"/>
      <c r="C138" s="14"/>
      <c r="D138" s="11"/>
      <c r="E138" s="11"/>
      <c r="F138" s="12">
        <f t="shared" si="5"/>
        <v>0</v>
      </c>
      <c r="G138" s="20"/>
      <c r="H138" s="20"/>
      <c r="I138" s="9"/>
      <c r="J138" s="9"/>
      <c r="K138" s="9"/>
    </row>
    <row r="139" spans="1:11" s="13" customFormat="1" ht="29.25" hidden="1" thickBot="1" x14ac:dyDescent="0.3">
      <c r="A139" s="19" t="s">
        <v>47</v>
      </c>
      <c r="B139" s="10"/>
      <c r="C139" s="14"/>
      <c r="D139" s="11"/>
      <c r="E139" s="11"/>
      <c r="F139" s="12">
        <f t="shared" si="5"/>
        <v>0</v>
      </c>
      <c r="G139" s="20"/>
      <c r="H139" s="20"/>
      <c r="I139" s="9"/>
      <c r="J139" s="9"/>
      <c r="K139" s="9"/>
    </row>
    <row r="140" spans="1:11" s="13" customFormat="1" ht="29.25" hidden="1" thickBot="1" x14ac:dyDescent="0.3">
      <c r="A140" s="19" t="s">
        <v>47</v>
      </c>
      <c r="B140" s="10"/>
      <c r="C140" s="14"/>
      <c r="D140" s="11"/>
      <c r="E140" s="11"/>
      <c r="F140" s="12">
        <f t="shared" si="5"/>
        <v>0</v>
      </c>
      <c r="G140" s="20"/>
      <c r="H140" s="20"/>
      <c r="I140" s="9"/>
      <c r="J140" s="9"/>
      <c r="K140" s="9"/>
    </row>
    <row r="141" spans="1:11" s="13" customFormat="1" ht="29.25" hidden="1" thickBot="1" x14ac:dyDescent="0.3">
      <c r="A141" s="19" t="s">
        <v>47</v>
      </c>
      <c r="B141" s="10"/>
      <c r="C141" s="14"/>
      <c r="D141" s="11"/>
      <c r="E141" s="11"/>
      <c r="F141" s="12">
        <f t="shared" si="5"/>
        <v>0</v>
      </c>
      <c r="G141" s="20"/>
      <c r="H141" s="20"/>
      <c r="I141" s="9"/>
      <c r="J141" s="9"/>
      <c r="K141" s="9"/>
    </row>
    <row r="142" spans="1:11" s="13" customFormat="1" ht="29.25" hidden="1" thickBot="1" x14ac:dyDescent="0.3">
      <c r="A142" s="19" t="s">
        <v>47</v>
      </c>
      <c r="B142" s="10"/>
      <c r="C142" s="14"/>
      <c r="D142" s="11"/>
      <c r="E142" s="11"/>
      <c r="F142" s="12">
        <f t="shared" si="5"/>
        <v>0</v>
      </c>
      <c r="G142" s="20"/>
      <c r="H142" s="20"/>
      <c r="I142" s="9"/>
      <c r="J142" s="9"/>
      <c r="K142" s="9"/>
    </row>
    <row r="143" spans="1:11" s="13" customFormat="1" ht="29.25" hidden="1" thickBot="1" x14ac:dyDescent="0.3">
      <c r="A143" s="19" t="s">
        <v>47</v>
      </c>
      <c r="B143" s="10"/>
      <c r="C143" s="14"/>
      <c r="D143" s="11"/>
      <c r="E143" s="11"/>
      <c r="F143" s="12">
        <f t="shared" si="5"/>
        <v>0</v>
      </c>
      <c r="G143" s="20"/>
      <c r="H143" s="20"/>
      <c r="I143" s="9"/>
      <c r="J143" s="9"/>
      <c r="K143" s="9"/>
    </row>
    <row r="144" spans="1:11" s="13" customFormat="1" ht="29.25" hidden="1" thickBot="1" x14ac:dyDescent="0.3">
      <c r="A144" s="19" t="s">
        <v>47</v>
      </c>
      <c r="B144" s="10"/>
      <c r="C144" s="14"/>
      <c r="D144" s="11"/>
      <c r="E144" s="11"/>
      <c r="F144" s="12">
        <f t="shared" si="5"/>
        <v>0</v>
      </c>
      <c r="G144" s="20"/>
      <c r="H144" s="20"/>
      <c r="I144" s="9"/>
      <c r="J144" s="9"/>
      <c r="K144" s="9"/>
    </row>
    <row r="145" spans="1:11" s="13" customFormat="1" ht="29.25" hidden="1" thickBot="1" x14ac:dyDescent="0.3">
      <c r="A145" s="19" t="s">
        <v>47</v>
      </c>
      <c r="B145" s="10"/>
      <c r="C145" s="14"/>
      <c r="D145" s="11"/>
      <c r="E145" s="11"/>
      <c r="F145" s="12">
        <f t="shared" si="5"/>
        <v>0</v>
      </c>
      <c r="G145" s="20"/>
      <c r="H145" s="20"/>
      <c r="I145" s="9"/>
      <c r="J145" s="9"/>
      <c r="K145" s="9"/>
    </row>
    <row r="146" spans="1:11" s="13" customFormat="1" ht="29.25" hidden="1" thickBot="1" x14ac:dyDescent="0.3">
      <c r="A146" s="19" t="s">
        <v>47</v>
      </c>
      <c r="B146" s="10"/>
      <c r="C146" s="14"/>
      <c r="D146" s="11"/>
      <c r="E146" s="11"/>
      <c r="F146" s="12">
        <f t="shared" si="5"/>
        <v>0</v>
      </c>
      <c r="G146" s="20"/>
      <c r="H146" s="20"/>
      <c r="I146" s="9"/>
      <c r="J146" s="9"/>
      <c r="K146" s="9"/>
    </row>
    <row r="147" spans="1:11" s="13" customFormat="1" ht="29.25" hidden="1" thickBot="1" x14ac:dyDescent="0.3">
      <c r="A147" s="19" t="s">
        <v>47</v>
      </c>
      <c r="B147" s="10"/>
      <c r="C147" s="14"/>
      <c r="D147" s="11"/>
      <c r="E147" s="11"/>
      <c r="F147" s="12">
        <f t="shared" si="5"/>
        <v>0</v>
      </c>
      <c r="G147" s="20"/>
      <c r="H147" s="20"/>
      <c r="I147" s="9"/>
      <c r="J147" s="9"/>
      <c r="K147" s="9"/>
    </row>
    <row r="148" spans="1:11" s="13" customFormat="1" ht="29.25" hidden="1" thickBot="1" x14ac:dyDescent="0.3">
      <c r="A148" s="19" t="s">
        <v>47</v>
      </c>
      <c r="B148" s="10"/>
      <c r="C148" s="14"/>
      <c r="D148" s="11"/>
      <c r="E148" s="11"/>
      <c r="F148" s="12">
        <f t="shared" si="5"/>
        <v>0</v>
      </c>
      <c r="G148" s="20"/>
      <c r="H148" s="20"/>
      <c r="I148" s="9"/>
      <c r="J148" s="9"/>
      <c r="K148" s="9"/>
    </row>
    <row r="149" spans="1:11" s="13" customFormat="1" ht="29.25" hidden="1" thickBot="1" x14ac:dyDescent="0.3">
      <c r="A149" s="19" t="s">
        <v>47</v>
      </c>
      <c r="B149" s="10"/>
      <c r="C149" s="14"/>
      <c r="D149" s="11"/>
      <c r="E149" s="11"/>
      <c r="F149" s="12">
        <f t="shared" si="5"/>
        <v>0</v>
      </c>
      <c r="G149" s="20"/>
      <c r="H149" s="20"/>
      <c r="I149" s="9"/>
      <c r="J149" s="9"/>
      <c r="K149" s="9"/>
    </row>
    <row r="150" spans="1:11" s="13" customFormat="1" ht="29.25" hidden="1" thickBot="1" x14ac:dyDescent="0.3">
      <c r="A150" s="19" t="s">
        <v>47</v>
      </c>
      <c r="B150" s="10"/>
      <c r="C150" s="14"/>
      <c r="D150" s="11"/>
      <c r="E150" s="11"/>
      <c r="F150" s="12">
        <f t="shared" si="5"/>
        <v>0</v>
      </c>
      <c r="G150" s="20"/>
      <c r="H150" s="20"/>
      <c r="I150" s="9"/>
      <c r="J150" s="9"/>
      <c r="K150" s="9"/>
    </row>
    <row r="151" spans="1:11" s="13" customFormat="1" ht="29.25" hidden="1" thickBot="1" x14ac:dyDescent="0.3">
      <c r="A151" s="19" t="s">
        <v>47</v>
      </c>
      <c r="B151" s="10"/>
      <c r="C151" s="14"/>
      <c r="D151" s="11"/>
      <c r="E151" s="11"/>
      <c r="F151" s="12">
        <f t="shared" si="5"/>
        <v>0</v>
      </c>
      <c r="G151" s="20"/>
      <c r="H151" s="20"/>
      <c r="I151" s="9"/>
      <c r="J151" s="9"/>
      <c r="K151" s="9"/>
    </row>
    <row r="152" spans="1:11" s="13" customFormat="1" ht="29.25" hidden="1" thickBot="1" x14ac:dyDescent="0.3">
      <c r="A152" s="19" t="s">
        <v>47</v>
      </c>
      <c r="B152" s="10"/>
      <c r="C152" s="14"/>
      <c r="D152" s="11"/>
      <c r="E152" s="11"/>
      <c r="F152" s="12">
        <f t="shared" si="5"/>
        <v>0</v>
      </c>
      <c r="G152" s="20"/>
      <c r="H152" s="20"/>
      <c r="I152" s="9"/>
      <c r="J152" s="9"/>
      <c r="K152" s="9"/>
    </row>
    <row r="153" spans="1:11" s="13" customFormat="1" ht="29.25" hidden="1" thickBot="1" x14ac:dyDescent="0.3">
      <c r="A153" s="19" t="s">
        <v>47</v>
      </c>
      <c r="B153" s="10"/>
      <c r="C153" s="14"/>
      <c r="D153" s="11"/>
      <c r="E153" s="11"/>
      <c r="F153" s="12">
        <f t="shared" si="5"/>
        <v>0</v>
      </c>
      <c r="G153" s="20"/>
      <c r="H153" s="20"/>
      <c r="I153" s="9"/>
      <c r="J153" s="9"/>
      <c r="K153" s="9"/>
    </row>
    <row r="154" spans="1:11" s="13" customFormat="1" ht="29.25" hidden="1" thickBot="1" x14ac:dyDescent="0.3">
      <c r="A154" s="19" t="s">
        <v>47</v>
      </c>
      <c r="B154" s="10"/>
      <c r="C154" s="14"/>
      <c r="D154" s="11"/>
      <c r="E154" s="11"/>
      <c r="F154" s="12">
        <f t="shared" si="5"/>
        <v>0</v>
      </c>
      <c r="G154" s="20"/>
      <c r="H154" s="20"/>
      <c r="I154" s="9"/>
      <c r="J154" s="9"/>
      <c r="K154" s="9"/>
    </row>
    <row r="155" spans="1:11" ht="29.25" hidden="1" thickBot="1" x14ac:dyDescent="0.25">
      <c r="A155" s="19" t="s">
        <v>47</v>
      </c>
      <c r="B155" s="10"/>
      <c r="C155" s="14"/>
      <c r="D155" s="11"/>
      <c r="E155" s="11"/>
      <c r="F155" s="12">
        <f t="shared" si="5"/>
        <v>0</v>
      </c>
      <c r="G155" s="20"/>
      <c r="H155" s="20"/>
      <c r="I155" s="9"/>
      <c r="J155" s="9"/>
      <c r="K155" s="9"/>
    </row>
    <row r="156" spans="1:11" ht="29.25" hidden="1" thickBot="1" x14ac:dyDescent="0.25">
      <c r="A156" s="19" t="s">
        <v>47</v>
      </c>
      <c r="B156" s="10"/>
      <c r="C156" s="14"/>
      <c r="D156" s="11"/>
      <c r="E156" s="11"/>
      <c r="F156" s="12">
        <f t="shared" si="5"/>
        <v>0</v>
      </c>
      <c r="G156" s="20"/>
      <c r="H156" s="20"/>
      <c r="I156" s="9"/>
      <c r="J156" s="9"/>
      <c r="K156" s="9"/>
    </row>
    <row r="157" spans="1:11" ht="29.25" hidden="1" thickBot="1" x14ac:dyDescent="0.25">
      <c r="A157" s="19" t="s">
        <v>47</v>
      </c>
      <c r="B157" s="10"/>
      <c r="C157" s="14"/>
      <c r="D157" s="11"/>
      <c r="E157" s="11"/>
      <c r="F157" s="12">
        <f t="shared" si="5"/>
        <v>0</v>
      </c>
      <c r="G157" s="20"/>
      <c r="H157" s="20"/>
      <c r="I157" s="9"/>
      <c r="J157" s="9"/>
      <c r="K157" s="9"/>
    </row>
    <row r="158" spans="1:11" ht="29.25" hidden="1" thickBot="1" x14ac:dyDescent="0.25">
      <c r="A158" s="19" t="s">
        <v>47</v>
      </c>
      <c r="B158" s="10"/>
      <c r="C158" s="14"/>
      <c r="D158" s="11"/>
      <c r="E158" s="11"/>
      <c r="F158" s="12">
        <f t="shared" si="5"/>
        <v>0</v>
      </c>
      <c r="G158" s="20"/>
      <c r="H158" s="20"/>
      <c r="I158" s="9"/>
      <c r="J158" s="9"/>
      <c r="K158" s="9"/>
    </row>
    <row r="159" spans="1:11" ht="29.25" hidden="1" thickBot="1" x14ac:dyDescent="0.25">
      <c r="A159" s="19" t="s">
        <v>47</v>
      </c>
      <c r="B159" s="10"/>
      <c r="C159" s="14"/>
      <c r="D159" s="11"/>
      <c r="E159" s="11"/>
      <c r="F159" s="12">
        <f t="shared" si="5"/>
        <v>0</v>
      </c>
      <c r="G159" s="20"/>
      <c r="H159" s="20"/>
      <c r="I159" s="9"/>
      <c r="J159" s="9"/>
      <c r="K159" s="9"/>
    </row>
    <row r="160" spans="1:11" ht="29.25" hidden="1" thickBot="1" x14ac:dyDescent="0.25">
      <c r="A160" s="19" t="s">
        <v>47</v>
      </c>
      <c r="B160" s="10"/>
      <c r="C160" s="14"/>
      <c r="D160" s="11"/>
      <c r="E160" s="11"/>
      <c r="F160" s="12">
        <f t="shared" si="5"/>
        <v>0</v>
      </c>
      <c r="G160" s="20"/>
      <c r="H160" s="20"/>
      <c r="I160" s="9"/>
      <c r="J160" s="9"/>
      <c r="K160" s="9"/>
    </row>
    <row r="161" spans="1:11" ht="29.25" hidden="1" thickBot="1" x14ac:dyDescent="0.25">
      <c r="A161" s="19" t="s">
        <v>47</v>
      </c>
      <c r="B161" s="10"/>
      <c r="C161" s="14"/>
      <c r="D161" s="11"/>
      <c r="E161" s="11"/>
      <c r="F161" s="12">
        <f t="shared" si="5"/>
        <v>0</v>
      </c>
      <c r="G161" s="20"/>
      <c r="H161" s="20"/>
      <c r="I161" s="9"/>
      <c r="J161" s="9"/>
      <c r="K161" s="9"/>
    </row>
    <row r="162" spans="1:11" ht="29.25" hidden="1" thickBot="1" x14ac:dyDescent="0.25">
      <c r="A162" s="19" t="s">
        <v>47</v>
      </c>
      <c r="B162" s="10"/>
      <c r="C162" s="14"/>
      <c r="D162" s="11"/>
      <c r="E162" s="11"/>
      <c r="F162" s="12">
        <f t="shared" si="5"/>
        <v>0</v>
      </c>
      <c r="G162" s="20"/>
      <c r="H162" s="20"/>
      <c r="I162" s="9"/>
      <c r="J162" s="9"/>
      <c r="K162" s="9"/>
    </row>
    <row r="163" spans="1:11" ht="29.25" hidden="1" thickBot="1" x14ac:dyDescent="0.25">
      <c r="A163" s="19" t="s">
        <v>47</v>
      </c>
      <c r="B163" s="10"/>
      <c r="C163" s="14"/>
      <c r="D163" s="11"/>
      <c r="E163" s="11"/>
      <c r="F163" s="12">
        <f t="shared" si="5"/>
        <v>0</v>
      </c>
      <c r="G163" s="20"/>
      <c r="H163" s="20"/>
      <c r="I163" s="9"/>
      <c r="J163" s="9"/>
      <c r="K163" s="9"/>
    </row>
    <row r="164" spans="1:11" ht="29.25" hidden="1" thickBot="1" x14ac:dyDescent="0.25">
      <c r="A164" s="19" t="s">
        <v>47</v>
      </c>
      <c r="B164" s="10"/>
      <c r="C164" s="14"/>
      <c r="D164" s="11"/>
      <c r="E164" s="11"/>
      <c r="F164" s="12">
        <f t="shared" si="5"/>
        <v>0</v>
      </c>
      <c r="G164" s="20"/>
      <c r="H164" s="20"/>
      <c r="I164" s="9"/>
      <c r="J164" s="9"/>
      <c r="K164" s="9"/>
    </row>
    <row r="165" spans="1:11" ht="29.25" hidden="1" thickBot="1" x14ac:dyDescent="0.25">
      <c r="A165" s="19" t="s">
        <v>47</v>
      </c>
      <c r="B165" s="10"/>
      <c r="C165" s="14"/>
      <c r="D165" s="11"/>
      <c r="E165" s="11"/>
      <c r="F165" s="12">
        <f t="shared" si="5"/>
        <v>0</v>
      </c>
      <c r="G165" s="20"/>
      <c r="H165" s="20"/>
      <c r="I165" s="9"/>
      <c r="J165" s="9"/>
      <c r="K165" s="9"/>
    </row>
    <row r="166" spans="1:11" ht="29.25" hidden="1" thickBot="1" x14ac:dyDescent="0.25">
      <c r="A166" s="19" t="s">
        <v>47</v>
      </c>
      <c r="B166" s="10"/>
      <c r="C166" s="14"/>
      <c r="D166" s="11"/>
      <c r="E166" s="11"/>
      <c r="F166" s="12">
        <f t="shared" si="5"/>
        <v>0</v>
      </c>
      <c r="G166" s="20"/>
      <c r="H166" s="20"/>
      <c r="I166" s="9"/>
      <c r="J166" s="9"/>
      <c r="K166" s="9"/>
    </row>
    <row r="167" spans="1:11" ht="29.25" hidden="1" thickBot="1" x14ac:dyDescent="0.25">
      <c r="A167" s="19" t="s">
        <v>47</v>
      </c>
      <c r="B167" s="10"/>
      <c r="C167" s="14"/>
      <c r="D167" s="11"/>
      <c r="E167" s="11"/>
      <c r="F167" s="12">
        <f t="shared" si="5"/>
        <v>0</v>
      </c>
      <c r="G167" s="20"/>
      <c r="H167" s="20"/>
      <c r="I167" s="9"/>
      <c r="J167" s="9"/>
      <c r="K167" s="9"/>
    </row>
    <row r="168" spans="1:11" ht="29.25" hidden="1" thickBot="1" x14ac:dyDescent="0.25">
      <c r="A168" s="19" t="s">
        <v>47</v>
      </c>
      <c r="B168" s="10"/>
      <c r="C168" s="14"/>
      <c r="D168" s="11"/>
      <c r="E168" s="11"/>
      <c r="F168" s="12">
        <f t="shared" si="5"/>
        <v>0</v>
      </c>
      <c r="G168" s="20"/>
      <c r="H168" s="20"/>
      <c r="I168" s="9"/>
      <c r="J168" s="9"/>
      <c r="K168" s="9"/>
    </row>
    <row r="169" spans="1:11" ht="29.25" hidden="1" thickBot="1" x14ac:dyDescent="0.25">
      <c r="A169" s="19" t="s">
        <v>47</v>
      </c>
      <c r="B169" s="10"/>
      <c r="C169" s="14"/>
      <c r="D169" s="11"/>
      <c r="E169" s="11"/>
      <c r="F169" s="12">
        <f t="shared" si="5"/>
        <v>0</v>
      </c>
      <c r="G169" s="20"/>
      <c r="H169" s="20"/>
      <c r="I169" s="9"/>
      <c r="J169" s="9"/>
      <c r="K169" s="9"/>
    </row>
    <row r="170" spans="1:11" ht="29.25" hidden="1" thickBot="1" x14ac:dyDescent="0.25">
      <c r="A170" s="19" t="s">
        <v>47</v>
      </c>
      <c r="B170" s="10"/>
      <c r="C170" s="14"/>
      <c r="D170" s="11"/>
      <c r="E170" s="11"/>
      <c r="F170" s="12">
        <f t="shared" si="5"/>
        <v>0</v>
      </c>
      <c r="G170" s="20"/>
      <c r="H170" s="20"/>
      <c r="I170" s="9"/>
      <c r="J170" s="9"/>
      <c r="K170" s="9"/>
    </row>
    <row r="171" spans="1:11" ht="29.25" hidden="1" thickBot="1" x14ac:dyDescent="0.25">
      <c r="A171" s="19" t="s">
        <v>47</v>
      </c>
      <c r="B171" s="10"/>
      <c r="C171" s="14"/>
      <c r="D171" s="11"/>
      <c r="E171" s="11"/>
      <c r="F171" s="12">
        <f t="shared" si="5"/>
        <v>0</v>
      </c>
      <c r="G171" s="20"/>
      <c r="H171" s="20"/>
      <c r="I171" s="9"/>
      <c r="J171" s="9"/>
      <c r="K171" s="9"/>
    </row>
    <row r="172" spans="1:11" ht="29.25" hidden="1" thickBot="1" x14ac:dyDescent="0.25">
      <c r="A172" s="19" t="s">
        <v>47</v>
      </c>
      <c r="B172" s="10"/>
      <c r="C172" s="14"/>
      <c r="D172" s="11"/>
      <c r="E172" s="11"/>
      <c r="F172" s="12">
        <f t="shared" si="5"/>
        <v>0</v>
      </c>
      <c r="G172" s="20"/>
      <c r="H172" s="20"/>
      <c r="I172" s="9"/>
      <c r="J172" s="9"/>
      <c r="K172" s="9"/>
    </row>
    <row r="173" spans="1:11" ht="29.25" hidden="1" thickBot="1" x14ac:dyDescent="0.25">
      <c r="A173" s="19" t="s">
        <v>47</v>
      </c>
      <c r="B173" s="10"/>
      <c r="C173" s="14"/>
      <c r="D173" s="11"/>
      <c r="E173" s="11"/>
      <c r="F173" s="12">
        <f t="shared" si="5"/>
        <v>0</v>
      </c>
      <c r="G173" s="20"/>
      <c r="H173" s="20"/>
      <c r="I173" s="9"/>
      <c r="J173" s="9"/>
      <c r="K173" s="9"/>
    </row>
    <row r="174" spans="1:11" ht="29.25" hidden="1" thickBot="1" x14ac:dyDescent="0.25">
      <c r="A174" s="19" t="s">
        <v>47</v>
      </c>
      <c r="B174" s="10"/>
      <c r="C174" s="14"/>
      <c r="D174" s="11"/>
      <c r="E174" s="11"/>
      <c r="F174" s="12">
        <f t="shared" si="5"/>
        <v>0</v>
      </c>
      <c r="G174" s="20"/>
      <c r="H174" s="20"/>
      <c r="I174" s="9"/>
      <c r="J174" s="9"/>
      <c r="K174" s="9"/>
    </row>
    <row r="175" spans="1:11" ht="29.25" hidden="1" thickBot="1" x14ac:dyDescent="0.25">
      <c r="A175" s="19" t="s">
        <v>47</v>
      </c>
      <c r="B175" s="10"/>
      <c r="C175" s="14"/>
      <c r="D175" s="11"/>
      <c r="E175" s="11"/>
      <c r="F175" s="12">
        <f t="shared" si="5"/>
        <v>0</v>
      </c>
      <c r="G175" s="20"/>
      <c r="H175" s="20"/>
      <c r="I175" s="9"/>
      <c r="J175" s="9"/>
      <c r="K175" s="9"/>
    </row>
    <row r="176" spans="1:11" ht="29.25" hidden="1" thickBot="1" x14ac:dyDescent="0.25">
      <c r="A176" s="19" t="s">
        <v>47</v>
      </c>
      <c r="B176" s="10"/>
      <c r="C176" s="14"/>
      <c r="D176" s="11"/>
      <c r="E176" s="11"/>
      <c r="F176" s="12">
        <f t="shared" si="5"/>
        <v>0</v>
      </c>
      <c r="G176" s="20"/>
      <c r="H176" s="20"/>
      <c r="I176" s="9"/>
      <c r="J176" s="9"/>
      <c r="K176" s="9"/>
    </row>
    <row r="177" spans="1:11" ht="29.25" hidden="1" thickBot="1" x14ac:dyDescent="0.25">
      <c r="A177" s="19" t="s">
        <v>47</v>
      </c>
      <c r="B177" s="10"/>
      <c r="C177" s="14"/>
      <c r="D177" s="11"/>
      <c r="E177" s="11"/>
      <c r="F177" s="12">
        <f t="shared" si="5"/>
        <v>0</v>
      </c>
      <c r="G177" s="20"/>
      <c r="H177" s="20"/>
      <c r="I177" s="9"/>
      <c r="J177" s="9"/>
      <c r="K177" s="9"/>
    </row>
    <row r="178" spans="1:11" ht="29.25" hidden="1" thickBot="1" x14ac:dyDescent="0.25">
      <c r="A178" s="19" t="s">
        <v>47</v>
      </c>
      <c r="B178" s="10"/>
      <c r="C178" s="14"/>
      <c r="D178" s="11"/>
      <c r="E178" s="11"/>
      <c r="F178" s="12">
        <f t="shared" si="5"/>
        <v>0</v>
      </c>
      <c r="G178" s="20"/>
      <c r="H178" s="20"/>
      <c r="I178" s="9"/>
      <c r="J178" s="9"/>
      <c r="K178" s="9"/>
    </row>
    <row r="179" spans="1:11" ht="29.25" hidden="1" thickBot="1" x14ac:dyDescent="0.25">
      <c r="A179" s="19" t="s">
        <v>47</v>
      </c>
      <c r="B179" s="10"/>
      <c r="C179" s="14"/>
      <c r="D179" s="11"/>
      <c r="E179" s="11"/>
      <c r="F179" s="12">
        <f t="shared" si="5"/>
        <v>0</v>
      </c>
      <c r="G179" s="20"/>
      <c r="H179" s="20"/>
      <c r="I179" s="9"/>
      <c r="J179" s="9"/>
      <c r="K179" s="9"/>
    </row>
    <row r="180" spans="1:11" ht="29.25" hidden="1" thickBot="1" x14ac:dyDescent="0.25">
      <c r="A180" s="19" t="s">
        <v>47</v>
      </c>
      <c r="B180" s="10"/>
      <c r="C180" s="14"/>
      <c r="D180" s="11"/>
      <c r="E180" s="11"/>
      <c r="F180" s="12">
        <f t="shared" si="5"/>
        <v>0</v>
      </c>
      <c r="G180" s="20"/>
      <c r="H180" s="20"/>
      <c r="I180" s="9"/>
      <c r="J180" s="9"/>
      <c r="K180" s="9"/>
    </row>
    <row r="181" spans="1:11" ht="29.25" hidden="1" thickBot="1" x14ac:dyDescent="0.25">
      <c r="A181" s="19" t="s">
        <v>47</v>
      </c>
      <c r="B181" s="10"/>
      <c r="C181" s="14"/>
      <c r="D181" s="11"/>
      <c r="E181" s="11"/>
      <c r="F181" s="12">
        <f t="shared" si="5"/>
        <v>0</v>
      </c>
      <c r="G181" s="20"/>
      <c r="H181" s="20"/>
      <c r="I181" s="9"/>
      <c r="J181" s="9"/>
      <c r="K181" s="9"/>
    </row>
    <row r="182" spans="1:11" ht="29.25" hidden="1" thickBot="1" x14ac:dyDescent="0.25">
      <c r="A182" s="19" t="s">
        <v>47</v>
      </c>
      <c r="B182" s="10"/>
      <c r="C182" s="14"/>
      <c r="D182" s="11"/>
      <c r="E182" s="11"/>
      <c r="F182" s="12">
        <f t="shared" si="5"/>
        <v>0</v>
      </c>
      <c r="G182" s="20"/>
      <c r="H182" s="20"/>
      <c r="I182" s="9"/>
      <c r="J182" s="9"/>
      <c r="K182" s="9"/>
    </row>
    <row r="183" spans="1:11" ht="29.25" hidden="1" thickBot="1" x14ac:dyDescent="0.25">
      <c r="A183" s="19" t="s">
        <v>47</v>
      </c>
      <c r="B183" s="10"/>
      <c r="C183" s="14"/>
      <c r="D183" s="11"/>
      <c r="E183" s="11"/>
      <c r="F183" s="12">
        <f t="shared" si="5"/>
        <v>0</v>
      </c>
      <c r="G183" s="20"/>
      <c r="H183" s="20"/>
      <c r="I183" s="9"/>
      <c r="J183" s="9"/>
      <c r="K183" s="9"/>
    </row>
    <row r="184" spans="1:11" ht="29.25" hidden="1" thickBot="1" x14ac:dyDescent="0.25">
      <c r="A184" s="19" t="s">
        <v>47</v>
      </c>
      <c r="B184" s="10"/>
      <c r="C184" s="14"/>
      <c r="D184" s="11"/>
      <c r="E184" s="11"/>
      <c r="F184" s="12">
        <f t="shared" si="5"/>
        <v>0</v>
      </c>
      <c r="G184" s="20"/>
      <c r="H184" s="20"/>
      <c r="I184" s="9"/>
      <c r="J184" s="9"/>
      <c r="K184" s="9"/>
    </row>
    <row r="185" spans="1:11" ht="29.25" hidden="1" thickBot="1" x14ac:dyDescent="0.25">
      <c r="A185" s="19" t="s">
        <v>47</v>
      </c>
      <c r="B185" s="10"/>
      <c r="C185" s="14"/>
      <c r="D185" s="11"/>
      <c r="E185" s="11"/>
      <c r="F185" s="12">
        <f t="shared" si="5"/>
        <v>0</v>
      </c>
      <c r="G185" s="20"/>
      <c r="H185" s="20"/>
      <c r="I185" s="9"/>
      <c r="J185" s="9"/>
      <c r="K185" s="9"/>
    </row>
    <row r="186" spans="1:11" ht="29.25" hidden="1" thickBot="1" x14ac:dyDescent="0.25">
      <c r="A186" s="19" t="s">
        <v>47</v>
      </c>
      <c r="B186" s="10"/>
      <c r="C186" s="14"/>
      <c r="D186" s="11"/>
      <c r="E186" s="11"/>
      <c r="F186" s="12">
        <f t="shared" si="5"/>
        <v>0</v>
      </c>
      <c r="G186" s="20"/>
      <c r="H186" s="20"/>
      <c r="I186" s="9"/>
      <c r="J186" s="9"/>
      <c r="K186" s="9"/>
    </row>
    <row r="187" spans="1:11" ht="29.25" hidden="1" thickBot="1" x14ac:dyDescent="0.25">
      <c r="A187" s="19" t="s">
        <v>47</v>
      </c>
      <c r="B187" s="10"/>
      <c r="C187" s="14"/>
      <c r="D187" s="11"/>
      <c r="E187" s="11"/>
      <c r="F187" s="12">
        <f t="shared" si="5"/>
        <v>0</v>
      </c>
      <c r="G187" s="20"/>
      <c r="H187" s="20"/>
      <c r="I187" s="9"/>
      <c r="J187" s="9"/>
      <c r="K187" s="9"/>
    </row>
    <row r="188" spans="1:11" ht="29.25" hidden="1" thickBot="1" x14ac:dyDescent="0.25">
      <c r="A188" s="19" t="s">
        <v>47</v>
      </c>
      <c r="B188" s="10"/>
      <c r="C188" s="14"/>
      <c r="D188" s="11"/>
      <c r="E188" s="11"/>
      <c r="F188" s="12">
        <f t="shared" si="5"/>
        <v>0</v>
      </c>
      <c r="G188" s="20"/>
      <c r="H188" s="20"/>
      <c r="I188" s="9"/>
      <c r="J188" s="9"/>
      <c r="K188" s="9"/>
    </row>
    <row r="189" spans="1:11" ht="29.25" hidden="1" thickBot="1" x14ac:dyDescent="0.25">
      <c r="A189" s="19" t="s">
        <v>47</v>
      </c>
      <c r="B189" s="10"/>
      <c r="C189" s="14"/>
      <c r="D189" s="11"/>
      <c r="E189" s="11"/>
      <c r="F189" s="12">
        <f t="shared" si="5"/>
        <v>0</v>
      </c>
      <c r="G189" s="20"/>
      <c r="H189" s="20"/>
      <c r="I189" s="9"/>
      <c r="J189" s="9"/>
      <c r="K189" s="9"/>
    </row>
    <row r="190" spans="1:11" ht="29.25" hidden="1" thickBot="1" x14ac:dyDescent="0.25">
      <c r="A190" s="19" t="s">
        <v>47</v>
      </c>
      <c r="B190" s="10"/>
      <c r="C190" s="14"/>
      <c r="D190" s="11"/>
      <c r="E190" s="11"/>
      <c r="F190" s="12">
        <f t="shared" si="5"/>
        <v>0</v>
      </c>
      <c r="G190" s="20"/>
      <c r="H190" s="20"/>
      <c r="I190" s="9"/>
      <c r="J190" s="9"/>
      <c r="K190" s="9"/>
    </row>
    <row r="191" spans="1:11" ht="29.25" hidden="1" thickBot="1" x14ac:dyDescent="0.25">
      <c r="A191" s="19" t="s">
        <v>47</v>
      </c>
      <c r="B191" s="10"/>
      <c r="C191" s="14"/>
      <c r="D191" s="11"/>
      <c r="E191" s="11"/>
      <c r="F191" s="12">
        <f t="shared" si="5"/>
        <v>0</v>
      </c>
      <c r="G191" s="20"/>
      <c r="H191" s="20"/>
      <c r="I191" s="9"/>
      <c r="J191" s="9"/>
      <c r="K191" s="9"/>
    </row>
    <row r="192" spans="1:11" ht="29.25" hidden="1" thickBot="1" x14ac:dyDescent="0.25">
      <c r="A192" s="19" t="s">
        <v>47</v>
      </c>
      <c r="B192" s="10"/>
      <c r="C192" s="14"/>
      <c r="D192" s="11"/>
      <c r="E192" s="11"/>
      <c r="F192" s="12">
        <f t="shared" si="5"/>
        <v>0</v>
      </c>
      <c r="G192" s="20"/>
      <c r="H192" s="20"/>
      <c r="I192" s="9"/>
      <c r="J192" s="9"/>
      <c r="K192" s="9"/>
    </row>
    <row r="193" spans="1:11" ht="29.25" hidden="1" thickBot="1" x14ac:dyDescent="0.25">
      <c r="A193" s="19" t="s">
        <v>47</v>
      </c>
      <c r="B193" s="10"/>
      <c r="C193" s="14"/>
      <c r="D193" s="11"/>
      <c r="E193" s="11"/>
      <c r="F193" s="12">
        <f t="shared" si="5"/>
        <v>0</v>
      </c>
      <c r="G193" s="20"/>
      <c r="H193" s="20"/>
      <c r="I193" s="9"/>
      <c r="J193" s="9"/>
      <c r="K193" s="9"/>
    </row>
    <row r="194" spans="1:11" s="7" customFormat="1" ht="29.25" hidden="1" thickBot="1" x14ac:dyDescent="0.25">
      <c r="A194" s="19" t="s">
        <v>47</v>
      </c>
      <c r="B194" s="10"/>
      <c r="C194" s="14"/>
      <c r="D194" s="11"/>
      <c r="E194" s="11"/>
      <c r="F194" s="12">
        <f t="shared" si="5"/>
        <v>0</v>
      </c>
      <c r="G194" s="20"/>
      <c r="H194" s="20"/>
      <c r="I194" s="9"/>
      <c r="J194" s="9"/>
      <c r="K194" s="9"/>
    </row>
    <row r="195" spans="1:11" s="7" customFormat="1" ht="29.25" hidden="1" thickBot="1" x14ac:dyDescent="0.25">
      <c r="A195" s="19" t="s">
        <v>47</v>
      </c>
      <c r="B195" s="10"/>
      <c r="C195" s="14"/>
      <c r="D195" s="11"/>
      <c r="E195" s="11"/>
      <c r="F195" s="12">
        <f t="shared" si="5"/>
        <v>0</v>
      </c>
      <c r="G195" s="20"/>
      <c r="H195" s="20"/>
      <c r="I195" s="9"/>
      <c r="J195" s="9"/>
      <c r="K195" s="9"/>
    </row>
    <row r="196" spans="1:11" s="7" customFormat="1" ht="29.25" hidden="1" thickBot="1" x14ac:dyDescent="0.25">
      <c r="A196" s="19" t="s">
        <v>47</v>
      </c>
      <c r="B196" s="10"/>
      <c r="C196" s="14"/>
      <c r="D196" s="11"/>
      <c r="E196" s="11"/>
      <c r="F196" s="12">
        <f t="shared" si="5"/>
        <v>0</v>
      </c>
      <c r="G196" s="20"/>
      <c r="H196" s="20"/>
      <c r="I196" s="9"/>
      <c r="J196" s="9"/>
      <c r="K196" s="9"/>
    </row>
    <row r="197" spans="1:11" s="7" customFormat="1" ht="29.25" hidden="1" thickBot="1" x14ac:dyDescent="0.25">
      <c r="A197" s="19" t="s">
        <v>47</v>
      </c>
      <c r="B197" s="10"/>
      <c r="C197" s="14"/>
      <c r="D197" s="11"/>
      <c r="E197" s="11"/>
      <c r="F197" s="12">
        <f t="shared" si="5"/>
        <v>0</v>
      </c>
      <c r="G197" s="20"/>
      <c r="H197" s="20"/>
      <c r="I197" s="9"/>
      <c r="J197" s="9"/>
      <c r="K197" s="9"/>
    </row>
    <row r="198" spans="1:11" s="7" customFormat="1" ht="29.25" hidden="1" thickBot="1" x14ac:dyDescent="0.25">
      <c r="A198" s="19" t="s">
        <v>47</v>
      </c>
      <c r="B198" s="10"/>
      <c r="C198" s="14"/>
      <c r="D198" s="11"/>
      <c r="E198" s="11"/>
      <c r="F198" s="12">
        <f t="shared" ref="F198:F234" si="6">+(E198-D198)*24</f>
        <v>0</v>
      </c>
      <c r="G198" s="20"/>
      <c r="H198" s="20"/>
      <c r="I198" s="9"/>
      <c r="J198" s="9"/>
      <c r="K198" s="9"/>
    </row>
    <row r="199" spans="1:11" s="7" customFormat="1" ht="29.25" hidden="1" thickBot="1" x14ac:dyDescent="0.25">
      <c r="A199" s="19" t="s">
        <v>47</v>
      </c>
      <c r="B199" s="10"/>
      <c r="C199" s="14"/>
      <c r="D199" s="11"/>
      <c r="E199" s="11"/>
      <c r="F199" s="12">
        <f t="shared" si="6"/>
        <v>0</v>
      </c>
      <c r="G199" s="20"/>
      <c r="H199" s="20"/>
      <c r="I199" s="9"/>
      <c r="J199" s="9"/>
      <c r="K199" s="9"/>
    </row>
    <row r="200" spans="1:11" s="7" customFormat="1" ht="29.25" hidden="1" thickBot="1" x14ac:dyDescent="0.25">
      <c r="A200" s="19" t="s">
        <v>47</v>
      </c>
      <c r="B200" s="10"/>
      <c r="C200" s="14"/>
      <c r="D200" s="11"/>
      <c r="E200" s="11"/>
      <c r="F200" s="12">
        <f t="shared" si="6"/>
        <v>0</v>
      </c>
      <c r="G200" s="20"/>
      <c r="H200" s="20"/>
      <c r="I200" s="9"/>
      <c r="J200" s="9"/>
      <c r="K200" s="9"/>
    </row>
    <row r="201" spans="1:11" s="7" customFormat="1" ht="29.25" hidden="1" thickBot="1" x14ac:dyDescent="0.25">
      <c r="A201" s="19" t="s">
        <v>47</v>
      </c>
      <c r="B201" s="10"/>
      <c r="C201" s="14"/>
      <c r="D201" s="11"/>
      <c r="E201" s="11"/>
      <c r="F201" s="12">
        <f t="shared" si="6"/>
        <v>0</v>
      </c>
      <c r="G201" s="20"/>
      <c r="H201" s="20"/>
      <c r="I201" s="9"/>
      <c r="J201" s="9"/>
      <c r="K201" s="9"/>
    </row>
    <row r="202" spans="1:11" s="7" customFormat="1" ht="29.25" hidden="1" thickBot="1" x14ac:dyDescent="0.25">
      <c r="A202" s="19" t="s">
        <v>47</v>
      </c>
      <c r="B202" s="10"/>
      <c r="C202" s="14"/>
      <c r="D202" s="11"/>
      <c r="E202" s="11"/>
      <c r="F202" s="12">
        <f t="shared" si="6"/>
        <v>0</v>
      </c>
      <c r="G202" s="20"/>
      <c r="H202" s="20"/>
      <c r="I202" s="9"/>
      <c r="J202" s="9"/>
      <c r="K202" s="9"/>
    </row>
    <row r="203" spans="1:11" s="7" customFormat="1" ht="29.25" hidden="1" thickBot="1" x14ac:dyDescent="0.25">
      <c r="A203" s="19" t="s">
        <v>47</v>
      </c>
      <c r="B203" s="10"/>
      <c r="C203" s="14"/>
      <c r="D203" s="11"/>
      <c r="E203" s="11"/>
      <c r="F203" s="12">
        <f t="shared" si="6"/>
        <v>0</v>
      </c>
      <c r="G203" s="20"/>
      <c r="H203" s="20"/>
      <c r="I203" s="9"/>
      <c r="J203" s="9"/>
      <c r="K203" s="9"/>
    </row>
    <row r="204" spans="1:11" s="7" customFormat="1" ht="29.25" hidden="1" thickBot="1" x14ac:dyDescent="0.25">
      <c r="A204" s="19" t="s">
        <v>47</v>
      </c>
      <c r="B204" s="10"/>
      <c r="C204" s="14"/>
      <c r="D204" s="11"/>
      <c r="E204" s="11"/>
      <c r="F204" s="12">
        <f t="shared" si="6"/>
        <v>0</v>
      </c>
      <c r="G204" s="20"/>
      <c r="H204" s="20"/>
      <c r="I204" s="9"/>
      <c r="J204" s="9"/>
      <c r="K204" s="9"/>
    </row>
    <row r="205" spans="1:11" s="7" customFormat="1" ht="29.25" hidden="1" thickBot="1" x14ac:dyDescent="0.25">
      <c r="A205" s="19" t="s">
        <v>47</v>
      </c>
      <c r="B205" s="10"/>
      <c r="C205" s="14"/>
      <c r="D205" s="11"/>
      <c r="E205" s="11"/>
      <c r="F205" s="12">
        <f t="shared" si="6"/>
        <v>0</v>
      </c>
      <c r="G205" s="20"/>
      <c r="H205" s="20"/>
      <c r="I205" s="9"/>
      <c r="J205" s="9"/>
      <c r="K205" s="9"/>
    </row>
    <row r="206" spans="1:11" s="7" customFormat="1" ht="29.25" hidden="1" thickBot="1" x14ac:dyDescent="0.25">
      <c r="A206" s="19" t="s">
        <v>47</v>
      </c>
      <c r="B206" s="10"/>
      <c r="C206" s="14"/>
      <c r="D206" s="11"/>
      <c r="E206" s="11"/>
      <c r="F206" s="12">
        <f t="shared" si="6"/>
        <v>0</v>
      </c>
      <c r="G206" s="20"/>
      <c r="H206" s="20"/>
      <c r="I206" s="9"/>
      <c r="J206" s="9"/>
      <c r="K206" s="9"/>
    </row>
    <row r="207" spans="1:11" s="7" customFormat="1" ht="29.25" hidden="1" thickBot="1" x14ac:dyDescent="0.25">
      <c r="A207" s="19" t="s">
        <v>47</v>
      </c>
      <c r="B207" s="10"/>
      <c r="C207" s="14"/>
      <c r="D207" s="11"/>
      <c r="E207" s="11"/>
      <c r="F207" s="12">
        <f t="shared" si="6"/>
        <v>0</v>
      </c>
      <c r="G207" s="20"/>
      <c r="H207" s="20"/>
      <c r="I207" s="9"/>
      <c r="J207" s="9"/>
      <c r="K207" s="9"/>
    </row>
    <row r="208" spans="1:11" s="7" customFormat="1" ht="29.25" hidden="1" thickBot="1" x14ac:dyDescent="0.25">
      <c r="A208" s="19" t="s">
        <v>47</v>
      </c>
      <c r="B208" s="10"/>
      <c r="C208" s="14"/>
      <c r="D208" s="11"/>
      <c r="E208" s="11"/>
      <c r="F208" s="12">
        <f t="shared" si="6"/>
        <v>0</v>
      </c>
      <c r="G208" s="20"/>
      <c r="H208" s="20"/>
      <c r="I208" s="9"/>
      <c r="J208" s="9"/>
      <c r="K208" s="9"/>
    </row>
    <row r="209" spans="1:11" s="7" customFormat="1" ht="29.25" hidden="1" thickBot="1" x14ac:dyDescent="0.25">
      <c r="A209" s="19" t="s">
        <v>47</v>
      </c>
      <c r="B209" s="10"/>
      <c r="C209" s="14"/>
      <c r="D209" s="11"/>
      <c r="E209" s="11"/>
      <c r="F209" s="12">
        <f t="shared" si="6"/>
        <v>0</v>
      </c>
      <c r="G209" s="20"/>
      <c r="H209" s="20"/>
      <c r="I209" s="9"/>
      <c r="J209" s="9"/>
      <c r="K209" s="9"/>
    </row>
    <row r="210" spans="1:11" s="7" customFormat="1" ht="29.25" hidden="1" thickBot="1" x14ac:dyDescent="0.25">
      <c r="A210" s="19" t="s">
        <v>47</v>
      </c>
      <c r="B210" s="10"/>
      <c r="C210" s="14"/>
      <c r="D210" s="11"/>
      <c r="E210" s="11"/>
      <c r="F210" s="12">
        <f t="shared" si="6"/>
        <v>0</v>
      </c>
      <c r="G210" s="20"/>
      <c r="H210" s="20"/>
      <c r="I210" s="9"/>
      <c r="J210" s="9"/>
      <c r="K210" s="9"/>
    </row>
    <row r="211" spans="1:11" s="7" customFormat="1" ht="29.25" hidden="1" thickBot="1" x14ac:dyDescent="0.25">
      <c r="A211" s="19" t="s">
        <v>47</v>
      </c>
      <c r="B211" s="10"/>
      <c r="C211" s="14"/>
      <c r="D211" s="11"/>
      <c r="E211" s="11"/>
      <c r="F211" s="12">
        <f t="shared" si="6"/>
        <v>0</v>
      </c>
      <c r="G211" s="20"/>
      <c r="H211" s="20"/>
      <c r="I211" s="9"/>
      <c r="J211" s="9"/>
      <c r="K211" s="9"/>
    </row>
    <row r="212" spans="1:11" s="7" customFormat="1" ht="29.25" hidden="1" thickBot="1" x14ac:dyDescent="0.25">
      <c r="A212" s="19" t="s">
        <v>47</v>
      </c>
      <c r="B212" s="10"/>
      <c r="C212" s="14"/>
      <c r="D212" s="11"/>
      <c r="E212" s="11"/>
      <c r="F212" s="12">
        <f t="shared" si="6"/>
        <v>0</v>
      </c>
      <c r="G212" s="20"/>
      <c r="H212" s="20"/>
      <c r="I212" s="9"/>
      <c r="J212" s="9"/>
      <c r="K212" s="9"/>
    </row>
    <row r="213" spans="1:11" s="7" customFormat="1" ht="29.25" hidden="1" thickBot="1" x14ac:dyDescent="0.25">
      <c r="A213" s="19" t="s">
        <v>47</v>
      </c>
      <c r="B213" s="10"/>
      <c r="C213" s="14"/>
      <c r="D213" s="11"/>
      <c r="E213" s="11"/>
      <c r="F213" s="12">
        <f t="shared" si="6"/>
        <v>0</v>
      </c>
      <c r="G213" s="20"/>
      <c r="H213" s="20"/>
      <c r="I213" s="9"/>
      <c r="J213" s="9"/>
      <c r="K213" s="9"/>
    </row>
    <row r="214" spans="1:11" s="7" customFormat="1" ht="29.25" hidden="1" thickBot="1" x14ac:dyDescent="0.25">
      <c r="A214" s="19" t="s">
        <v>47</v>
      </c>
      <c r="B214" s="10"/>
      <c r="C214" s="14"/>
      <c r="D214" s="11"/>
      <c r="E214" s="11"/>
      <c r="F214" s="12">
        <f t="shared" si="6"/>
        <v>0</v>
      </c>
      <c r="G214" s="20"/>
      <c r="H214" s="20"/>
      <c r="I214" s="9"/>
      <c r="J214" s="9"/>
      <c r="K214" s="9"/>
    </row>
    <row r="215" spans="1:11" s="7" customFormat="1" ht="29.25" hidden="1" thickBot="1" x14ac:dyDescent="0.25">
      <c r="A215" s="19" t="s">
        <v>47</v>
      </c>
      <c r="B215" s="10"/>
      <c r="C215" s="14"/>
      <c r="D215" s="11"/>
      <c r="E215" s="11"/>
      <c r="F215" s="12">
        <f t="shared" si="6"/>
        <v>0</v>
      </c>
      <c r="G215" s="20"/>
      <c r="H215" s="20"/>
      <c r="I215" s="9"/>
      <c r="J215" s="9"/>
      <c r="K215" s="9"/>
    </row>
    <row r="216" spans="1:11" s="7" customFormat="1" ht="29.25" hidden="1" thickBot="1" x14ac:dyDescent="0.25">
      <c r="A216" s="19" t="s">
        <v>47</v>
      </c>
      <c r="B216" s="10"/>
      <c r="C216" s="14"/>
      <c r="D216" s="11"/>
      <c r="E216" s="11"/>
      <c r="F216" s="12">
        <f t="shared" si="6"/>
        <v>0</v>
      </c>
      <c r="G216" s="20"/>
      <c r="H216" s="20"/>
      <c r="I216" s="9"/>
      <c r="J216" s="9"/>
      <c r="K216" s="9"/>
    </row>
    <row r="217" spans="1:11" s="7" customFormat="1" ht="29.25" hidden="1" thickBot="1" x14ac:dyDescent="0.25">
      <c r="A217" s="19" t="s">
        <v>47</v>
      </c>
      <c r="B217" s="10"/>
      <c r="C217" s="14"/>
      <c r="D217" s="11"/>
      <c r="E217" s="11"/>
      <c r="F217" s="12">
        <f t="shared" si="6"/>
        <v>0</v>
      </c>
      <c r="G217" s="20"/>
      <c r="H217" s="20"/>
      <c r="I217" s="9"/>
      <c r="J217" s="9"/>
      <c r="K217" s="9"/>
    </row>
    <row r="218" spans="1:11" s="7" customFormat="1" ht="29.25" hidden="1" thickBot="1" x14ac:dyDescent="0.25">
      <c r="A218" s="19" t="s">
        <v>47</v>
      </c>
      <c r="B218" s="10"/>
      <c r="C218" s="14"/>
      <c r="D218" s="11"/>
      <c r="E218" s="11"/>
      <c r="F218" s="12">
        <f t="shared" si="6"/>
        <v>0</v>
      </c>
      <c r="G218" s="20"/>
      <c r="H218" s="20"/>
      <c r="I218" s="9"/>
      <c r="J218" s="9"/>
      <c r="K218" s="9"/>
    </row>
    <row r="219" spans="1:11" s="7" customFormat="1" ht="29.25" hidden="1" thickBot="1" x14ac:dyDescent="0.25">
      <c r="A219" s="19" t="s">
        <v>47</v>
      </c>
      <c r="B219" s="10"/>
      <c r="C219" s="14"/>
      <c r="D219" s="11"/>
      <c r="E219" s="11"/>
      <c r="F219" s="12">
        <f t="shared" si="6"/>
        <v>0</v>
      </c>
      <c r="G219" s="20"/>
      <c r="H219" s="20"/>
      <c r="I219" s="9"/>
      <c r="J219" s="9"/>
      <c r="K219" s="9"/>
    </row>
    <row r="220" spans="1:11" s="7" customFormat="1" ht="29.25" hidden="1" thickBot="1" x14ac:dyDescent="0.25">
      <c r="A220" s="19" t="s">
        <v>47</v>
      </c>
      <c r="B220" s="10"/>
      <c r="C220" s="14"/>
      <c r="D220" s="11"/>
      <c r="E220" s="11"/>
      <c r="F220" s="12">
        <f t="shared" si="6"/>
        <v>0</v>
      </c>
      <c r="G220" s="20"/>
      <c r="H220" s="20"/>
      <c r="I220" s="9"/>
      <c r="J220" s="9"/>
      <c r="K220" s="9"/>
    </row>
    <row r="221" spans="1:11" s="7" customFormat="1" ht="29.25" hidden="1" thickBot="1" x14ac:dyDescent="0.25">
      <c r="A221" s="19" t="s">
        <v>47</v>
      </c>
      <c r="B221" s="10"/>
      <c r="C221" s="14"/>
      <c r="D221" s="11"/>
      <c r="E221" s="11"/>
      <c r="F221" s="12">
        <f t="shared" si="6"/>
        <v>0</v>
      </c>
      <c r="G221" s="20"/>
      <c r="H221" s="20"/>
      <c r="I221" s="9"/>
      <c r="J221" s="9"/>
      <c r="K221" s="9"/>
    </row>
    <row r="222" spans="1:11" s="7" customFormat="1" ht="29.25" hidden="1" thickBot="1" x14ac:dyDescent="0.25">
      <c r="A222" s="19" t="s">
        <v>47</v>
      </c>
      <c r="B222" s="10"/>
      <c r="C222" s="14"/>
      <c r="D222" s="11"/>
      <c r="E222" s="11"/>
      <c r="F222" s="12">
        <f t="shared" si="6"/>
        <v>0</v>
      </c>
      <c r="G222" s="20"/>
      <c r="H222" s="20"/>
      <c r="I222" s="9"/>
      <c r="J222" s="9"/>
      <c r="K222" s="9"/>
    </row>
    <row r="223" spans="1:11" s="7" customFormat="1" ht="29.25" hidden="1" thickBot="1" x14ac:dyDescent="0.25">
      <c r="A223" s="19" t="s">
        <v>47</v>
      </c>
      <c r="B223" s="10"/>
      <c r="C223" s="14"/>
      <c r="D223" s="11"/>
      <c r="E223" s="11"/>
      <c r="F223" s="12">
        <f t="shared" si="6"/>
        <v>0</v>
      </c>
      <c r="G223" s="20"/>
      <c r="H223" s="20"/>
      <c r="I223" s="9"/>
      <c r="J223" s="9"/>
      <c r="K223" s="9"/>
    </row>
    <row r="224" spans="1:11" s="7" customFormat="1" ht="29.25" hidden="1" thickBot="1" x14ac:dyDescent="0.25">
      <c r="A224" s="19" t="s">
        <v>47</v>
      </c>
      <c r="B224" s="10"/>
      <c r="C224" s="14"/>
      <c r="D224" s="11"/>
      <c r="E224" s="11"/>
      <c r="F224" s="12">
        <f t="shared" si="6"/>
        <v>0</v>
      </c>
      <c r="G224" s="20"/>
      <c r="H224" s="20"/>
      <c r="I224" s="9"/>
      <c r="J224" s="9"/>
      <c r="K224" s="9"/>
    </row>
    <row r="225" spans="1:11" s="7" customFormat="1" ht="29.25" hidden="1" thickBot="1" x14ac:dyDescent="0.25">
      <c r="A225" s="19" t="s">
        <v>47</v>
      </c>
      <c r="B225" s="10"/>
      <c r="C225" s="14"/>
      <c r="D225" s="11"/>
      <c r="E225" s="11"/>
      <c r="F225" s="12">
        <f t="shared" si="6"/>
        <v>0</v>
      </c>
      <c r="G225" s="20"/>
      <c r="H225" s="20"/>
      <c r="I225" s="9"/>
      <c r="J225" s="9"/>
      <c r="K225" s="9"/>
    </row>
    <row r="226" spans="1:11" s="7" customFormat="1" ht="29.25" hidden="1" thickBot="1" x14ac:dyDescent="0.25">
      <c r="A226" s="19" t="s">
        <v>47</v>
      </c>
      <c r="B226" s="10"/>
      <c r="C226" s="14"/>
      <c r="D226" s="11"/>
      <c r="E226" s="11"/>
      <c r="F226" s="12">
        <f t="shared" si="6"/>
        <v>0</v>
      </c>
      <c r="G226" s="20"/>
      <c r="H226" s="20"/>
      <c r="I226" s="9"/>
      <c r="J226" s="9"/>
      <c r="K226" s="9"/>
    </row>
    <row r="227" spans="1:11" s="7" customFormat="1" ht="29.25" hidden="1" thickBot="1" x14ac:dyDescent="0.25">
      <c r="A227" s="19" t="s">
        <v>47</v>
      </c>
      <c r="B227" s="10"/>
      <c r="C227" s="14"/>
      <c r="D227" s="11"/>
      <c r="E227" s="11"/>
      <c r="F227" s="12">
        <f t="shared" si="6"/>
        <v>0</v>
      </c>
      <c r="G227" s="20"/>
      <c r="H227" s="20"/>
      <c r="I227" s="9"/>
      <c r="J227" s="9"/>
      <c r="K227" s="9"/>
    </row>
    <row r="228" spans="1:11" s="7" customFormat="1" ht="29.25" hidden="1" thickBot="1" x14ac:dyDescent="0.25">
      <c r="A228" s="19" t="s">
        <v>47</v>
      </c>
      <c r="B228" s="10"/>
      <c r="C228" s="14"/>
      <c r="D228" s="11"/>
      <c r="E228" s="11"/>
      <c r="F228" s="12">
        <f t="shared" si="6"/>
        <v>0</v>
      </c>
      <c r="G228" s="20"/>
      <c r="H228" s="20"/>
      <c r="I228" s="9"/>
      <c r="J228" s="9"/>
      <c r="K228" s="9"/>
    </row>
    <row r="229" spans="1:11" s="7" customFormat="1" ht="29.25" hidden="1" thickBot="1" x14ac:dyDescent="0.25">
      <c r="A229" s="19" t="s">
        <v>47</v>
      </c>
      <c r="B229" s="10"/>
      <c r="C229" s="14"/>
      <c r="D229" s="11"/>
      <c r="E229" s="11"/>
      <c r="F229" s="12">
        <f t="shared" si="6"/>
        <v>0</v>
      </c>
      <c r="G229" s="20"/>
      <c r="H229" s="20"/>
      <c r="I229" s="9"/>
      <c r="J229" s="9"/>
      <c r="K229" s="9"/>
    </row>
    <row r="230" spans="1:11" s="7" customFormat="1" ht="29.25" hidden="1" thickBot="1" x14ac:dyDescent="0.25">
      <c r="A230" s="19" t="s">
        <v>47</v>
      </c>
      <c r="B230" s="10"/>
      <c r="C230" s="14"/>
      <c r="D230" s="11"/>
      <c r="E230" s="11"/>
      <c r="F230" s="12">
        <f t="shared" si="6"/>
        <v>0</v>
      </c>
      <c r="G230" s="20"/>
      <c r="H230" s="20"/>
      <c r="I230" s="9"/>
      <c r="J230" s="9"/>
      <c r="K230" s="9"/>
    </row>
    <row r="231" spans="1:11" s="7" customFormat="1" ht="29.25" hidden="1" thickBot="1" x14ac:dyDescent="0.25">
      <c r="A231" s="19" t="s">
        <v>47</v>
      </c>
      <c r="B231" s="10"/>
      <c r="C231" s="14"/>
      <c r="D231" s="11"/>
      <c r="E231" s="11"/>
      <c r="F231" s="12">
        <f t="shared" si="6"/>
        <v>0</v>
      </c>
      <c r="G231" s="20"/>
      <c r="H231" s="20"/>
      <c r="I231" s="9"/>
      <c r="J231" s="9"/>
      <c r="K231" s="9"/>
    </row>
    <row r="232" spans="1:11" s="7" customFormat="1" ht="29.25" hidden="1" thickBot="1" x14ac:dyDescent="0.25">
      <c r="A232" s="19" t="s">
        <v>47</v>
      </c>
      <c r="B232" s="10"/>
      <c r="C232" s="14"/>
      <c r="D232" s="11"/>
      <c r="E232" s="11"/>
      <c r="F232" s="12">
        <f t="shared" si="6"/>
        <v>0</v>
      </c>
      <c r="G232" s="20"/>
      <c r="H232" s="20"/>
      <c r="I232" s="9"/>
      <c r="J232" s="9"/>
      <c r="K232" s="9"/>
    </row>
    <row r="233" spans="1:11" s="7" customFormat="1" ht="29.25" hidden="1" thickBot="1" x14ac:dyDescent="0.25">
      <c r="A233" s="19" t="s">
        <v>47</v>
      </c>
      <c r="B233" s="10"/>
      <c r="C233" s="14"/>
      <c r="D233" s="11"/>
      <c r="E233" s="11"/>
      <c r="F233" s="12">
        <f t="shared" si="6"/>
        <v>0</v>
      </c>
      <c r="G233" s="20"/>
      <c r="H233" s="20"/>
      <c r="I233" s="9"/>
      <c r="J233" s="9"/>
      <c r="K233" s="9"/>
    </row>
    <row r="234" spans="1:11" s="7" customFormat="1" ht="29.25" hidden="1" thickBot="1" x14ac:dyDescent="0.25">
      <c r="A234" s="19" t="s">
        <v>47</v>
      </c>
      <c r="B234" s="10"/>
      <c r="C234" s="14"/>
      <c r="D234" s="11"/>
      <c r="E234" s="11"/>
      <c r="F234" s="12">
        <f t="shared" si="6"/>
        <v>0</v>
      </c>
      <c r="G234" s="20"/>
      <c r="H234" s="20"/>
      <c r="I234" s="9"/>
      <c r="J234" s="9"/>
      <c r="K234" s="9"/>
    </row>
    <row r="235" spans="1:11" s="7" customFormat="1" ht="15" thickBot="1" x14ac:dyDescent="0.25">
      <c r="A235" s="19"/>
      <c r="B235" s="10"/>
      <c r="C235" s="14"/>
      <c r="D235" s="11"/>
      <c r="E235" s="11"/>
      <c r="F235" s="12"/>
      <c r="G235" s="9"/>
      <c r="H235" s="20"/>
      <c r="I235" s="9"/>
      <c r="J235" s="9"/>
      <c r="K235" s="9"/>
    </row>
    <row r="236" spans="1:11" s="7" customFormat="1" ht="15" thickBot="1" x14ac:dyDescent="0.25">
      <c r="A236" s="9"/>
      <c r="B236" s="9"/>
      <c r="C236" s="9"/>
      <c r="D236" s="9"/>
      <c r="E236" s="9"/>
      <c r="H236" s="9"/>
      <c r="I236" s="9"/>
      <c r="J236" s="9"/>
      <c r="K236" s="9"/>
    </row>
    <row r="237" spans="1:11" s="7" customFormat="1" ht="15" thickBot="1" x14ac:dyDescent="0.25">
      <c r="A237" s="9"/>
      <c r="B237" s="9"/>
      <c r="C237" s="9"/>
      <c r="D237" s="9"/>
      <c r="E237" s="9"/>
      <c r="H237" s="9"/>
      <c r="I237" s="9"/>
      <c r="J237" s="9"/>
      <c r="K237" s="9"/>
    </row>
    <row r="238" spans="1:11" s="7" customFormat="1" ht="15" thickBot="1" x14ac:dyDescent="0.25">
      <c r="A238" s="9"/>
      <c r="B238" s="9"/>
      <c r="C238" s="9"/>
      <c r="D238" s="9"/>
      <c r="E238" s="9"/>
      <c r="H238" s="9"/>
      <c r="I238" s="9"/>
      <c r="J238" s="9"/>
      <c r="K238" s="9"/>
    </row>
    <row r="239" spans="1:11" s="7" customFormat="1" ht="15" thickBot="1" x14ac:dyDescent="0.25">
      <c r="A239" s="9"/>
      <c r="B239" s="9"/>
      <c r="C239" s="9"/>
      <c r="D239" s="9"/>
      <c r="E239" s="9"/>
      <c r="H239" s="9"/>
      <c r="I239" s="9"/>
      <c r="J239" s="9"/>
      <c r="K239" s="9"/>
    </row>
    <row r="240" spans="1:11" s="7" customFormat="1" ht="15" thickBot="1" x14ac:dyDescent="0.25">
      <c r="A240" s="9"/>
      <c r="B240" s="9"/>
      <c r="C240" s="9"/>
      <c r="D240" s="9"/>
      <c r="E240" s="9"/>
      <c r="H240" s="9"/>
      <c r="I240" s="9"/>
      <c r="J240" s="9"/>
      <c r="K240" s="9"/>
    </row>
    <row r="241" spans="1:11" s="7" customFormat="1" ht="15" thickBot="1" x14ac:dyDescent="0.25">
      <c r="A241" s="9"/>
      <c r="B241" s="9"/>
      <c r="C241" s="9"/>
      <c r="D241" s="9"/>
      <c r="E241" s="9"/>
      <c r="H241" s="9"/>
      <c r="I241" s="9"/>
      <c r="J241" s="9"/>
      <c r="K241" s="9"/>
    </row>
    <row r="242" spans="1:11" s="7" customFormat="1" ht="15" thickBot="1" x14ac:dyDescent="0.25">
      <c r="A242" s="9"/>
      <c r="B242" s="9"/>
      <c r="C242" s="9"/>
      <c r="D242" s="9"/>
      <c r="E242" s="9"/>
      <c r="H242" s="9"/>
      <c r="I242" s="9"/>
      <c r="J242" s="9"/>
      <c r="K242" s="9"/>
    </row>
    <row r="243" spans="1:11" s="7" customFormat="1" ht="15" thickBot="1" x14ac:dyDescent="0.25">
      <c r="A243" s="9"/>
      <c r="B243" s="9"/>
      <c r="C243" s="9"/>
      <c r="D243" s="9"/>
      <c r="E243" s="9"/>
      <c r="H243" s="9"/>
      <c r="I243" s="9"/>
      <c r="J243" s="9"/>
      <c r="K243" s="9"/>
    </row>
    <row r="244" spans="1:11" s="7" customFormat="1" ht="15" thickBot="1" x14ac:dyDescent="0.25">
      <c r="A244" s="9"/>
      <c r="B244" s="9"/>
      <c r="C244" s="9"/>
      <c r="D244" s="9"/>
      <c r="E244" s="9"/>
      <c r="H244" s="9"/>
      <c r="I244" s="9"/>
      <c r="J244" s="9"/>
      <c r="K244" s="9"/>
    </row>
    <row r="245" spans="1:11" s="7" customFormat="1" ht="15" thickBot="1" x14ac:dyDescent="0.25">
      <c r="A245" s="9"/>
      <c r="B245" s="9"/>
      <c r="C245" s="9"/>
      <c r="D245" s="9"/>
      <c r="E245" s="9"/>
      <c r="H245" s="9"/>
      <c r="I245" s="9"/>
      <c r="J245" s="9"/>
      <c r="K245" s="9"/>
    </row>
    <row r="246" spans="1:11" s="7" customFormat="1" ht="15" thickBot="1" x14ac:dyDescent="0.25">
      <c r="A246" s="9"/>
      <c r="B246" s="9"/>
      <c r="C246" s="9"/>
      <c r="D246" s="9"/>
      <c r="E246" s="9"/>
      <c r="H246" s="9"/>
      <c r="I246" s="9"/>
      <c r="J246" s="9"/>
      <c r="K246" s="9"/>
    </row>
    <row r="247" spans="1:11" s="7" customFormat="1" ht="15" thickBo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1:11" s="7" customFormat="1" ht="15" thickBo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s="7" customFormat="1" ht="15" thickBo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s="7" customFormat="1" ht="15" thickBo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s="7" customFormat="1" ht="15" thickBo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s="7" customFormat="1" ht="15" thickBo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s="7" customFormat="1" ht="15" thickBo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s="7" customFormat="1" ht="15" thickBo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s="7" customFormat="1" ht="15" thickBo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s="7" customFormat="1" ht="15" thickBo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1:11" s="7" customFormat="1" ht="15" thickBo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1:11" s="7" customFormat="1" ht="15" thickBo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s="7" customFormat="1" ht="15" thickBo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spans="1:11" s="7" customFormat="1" ht="15" thickBo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spans="1:11" s="7" customFormat="1" ht="15" thickBo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spans="1:11" s="7" customFormat="1" ht="15" thickBo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spans="1:11" s="7" customFormat="1" ht="15" thickBo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spans="1:11" s="7" customFormat="1" ht="15" thickBo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spans="1:11" s="7" customFormat="1" ht="15" thickBo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s="7" customFormat="1" ht="15" thickBo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spans="1:11" s="7" customFormat="1" ht="15" thickBo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spans="1:11" s="7" customFormat="1" ht="15" thickBo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spans="1:11" s="7" customFormat="1" ht="15" thickBo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1:11" s="7" customFormat="1" ht="15" thickBo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spans="1:11" s="7" customFormat="1" ht="15" thickBo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spans="1:11" s="7" customFormat="1" ht="15" thickBo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spans="1:11" s="7" customFormat="1" ht="15" thickBo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1:11" s="7" customFormat="1" ht="15" thickBo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spans="1:11" s="7" customFormat="1" ht="15" thickBo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spans="1:11" s="7" customFormat="1" ht="15" thickBo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spans="1:11" s="7" customFormat="1" ht="15" thickBo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1:11" s="7" customFormat="1" ht="15" thickBo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spans="1:11" s="7" customFormat="1" ht="15" thickBo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1:11" s="7" customFormat="1" ht="15" thickBo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spans="1:11" s="7" customFormat="1" ht="15" thickBo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1:11" s="7" customFormat="1" ht="15" thickBo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spans="1:11" s="7" customFormat="1" ht="15" thickBo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1:11" s="7" customFormat="1" ht="15" thickBo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spans="1:11" s="7" customFormat="1" ht="15" thickBo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1:11" s="7" customFormat="1" ht="15" thickBo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spans="1:11" s="7" customFormat="1" x14ac:dyDescent="0.2">
      <c r="B287" s="5"/>
      <c r="C287" s="5"/>
      <c r="D287" s="5"/>
      <c r="E287" s="5"/>
      <c r="F287" s="5"/>
      <c r="I287" s="5"/>
      <c r="J287" s="5"/>
    </row>
    <row r="288" spans="1:11" s="7" customFormat="1" x14ac:dyDescent="0.2">
      <c r="B288" s="5"/>
      <c r="C288" s="5"/>
      <c r="D288" s="5"/>
      <c r="E288" s="5"/>
      <c r="F288" s="5"/>
      <c r="I288" s="5"/>
      <c r="J288" s="5"/>
    </row>
    <row r="289" spans="2:10" s="7" customFormat="1" x14ac:dyDescent="0.2">
      <c r="B289" s="5"/>
      <c r="C289" s="5"/>
      <c r="D289" s="5"/>
      <c r="E289" s="5"/>
      <c r="F289" s="5"/>
      <c r="I289" s="5"/>
      <c r="J289" s="5"/>
    </row>
    <row r="290" spans="2:10" s="7" customFormat="1" x14ac:dyDescent="0.2">
      <c r="B290" s="5"/>
      <c r="C290" s="5"/>
      <c r="D290" s="5"/>
      <c r="E290" s="5"/>
      <c r="F290" s="5"/>
      <c r="I290" s="5"/>
      <c r="J290" s="5"/>
    </row>
    <row r="291" spans="2:10" s="7" customFormat="1" x14ac:dyDescent="0.2">
      <c r="B291" s="5"/>
      <c r="C291" s="5"/>
      <c r="D291" s="5"/>
      <c r="E291" s="5"/>
      <c r="F291" s="5"/>
      <c r="I291" s="5"/>
      <c r="J291" s="5"/>
    </row>
    <row r="292" spans="2:10" s="7" customFormat="1" x14ac:dyDescent="0.2">
      <c r="B292" s="5"/>
      <c r="C292" s="5"/>
      <c r="D292" s="5"/>
      <c r="E292" s="5"/>
      <c r="F292" s="5"/>
      <c r="I292" s="5"/>
      <c r="J292" s="5"/>
    </row>
    <row r="293" spans="2:10" s="7" customFormat="1" x14ac:dyDescent="0.2">
      <c r="B293" s="5"/>
      <c r="C293" s="5"/>
      <c r="D293" s="5"/>
      <c r="E293" s="5"/>
      <c r="F293" s="5"/>
      <c r="I293" s="5"/>
      <c r="J293" s="5"/>
    </row>
    <row r="294" spans="2:10" s="7" customFormat="1" x14ac:dyDescent="0.2">
      <c r="B294" s="5"/>
      <c r="C294" s="5"/>
      <c r="D294" s="5"/>
      <c r="E294" s="5"/>
      <c r="F294" s="5"/>
      <c r="I294" s="5"/>
      <c r="J294" s="5"/>
    </row>
    <row r="295" spans="2:10" s="7" customFormat="1" x14ac:dyDescent="0.2">
      <c r="B295" s="5"/>
      <c r="C295" s="5"/>
      <c r="D295" s="5"/>
      <c r="E295" s="5"/>
      <c r="F295" s="5"/>
      <c r="I295" s="5"/>
      <c r="J295" s="5"/>
    </row>
    <row r="296" spans="2:10" s="7" customFormat="1" x14ac:dyDescent="0.2">
      <c r="B296" s="5"/>
      <c r="C296" s="5"/>
      <c r="D296" s="5"/>
      <c r="E296" s="5"/>
      <c r="F296" s="5"/>
      <c r="I296" s="5"/>
      <c r="J296" s="5"/>
    </row>
    <row r="297" spans="2:10" s="7" customFormat="1" x14ac:dyDescent="0.2">
      <c r="B297" s="5"/>
      <c r="C297" s="5"/>
      <c r="D297" s="5"/>
      <c r="E297" s="5"/>
      <c r="F297" s="5"/>
      <c r="I297" s="5"/>
      <c r="J297" s="5"/>
    </row>
    <row r="298" spans="2:10" s="7" customFormat="1" x14ac:dyDescent="0.2">
      <c r="B298" s="5"/>
      <c r="C298" s="5"/>
      <c r="D298" s="5"/>
      <c r="E298" s="5"/>
      <c r="F298" s="5"/>
      <c r="I298" s="5"/>
      <c r="J298" s="5"/>
    </row>
    <row r="299" spans="2:10" s="7" customFormat="1" x14ac:dyDescent="0.2">
      <c r="B299" s="5"/>
      <c r="C299" s="5"/>
      <c r="D299" s="5"/>
      <c r="E299" s="5"/>
      <c r="F299" s="5"/>
      <c r="I299" s="5"/>
      <c r="J299" s="5"/>
    </row>
    <row r="300" spans="2:10" s="7" customFormat="1" x14ac:dyDescent="0.2">
      <c r="B300" s="5"/>
      <c r="C300" s="5"/>
      <c r="D300" s="5"/>
      <c r="E300" s="5"/>
      <c r="F300" s="5"/>
      <c r="I300" s="5"/>
      <c r="J300" s="5"/>
    </row>
    <row r="301" spans="2:10" s="7" customFormat="1" x14ac:dyDescent="0.2">
      <c r="B301" s="5"/>
      <c r="C301" s="5"/>
      <c r="D301" s="5"/>
      <c r="E301" s="5"/>
      <c r="F301" s="5"/>
      <c r="G301" s="66"/>
      <c r="I301" s="5"/>
      <c r="J301" s="5"/>
    </row>
    <row r="302" spans="2:10" s="7" customFormat="1" x14ac:dyDescent="0.2">
      <c r="B302" s="5"/>
      <c r="C302" s="5"/>
      <c r="D302" s="5"/>
      <c r="E302" s="5"/>
      <c r="F302" s="5"/>
      <c r="G302" s="66"/>
      <c r="I302" s="5"/>
      <c r="J302" s="5"/>
    </row>
    <row r="303" spans="2:10" s="7" customFormat="1" x14ac:dyDescent="0.2">
      <c r="B303" s="5"/>
      <c r="C303" s="5"/>
      <c r="D303" s="5"/>
      <c r="E303" s="5"/>
      <c r="F303" s="5"/>
      <c r="G303" s="66"/>
      <c r="I303" s="5"/>
      <c r="J303" s="5"/>
    </row>
    <row r="304" spans="2:10" s="7" customFormat="1" x14ac:dyDescent="0.2">
      <c r="B304" s="5"/>
      <c r="C304" s="5"/>
      <c r="D304" s="5"/>
      <c r="E304" s="5"/>
      <c r="F304" s="5"/>
      <c r="G304" s="66"/>
      <c r="I304" s="5"/>
      <c r="J304" s="5"/>
    </row>
    <row r="305" spans="2:10" s="7" customFormat="1" x14ac:dyDescent="0.2">
      <c r="B305" s="5"/>
      <c r="C305" s="5"/>
      <c r="D305" s="5"/>
      <c r="E305" s="5"/>
      <c r="F305" s="5"/>
      <c r="I305" s="5"/>
      <c r="J305" s="5"/>
    </row>
    <row r="306" spans="2:10" s="7" customFormat="1" x14ac:dyDescent="0.2">
      <c r="B306" s="5"/>
      <c r="C306" s="5"/>
      <c r="D306" s="5"/>
      <c r="E306" s="5"/>
      <c r="F306" s="5"/>
      <c r="I306" s="5"/>
      <c r="J306" s="5"/>
    </row>
    <row r="307" spans="2:10" s="7" customFormat="1" x14ac:dyDescent="0.2">
      <c r="B307" s="5"/>
      <c r="C307" s="5"/>
      <c r="D307" s="5"/>
      <c r="E307" s="5"/>
      <c r="F307" s="5"/>
      <c r="I307" s="5"/>
      <c r="J307" s="5"/>
    </row>
    <row r="308" spans="2:10" s="7" customFormat="1" x14ac:dyDescent="0.2">
      <c r="B308" s="5"/>
      <c r="C308" s="5"/>
      <c r="D308" s="5"/>
      <c r="E308" s="5"/>
      <c r="F308" s="5"/>
      <c r="I308" s="5"/>
      <c r="J308" s="5"/>
    </row>
    <row r="309" spans="2:10" s="7" customFormat="1" x14ac:dyDescent="0.2">
      <c r="B309" s="5"/>
      <c r="C309" s="5"/>
      <c r="D309" s="5"/>
      <c r="E309" s="5"/>
      <c r="F309" s="5"/>
      <c r="I309" s="5"/>
      <c r="J309" s="5"/>
    </row>
    <row r="310" spans="2:10" s="7" customFormat="1" x14ac:dyDescent="0.2">
      <c r="B310" s="5"/>
      <c r="C310" s="5"/>
      <c r="D310" s="5"/>
      <c r="E310" s="5"/>
      <c r="F310" s="5"/>
      <c r="I310" s="5"/>
      <c r="J310" s="5"/>
    </row>
    <row r="311" spans="2:10" s="7" customFormat="1" x14ac:dyDescent="0.2">
      <c r="B311" s="5"/>
      <c r="C311" s="5"/>
      <c r="D311" s="5"/>
      <c r="E311" s="5"/>
      <c r="F311" s="5"/>
      <c r="I311" s="5"/>
      <c r="J311" s="5"/>
    </row>
    <row r="312" spans="2:10" s="7" customFormat="1" x14ac:dyDescent="0.2">
      <c r="B312" s="5"/>
      <c r="C312" s="5"/>
      <c r="D312" s="5"/>
      <c r="E312" s="5"/>
      <c r="F312" s="5"/>
      <c r="I312" s="5"/>
      <c r="J312" s="5"/>
    </row>
    <row r="313" spans="2:10" s="7" customFormat="1" x14ac:dyDescent="0.2">
      <c r="B313" s="5"/>
      <c r="C313" s="5"/>
      <c r="D313" s="5"/>
      <c r="E313" s="5"/>
      <c r="F313" s="5"/>
      <c r="I313" s="5"/>
      <c r="J313" s="5"/>
    </row>
    <row r="314" spans="2:10" s="7" customFormat="1" x14ac:dyDescent="0.2">
      <c r="B314" s="5"/>
      <c r="C314" s="5"/>
      <c r="D314" s="5"/>
      <c r="E314" s="5"/>
      <c r="F314" s="5"/>
      <c r="I314" s="5"/>
      <c r="J314" s="5"/>
    </row>
    <row r="315" spans="2:10" s="7" customFormat="1" x14ac:dyDescent="0.2">
      <c r="B315" s="5"/>
      <c r="C315" s="5"/>
      <c r="D315" s="5"/>
      <c r="E315" s="5"/>
      <c r="F315" s="5"/>
      <c r="I315" s="5"/>
      <c r="J315" s="5"/>
    </row>
    <row r="316" spans="2:10" s="7" customFormat="1" x14ac:dyDescent="0.2">
      <c r="B316" s="5"/>
      <c r="C316" s="5"/>
      <c r="D316" s="5"/>
      <c r="E316" s="5"/>
      <c r="F316" s="5"/>
      <c r="I316" s="5"/>
      <c r="J316" s="5"/>
    </row>
    <row r="317" spans="2:10" s="7" customFormat="1" x14ac:dyDescent="0.2">
      <c r="B317" s="5"/>
      <c r="C317" s="5"/>
      <c r="D317" s="5"/>
      <c r="E317" s="5"/>
      <c r="F317" s="5"/>
      <c r="I317" s="5"/>
      <c r="J317" s="5"/>
    </row>
    <row r="318" spans="2:10" s="7" customFormat="1" x14ac:dyDescent="0.2">
      <c r="B318" s="5"/>
      <c r="C318" s="5"/>
      <c r="D318" s="5"/>
      <c r="E318" s="5"/>
      <c r="F318" s="5"/>
      <c r="I318" s="5"/>
      <c r="J318" s="5"/>
    </row>
    <row r="319" spans="2:10" s="7" customFormat="1" x14ac:dyDescent="0.2">
      <c r="B319" s="5"/>
      <c r="C319" s="5"/>
      <c r="D319" s="5"/>
      <c r="E319" s="5"/>
      <c r="F319" s="5"/>
      <c r="I319" s="5"/>
      <c r="J319" s="5"/>
    </row>
    <row r="320" spans="2:10" s="7" customFormat="1" x14ac:dyDescent="0.2">
      <c r="B320" s="5"/>
      <c r="C320" s="5"/>
      <c r="D320" s="5"/>
      <c r="E320" s="5"/>
      <c r="F320" s="5"/>
      <c r="I320" s="5"/>
      <c r="J320" s="5"/>
    </row>
    <row r="321" spans="2:10" s="7" customFormat="1" x14ac:dyDescent="0.2">
      <c r="B321" s="5"/>
      <c r="C321" s="5"/>
      <c r="D321" s="5"/>
      <c r="E321" s="5"/>
      <c r="F321" s="5"/>
      <c r="I321" s="5"/>
      <c r="J321" s="5"/>
    </row>
    <row r="322" spans="2:10" s="7" customFormat="1" x14ac:dyDescent="0.2">
      <c r="B322" s="5"/>
      <c r="C322" s="5"/>
      <c r="D322" s="5"/>
      <c r="E322" s="5"/>
      <c r="F322" s="5"/>
      <c r="I322" s="5"/>
      <c r="J322" s="5"/>
    </row>
    <row r="323" spans="2:10" s="7" customFormat="1" x14ac:dyDescent="0.2">
      <c r="B323" s="5"/>
      <c r="C323" s="5"/>
      <c r="D323" s="5"/>
      <c r="E323" s="5"/>
      <c r="F323" s="5"/>
      <c r="I323" s="5"/>
      <c r="J323" s="5"/>
    </row>
    <row r="324" spans="2:10" s="7" customFormat="1" x14ac:dyDescent="0.2">
      <c r="B324" s="5"/>
      <c r="C324" s="5"/>
      <c r="D324" s="5"/>
      <c r="E324" s="5"/>
      <c r="F324" s="5"/>
      <c r="I324" s="5"/>
      <c r="J324" s="5"/>
    </row>
    <row r="325" spans="2:10" s="7" customFormat="1" x14ac:dyDescent="0.2">
      <c r="B325" s="5"/>
      <c r="C325" s="5"/>
      <c r="D325" s="5"/>
      <c r="E325" s="5"/>
      <c r="F325" s="5"/>
      <c r="I325" s="5"/>
      <c r="J325" s="5"/>
    </row>
    <row r="326" spans="2:10" s="7" customFormat="1" x14ac:dyDescent="0.2">
      <c r="B326" s="5"/>
      <c r="C326" s="5"/>
      <c r="D326" s="5"/>
      <c r="E326" s="5"/>
      <c r="F326" s="5"/>
      <c r="I326" s="5"/>
      <c r="J326" s="5"/>
    </row>
    <row r="327" spans="2:10" s="7" customFormat="1" x14ac:dyDescent="0.2">
      <c r="B327" s="5"/>
      <c r="C327" s="5"/>
      <c r="D327" s="5"/>
      <c r="E327" s="5"/>
      <c r="F327" s="5"/>
      <c r="I327" s="5"/>
      <c r="J327" s="5"/>
    </row>
    <row r="328" spans="2:10" s="7" customFormat="1" x14ac:dyDescent="0.2">
      <c r="B328" s="5"/>
      <c r="C328" s="5"/>
      <c r="D328" s="5"/>
      <c r="E328" s="5"/>
      <c r="F328" s="5"/>
      <c r="I328" s="5"/>
      <c r="J328" s="5"/>
    </row>
    <row r="329" spans="2:10" s="7" customFormat="1" x14ac:dyDescent="0.2">
      <c r="B329" s="5"/>
      <c r="C329" s="5"/>
      <c r="D329" s="5"/>
      <c r="E329" s="5"/>
      <c r="F329" s="5"/>
      <c r="I329" s="5"/>
      <c r="J329" s="5"/>
    </row>
    <row r="330" spans="2:10" s="7" customFormat="1" x14ac:dyDescent="0.2">
      <c r="B330" s="5"/>
      <c r="C330" s="5"/>
      <c r="D330" s="5"/>
      <c r="E330" s="5"/>
      <c r="F330" s="5"/>
      <c r="I330" s="5"/>
      <c r="J330" s="5"/>
    </row>
    <row r="331" spans="2:10" s="7" customFormat="1" x14ac:dyDescent="0.2">
      <c r="B331" s="5"/>
      <c r="C331" s="5"/>
      <c r="D331" s="5"/>
      <c r="E331" s="5"/>
      <c r="F331" s="5"/>
      <c r="I331" s="5"/>
      <c r="J331" s="5"/>
    </row>
    <row r="332" spans="2:10" s="7" customFormat="1" x14ac:dyDescent="0.2">
      <c r="B332" s="5"/>
      <c r="C332" s="5"/>
      <c r="D332" s="5"/>
      <c r="E332" s="5"/>
      <c r="F332" s="5"/>
      <c r="I332" s="5"/>
      <c r="J332" s="5"/>
    </row>
    <row r="333" spans="2:10" s="7" customFormat="1" x14ac:dyDescent="0.2">
      <c r="B333" s="5"/>
      <c r="C333" s="5"/>
      <c r="D333" s="5"/>
      <c r="E333" s="5"/>
      <c r="F333" s="5"/>
      <c r="I333" s="5"/>
      <c r="J333" s="5"/>
    </row>
    <row r="334" spans="2:10" s="7" customFormat="1" x14ac:dyDescent="0.2">
      <c r="B334" s="5"/>
      <c r="C334" s="5"/>
      <c r="D334" s="5"/>
      <c r="E334" s="5"/>
      <c r="F334" s="5"/>
      <c r="I334" s="5"/>
      <c r="J334" s="5"/>
    </row>
    <row r="335" spans="2:10" s="7" customFormat="1" x14ac:dyDescent="0.2">
      <c r="B335" s="5"/>
      <c r="C335" s="5"/>
      <c r="D335" s="5"/>
      <c r="E335" s="5"/>
      <c r="F335" s="5"/>
      <c r="I335" s="5"/>
      <c r="J335" s="5"/>
    </row>
    <row r="336" spans="2:10" s="7" customFormat="1" x14ac:dyDescent="0.2">
      <c r="B336" s="5"/>
      <c r="C336" s="5"/>
      <c r="D336" s="5"/>
      <c r="E336" s="5"/>
      <c r="F336" s="5"/>
      <c r="I336" s="5"/>
      <c r="J336" s="5"/>
    </row>
    <row r="337" spans="2:10" s="7" customFormat="1" x14ac:dyDescent="0.2">
      <c r="B337" s="5"/>
      <c r="C337" s="5"/>
      <c r="D337" s="5"/>
      <c r="E337" s="5"/>
      <c r="F337" s="5"/>
      <c r="I337" s="5"/>
      <c r="J337" s="5"/>
    </row>
    <row r="338" spans="2:10" s="7" customFormat="1" x14ac:dyDescent="0.2">
      <c r="B338" s="5"/>
      <c r="C338" s="5"/>
      <c r="D338" s="5"/>
      <c r="E338" s="5"/>
      <c r="F338" s="5"/>
      <c r="I338" s="5"/>
      <c r="J338" s="5"/>
    </row>
    <row r="339" spans="2:10" s="7" customFormat="1" x14ac:dyDescent="0.2">
      <c r="B339" s="5"/>
      <c r="C339" s="5"/>
      <c r="D339" s="5"/>
      <c r="E339" s="5"/>
      <c r="F339" s="5"/>
      <c r="I339" s="5"/>
      <c r="J339" s="5"/>
    </row>
    <row r="340" spans="2:10" s="7" customFormat="1" x14ac:dyDescent="0.2">
      <c r="B340" s="5"/>
      <c r="C340" s="5"/>
      <c r="D340" s="5"/>
      <c r="E340" s="5"/>
      <c r="F340" s="5"/>
      <c r="I340" s="5"/>
      <c r="J340" s="5"/>
    </row>
    <row r="341" spans="2:10" s="7" customFormat="1" x14ac:dyDescent="0.2">
      <c r="B341" s="5"/>
      <c r="C341" s="5"/>
      <c r="D341" s="5"/>
      <c r="E341" s="5"/>
      <c r="F341" s="5"/>
      <c r="I341" s="5"/>
      <c r="J341" s="5"/>
    </row>
    <row r="342" spans="2:10" s="7" customFormat="1" x14ac:dyDescent="0.2">
      <c r="B342" s="5"/>
      <c r="C342" s="5"/>
      <c r="D342" s="5"/>
      <c r="E342" s="5"/>
      <c r="F342" s="5"/>
      <c r="I342" s="5"/>
      <c r="J342" s="5"/>
    </row>
    <row r="343" spans="2:10" s="7" customFormat="1" x14ac:dyDescent="0.2">
      <c r="B343" s="5"/>
      <c r="C343" s="5"/>
      <c r="D343" s="5"/>
      <c r="E343" s="5"/>
      <c r="F343" s="5"/>
      <c r="I343" s="5"/>
      <c r="J343" s="5"/>
    </row>
    <row r="344" spans="2:10" s="7" customFormat="1" x14ac:dyDescent="0.2">
      <c r="B344" s="5"/>
      <c r="C344" s="5"/>
      <c r="D344" s="5"/>
      <c r="E344" s="5"/>
      <c r="F344" s="5"/>
      <c r="I344" s="5"/>
      <c r="J344" s="5"/>
    </row>
    <row r="345" spans="2:10" s="7" customFormat="1" x14ac:dyDescent="0.2">
      <c r="B345" s="5"/>
      <c r="C345" s="5"/>
      <c r="D345" s="5"/>
      <c r="E345" s="5"/>
      <c r="F345" s="5"/>
      <c r="I345" s="5"/>
      <c r="J345" s="5"/>
    </row>
    <row r="346" spans="2:10" s="7" customFormat="1" x14ac:dyDescent="0.2">
      <c r="B346" s="5"/>
      <c r="C346" s="5"/>
      <c r="D346" s="5"/>
      <c r="E346" s="5"/>
      <c r="F346" s="5"/>
      <c r="I346" s="5"/>
      <c r="J346" s="5"/>
    </row>
    <row r="347" spans="2:10" s="7" customFormat="1" x14ac:dyDescent="0.2">
      <c r="B347" s="5"/>
      <c r="C347" s="5"/>
      <c r="D347" s="5"/>
      <c r="E347" s="5"/>
      <c r="F347" s="5"/>
      <c r="I347" s="5"/>
      <c r="J347" s="5"/>
    </row>
    <row r="348" spans="2:10" s="7" customFormat="1" x14ac:dyDescent="0.2">
      <c r="B348" s="5"/>
      <c r="C348" s="5"/>
      <c r="D348" s="5"/>
      <c r="E348" s="5"/>
      <c r="F348" s="5"/>
      <c r="I348" s="5"/>
      <c r="J348" s="5"/>
    </row>
    <row r="349" spans="2:10" s="7" customFormat="1" x14ac:dyDescent="0.2">
      <c r="B349" s="5"/>
      <c r="C349" s="5"/>
      <c r="D349" s="5"/>
      <c r="E349" s="5"/>
      <c r="F349" s="5"/>
      <c r="I349" s="5"/>
      <c r="J349" s="5"/>
    </row>
    <row r="350" spans="2:10" s="7" customFormat="1" x14ac:dyDescent="0.2">
      <c r="B350" s="5"/>
      <c r="C350" s="5"/>
      <c r="D350" s="5"/>
      <c r="E350" s="5"/>
      <c r="F350" s="5"/>
      <c r="I350" s="5"/>
      <c r="J350" s="5"/>
    </row>
    <row r="351" spans="2:10" s="7" customFormat="1" x14ac:dyDescent="0.2">
      <c r="B351" s="5"/>
      <c r="C351" s="5"/>
      <c r="D351" s="5"/>
      <c r="E351" s="5"/>
      <c r="F351" s="5"/>
      <c r="I351" s="5"/>
      <c r="J351" s="5"/>
    </row>
    <row r="352" spans="2:10" s="7" customFormat="1" x14ac:dyDescent="0.2">
      <c r="B352" s="5"/>
      <c r="C352" s="5"/>
      <c r="D352" s="5"/>
      <c r="E352" s="5"/>
      <c r="F352" s="5"/>
      <c r="I352" s="5"/>
      <c r="J352" s="5"/>
    </row>
    <row r="353" spans="2:10" s="7" customFormat="1" x14ac:dyDescent="0.2">
      <c r="B353" s="5"/>
      <c r="C353" s="5"/>
      <c r="D353" s="5"/>
      <c r="E353" s="5"/>
      <c r="F353" s="5"/>
      <c r="I353" s="5"/>
      <c r="J353" s="5"/>
    </row>
    <row r="354" spans="2:10" s="7" customFormat="1" x14ac:dyDescent="0.2">
      <c r="B354" s="5"/>
      <c r="C354" s="5"/>
      <c r="D354" s="5"/>
      <c r="E354" s="5"/>
      <c r="F354" s="5"/>
      <c r="I354" s="5"/>
      <c r="J354" s="5"/>
    </row>
    <row r="355" spans="2:10" s="7" customFormat="1" x14ac:dyDescent="0.2">
      <c r="B355" s="5"/>
      <c r="C355" s="5"/>
      <c r="D355" s="5"/>
      <c r="E355" s="5"/>
      <c r="F355" s="5"/>
      <c r="I355" s="5"/>
      <c r="J355" s="5"/>
    </row>
    <row r="356" spans="2:10" s="7" customFormat="1" x14ac:dyDescent="0.2">
      <c r="B356" s="5"/>
      <c r="C356" s="5"/>
      <c r="D356" s="5"/>
      <c r="E356" s="5"/>
      <c r="F356" s="5"/>
      <c r="I356" s="5"/>
      <c r="J356" s="5"/>
    </row>
    <row r="357" spans="2:10" s="7" customFormat="1" x14ac:dyDescent="0.2">
      <c r="B357" s="5"/>
      <c r="C357" s="5"/>
      <c r="D357" s="5"/>
      <c r="E357" s="5"/>
      <c r="F357" s="5"/>
      <c r="I357" s="5"/>
      <c r="J357" s="5"/>
    </row>
    <row r="358" spans="2:10" s="7" customFormat="1" x14ac:dyDescent="0.2">
      <c r="B358" s="5"/>
      <c r="C358" s="5"/>
      <c r="D358" s="5"/>
      <c r="E358" s="5"/>
      <c r="F358" s="5"/>
      <c r="I358" s="5"/>
      <c r="J358" s="5"/>
    </row>
    <row r="359" spans="2:10" s="7" customFormat="1" x14ac:dyDescent="0.2">
      <c r="B359" s="5"/>
      <c r="C359" s="5"/>
      <c r="D359" s="5"/>
      <c r="E359" s="5"/>
      <c r="F359" s="5"/>
      <c r="I359" s="5"/>
      <c r="J359" s="5"/>
    </row>
    <row r="360" spans="2:10" s="7" customFormat="1" x14ac:dyDescent="0.2">
      <c r="B360" s="5"/>
      <c r="C360" s="5"/>
      <c r="D360" s="5"/>
      <c r="E360" s="5"/>
      <c r="F360" s="5"/>
      <c r="I360" s="5"/>
      <c r="J360" s="5"/>
    </row>
    <row r="361" spans="2:10" s="7" customFormat="1" x14ac:dyDescent="0.2">
      <c r="B361" s="5"/>
      <c r="C361" s="5"/>
      <c r="D361" s="5"/>
      <c r="E361" s="5"/>
      <c r="F361" s="5"/>
      <c r="I361" s="5"/>
      <c r="J361" s="5"/>
    </row>
    <row r="362" spans="2:10" s="7" customFormat="1" x14ac:dyDescent="0.2">
      <c r="B362" s="5"/>
      <c r="C362" s="5"/>
      <c r="D362" s="5"/>
      <c r="E362" s="5"/>
      <c r="F362" s="5"/>
      <c r="I362" s="5"/>
      <c r="J362" s="5"/>
    </row>
    <row r="363" spans="2:10" s="7" customFormat="1" x14ac:dyDescent="0.2">
      <c r="B363" s="5"/>
      <c r="C363" s="5"/>
      <c r="D363" s="5"/>
      <c r="E363" s="5"/>
      <c r="F363" s="5"/>
      <c r="I363" s="5"/>
      <c r="J363" s="5"/>
    </row>
    <row r="364" spans="2:10" s="7" customFormat="1" x14ac:dyDescent="0.2">
      <c r="B364" s="5"/>
      <c r="C364" s="5"/>
      <c r="D364" s="5"/>
      <c r="E364" s="5"/>
      <c r="F364" s="5"/>
      <c r="I364" s="5"/>
      <c r="J364" s="5"/>
    </row>
    <row r="365" spans="2:10" s="7" customFormat="1" x14ac:dyDescent="0.2">
      <c r="B365" s="5"/>
      <c r="C365" s="5"/>
      <c r="D365" s="5"/>
      <c r="E365" s="5"/>
      <c r="F365" s="5"/>
      <c r="I365" s="5"/>
      <c r="J365" s="5"/>
    </row>
    <row r="366" spans="2:10" s="7" customFormat="1" x14ac:dyDescent="0.2">
      <c r="B366" s="5"/>
      <c r="C366" s="5"/>
      <c r="D366" s="5"/>
      <c r="E366" s="5"/>
      <c r="F366" s="5"/>
      <c r="I366" s="5"/>
      <c r="J366" s="5"/>
    </row>
    <row r="367" spans="2:10" s="7" customFormat="1" x14ac:dyDescent="0.2">
      <c r="B367" s="5"/>
      <c r="C367" s="5"/>
      <c r="D367" s="5"/>
      <c r="E367" s="5"/>
      <c r="F367" s="5"/>
      <c r="I367" s="5"/>
      <c r="J367" s="5"/>
    </row>
    <row r="368" spans="2:10" s="7" customFormat="1" x14ac:dyDescent="0.2">
      <c r="B368" s="5"/>
      <c r="C368" s="5"/>
      <c r="D368" s="5"/>
      <c r="E368" s="5"/>
      <c r="F368" s="5"/>
      <c r="I368" s="5"/>
      <c r="J368" s="5"/>
    </row>
    <row r="369" spans="2:10" s="7" customFormat="1" x14ac:dyDescent="0.2">
      <c r="B369" s="5"/>
      <c r="C369" s="5"/>
      <c r="D369" s="5"/>
      <c r="E369" s="5"/>
      <c r="F369" s="5"/>
      <c r="I369" s="5"/>
      <c r="J369" s="5"/>
    </row>
    <row r="370" spans="2:10" s="7" customFormat="1" x14ac:dyDescent="0.2">
      <c r="B370" s="5"/>
      <c r="C370" s="5"/>
      <c r="D370" s="5"/>
      <c r="E370" s="5"/>
      <c r="F370" s="5"/>
      <c r="I370" s="5"/>
      <c r="J370" s="5"/>
    </row>
    <row r="371" spans="2:10" s="7" customFormat="1" x14ac:dyDescent="0.2">
      <c r="B371" s="5"/>
      <c r="C371" s="5"/>
      <c r="D371" s="5"/>
      <c r="E371" s="5"/>
      <c r="F371" s="5"/>
      <c r="I371" s="5"/>
      <c r="J371" s="5"/>
    </row>
    <row r="372" spans="2:10" s="7" customFormat="1" x14ac:dyDescent="0.2">
      <c r="B372" s="5"/>
      <c r="C372" s="5"/>
      <c r="D372" s="5"/>
      <c r="E372" s="5"/>
      <c r="F372" s="5"/>
      <c r="I372" s="5"/>
      <c r="J372" s="5"/>
    </row>
    <row r="373" spans="2:10" s="7" customFormat="1" x14ac:dyDescent="0.2">
      <c r="B373" s="5"/>
      <c r="C373" s="5"/>
      <c r="D373" s="5"/>
      <c r="E373" s="5"/>
      <c r="F373" s="5"/>
      <c r="I373" s="5"/>
      <c r="J373" s="5"/>
    </row>
    <row r="374" spans="2:10" s="7" customFormat="1" x14ac:dyDescent="0.2">
      <c r="B374" s="5"/>
      <c r="C374" s="5"/>
      <c r="D374" s="5"/>
      <c r="E374" s="5"/>
      <c r="F374" s="5"/>
      <c r="I374" s="5"/>
      <c r="J374" s="5"/>
    </row>
    <row r="375" spans="2:10" s="7" customFormat="1" x14ac:dyDescent="0.2">
      <c r="B375" s="5"/>
      <c r="C375" s="5"/>
      <c r="D375" s="5"/>
      <c r="E375" s="5"/>
      <c r="F375" s="5"/>
      <c r="I375" s="5"/>
      <c r="J375" s="5"/>
    </row>
    <row r="376" spans="2:10" s="7" customFormat="1" x14ac:dyDescent="0.2">
      <c r="B376" s="5"/>
      <c r="C376" s="5"/>
      <c r="D376" s="5"/>
      <c r="E376" s="5"/>
      <c r="F376" s="5"/>
      <c r="I376" s="5"/>
      <c r="J376" s="5"/>
    </row>
    <row r="377" spans="2:10" s="7" customFormat="1" x14ac:dyDescent="0.2">
      <c r="B377" s="5"/>
      <c r="C377" s="5"/>
      <c r="D377" s="5"/>
      <c r="E377" s="5"/>
      <c r="F377" s="5"/>
      <c r="I377" s="5"/>
      <c r="J377" s="5"/>
    </row>
    <row r="378" spans="2:10" s="7" customFormat="1" x14ac:dyDescent="0.2">
      <c r="B378" s="5"/>
      <c r="C378" s="5"/>
      <c r="D378" s="5"/>
      <c r="E378" s="5"/>
      <c r="F378" s="5"/>
      <c r="I378" s="5"/>
      <c r="J378" s="5"/>
    </row>
    <row r="379" spans="2:10" s="7" customFormat="1" x14ac:dyDescent="0.2">
      <c r="B379" s="5"/>
      <c r="C379" s="5"/>
      <c r="D379" s="5"/>
      <c r="E379" s="5"/>
      <c r="F379" s="5"/>
      <c r="I379" s="5"/>
      <c r="J379" s="5"/>
    </row>
    <row r="380" spans="2:10" s="7" customFormat="1" x14ac:dyDescent="0.2">
      <c r="B380" s="5"/>
      <c r="C380" s="5"/>
      <c r="D380" s="5"/>
      <c r="E380" s="5"/>
      <c r="F380" s="5"/>
      <c r="I380" s="5"/>
      <c r="J380" s="5"/>
    </row>
    <row r="381" spans="2:10" s="7" customFormat="1" x14ac:dyDescent="0.2">
      <c r="B381" s="5"/>
      <c r="C381" s="5"/>
      <c r="D381" s="5"/>
      <c r="E381" s="5"/>
      <c r="F381" s="5"/>
      <c r="I381" s="5"/>
      <c r="J381" s="5"/>
    </row>
    <row r="382" spans="2:10" s="7" customFormat="1" x14ac:dyDescent="0.2">
      <c r="B382" s="5"/>
      <c r="C382" s="5"/>
      <c r="D382" s="5"/>
      <c r="E382" s="5"/>
      <c r="F382" s="5"/>
      <c r="I382" s="5"/>
      <c r="J382" s="5"/>
    </row>
    <row r="383" spans="2:10" s="7" customFormat="1" x14ac:dyDescent="0.2">
      <c r="B383" s="5"/>
      <c r="C383" s="5"/>
      <c r="D383" s="5"/>
      <c r="E383" s="5"/>
      <c r="F383" s="5"/>
      <c r="I383" s="5"/>
      <c r="J383" s="5"/>
    </row>
    <row r="384" spans="2:10" s="7" customFormat="1" x14ac:dyDescent="0.2">
      <c r="B384" s="5"/>
      <c r="C384" s="5"/>
      <c r="D384" s="5"/>
      <c r="E384" s="5"/>
      <c r="F384" s="5"/>
      <c r="I384" s="5"/>
      <c r="J384" s="5"/>
    </row>
    <row r="385" spans="2:10" s="7" customFormat="1" x14ac:dyDescent="0.2">
      <c r="B385" s="5"/>
      <c r="C385" s="5"/>
      <c r="D385" s="5"/>
      <c r="E385" s="5"/>
      <c r="F385" s="5"/>
      <c r="I385" s="5"/>
      <c r="J385" s="5"/>
    </row>
  </sheetData>
  <autoFilter ref="A1:K234" xr:uid="{DAD00364-664A-470B-8B0C-3CB3FB80AFDB}">
    <filterColumn colId="6">
      <filters>
        <filter val="1C RDM - RDM Classic"/>
        <filter val="2C RDM C - RDM Cloud Ready"/>
        <filter val="9M Misc"/>
      </filters>
    </filterColumn>
  </autoFilter>
  <mergeCells count="15">
    <mergeCell ref="C59:C62"/>
    <mergeCell ref="C51:C58"/>
    <mergeCell ref="C44:C47"/>
    <mergeCell ref="C32:C36"/>
    <mergeCell ref="C37:C42"/>
    <mergeCell ref="C3:C4"/>
    <mergeCell ref="C7:C11"/>
    <mergeCell ref="C13:C18"/>
    <mergeCell ref="C19:C23"/>
    <mergeCell ref="C24:C29"/>
    <mergeCell ref="C88:C95"/>
    <mergeCell ref="C83:C87"/>
    <mergeCell ref="C69:C76"/>
    <mergeCell ref="C77:C82"/>
    <mergeCell ref="C65:C66"/>
  </mergeCells>
  <dataValidations count="1">
    <dataValidation type="time" allowBlank="1" showInputMessage="1" showErrorMessage="1" sqref="D5:E6 D2:E2 D17 D12:E16 F19:F23 D18:E23 D26:F235" xr:uid="{F134D236-5859-4967-A228-51BF262DAB63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5299B8-A0CA-44BF-81F5-ECBEE3494D37}">
          <x14:formula1>
            <xm:f>Metadata!$A$2:$A$15</xm:f>
          </x14:formula1>
          <xm:sqref>H75 G2:G95 G105:G234</xm:sqref>
        </x14:dataValidation>
        <x14:dataValidation type="list" allowBlank="1" showInputMessage="1" showErrorMessage="1" xr:uid="{8BC4161B-F09C-4758-A579-C8FD0F39EA80}">
          <x14:formula1>
            <xm:f>Metadata!$F$2:$F$15</xm:f>
          </x14:formula1>
          <xm:sqref>I2:I95 I105:I235</xm:sqref>
        </x14:dataValidation>
        <x14:dataValidation type="list" allowBlank="1" showInputMessage="1" showErrorMessage="1" xr:uid="{5EB84497-D60A-4D2D-B99D-03FEA4656541}">
          <x14:formula1>
            <xm:f>Metadata!$C$3:$C$14</xm:f>
          </x14:formula1>
          <xm:sqref>B2:B235</xm:sqref>
        </x14:dataValidation>
        <x14:dataValidation type="list" allowBlank="1" showInputMessage="1" showErrorMessage="1" xr:uid="{D470C3E1-3A94-449A-B458-CD79AD2CE52B}">
          <x14:formula1>
            <xm:f>Metadata!$C$2:$C$15</xm:f>
          </x14:formula1>
          <xm:sqref>H2:H95 H105:H235</xm:sqref>
        </x14:dataValidation>
        <x14:dataValidation type="list" allowBlank="1" showInputMessage="1" showErrorMessage="1" xr:uid="{F024EA59-E509-42B2-8461-64AB12594855}">
          <x14:formula1>
            <xm:f>Metadata!$H$2:$H$5</xm:f>
          </x14:formula1>
          <xm:sqref>A2:A235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6013-3802-4E9C-8277-A62CDEA5FDE7}">
  <sheetPr codeName="Tabelle2">
    <pageSetUpPr fitToPage="1"/>
  </sheetPr>
  <dimension ref="A1:K417"/>
  <sheetViews>
    <sheetView showGridLines="0" zoomScale="85" zoomScaleNormal="85" workbookViewId="0">
      <pane xSplit="1" ySplit="1" topLeftCell="C68" activePane="bottomRight" state="frozen"/>
      <selection pane="topRight" activeCell="B1" sqref="B1"/>
      <selection pane="bottomLeft" activeCell="A11" sqref="A11"/>
      <selection pane="bottomRight" activeCell="J80" sqref="J80"/>
    </sheetView>
  </sheetViews>
  <sheetFormatPr baseColWidth="10" defaultColWidth="11.42578125" defaultRowHeight="30" customHeight="1" x14ac:dyDescent="0.2"/>
  <cols>
    <col min="1" max="1" width="21.28515625" style="7" hidden="1" customWidth="1"/>
    <col min="2" max="2" width="15.8554687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10.2851562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2" width="11.42578125" style="5"/>
    <col min="13" max="13" width="15.42578125" style="5" customWidth="1"/>
    <col min="14" max="16384" width="11.42578125" style="5"/>
  </cols>
  <sheetData>
    <row r="1" spans="1:11" s="18" customFormat="1" ht="30" customHeight="1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1" s="13" customFormat="1" ht="30" customHeight="1" thickBot="1" x14ac:dyDescent="0.3">
      <c r="A2" s="19" t="s">
        <v>47</v>
      </c>
      <c r="B2" s="10" t="s">
        <v>1</v>
      </c>
      <c r="C2" s="31">
        <v>46054</v>
      </c>
      <c r="D2" s="32">
        <v>0.35416666666666669</v>
      </c>
      <c r="E2" s="32">
        <v>0.6875</v>
      </c>
      <c r="F2" s="33">
        <f>+(E2-D2)*24</f>
        <v>8</v>
      </c>
      <c r="G2" s="34" t="s">
        <v>21</v>
      </c>
      <c r="H2" s="34" t="s">
        <v>30</v>
      </c>
      <c r="I2" s="35"/>
      <c r="J2" s="35" t="s">
        <v>71</v>
      </c>
      <c r="K2" s="35"/>
    </row>
    <row r="3" spans="1:11" s="13" customFormat="1" ht="30" customHeight="1" thickBot="1" x14ac:dyDescent="0.3">
      <c r="A3" s="19" t="s">
        <v>47</v>
      </c>
      <c r="B3" s="10" t="s">
        <v>1</v>
      </c>
      <c r="C3" s="148">
        <v>46055</v>
      </c>
      <c r="D3" s="11">
        <v>0.35416666666666669</v>
      </c>
      <c r="E3" s="11">
        <v>0.4375</v>
      </c>
      <c r="F3" s="12">
        <f>+(E3-D3)*24</f>
        <v>1.9999999999999996</v>
      </c>
      <c r="G3" s="20" t="s">
        <v>22</v>
      </c>
      <c r="H3" s="20" t="s">
        <v>23</v>
      </c>
      <c r="I3" s="9"/>
      <c r="J3" s="9" t="s">
        <v>190</v>
      </c>
      <c r="K3" s="9" t="s">
        <v>191</v>
      </c>
    </row>
    <row r="4" spans="1:11" s="13" customFormat="1" ht="30" customHeight="1" thickBot="1" x14ac:dyDescent="0.3">
      <c r="A4" s="19" t="s">
        <v>47</v>
      </c>
      <c r="B4" s="10" t="s">
        <v>1</v>
      </c>
      <c r="C4" s="149"/>
      <c r="D4" s="11">
        <v>0.4375</v>
      </c>
      <c r="E4" s="11">
        <v>0.47916666666666669</v>
      </c>
      <c r="F4" s="12">
        <f>+(E4-D4)*24</f>
        <v>1.0000000000000004</v>
      </c>
      <c r="G4" s="20" t="s">
        <v>19</v>
      </c>
      <c r="H4" s="20" t="s">
        <v>24</v>
      </c>
      <c r="I4" s="9" t="s">
        <v>33</v>
      </c>
      <c r="J4" s="9" t="s">
        <v>107</v>
      </c>
      <c r="K4" s="9"/>
    </row>
    <row r="5" spans="1:11" s="13" customFormat="1" ht="30" customHeight="1" thickBot="1" x14ac:dyDescent="0.3">
      <c r="A5" s="19" t="s">
        <v>47</v>
      </c>
      <c r="B5" s="10" t="s">
        <v>1</v>
      </c>
      <c r="C5" s="149"/>
      <c r="D5" s="11">
        <v>0.47916666666666669</v>
      </c>
      <c r="E5" s="11">
        <v>0.51041666666666663</v>
      </c>
      <c r="F5" s="12">
        <f>+(E5-D5)*24</f>
        <v>0.74999999999999867</v>
      </c>
      <c r="G5" s="20" t="s">
        <v>19</v>
      </c>
      <c r="H5" s="20" t="s">
        <v>23</v>
      </c>
      <c r="I5" s="9"/>
      <c r="J5" s="9" t="s">
        <v>192</v>
      </c>
      <c r="K5" s="9" t="s">
        <v>191</v>
      </c>
    </row>
    <row r="6" spans="1:11" s="13" customFormat="1" ht="30" customHeight="1" thickBot="1" x14ac:dyDescent="0.3">
      <c r="A6" s="19" t="s">
        <v>47</v>
      </c>
      <c r="B6" s="10" t="s">
        <v>1</v>
      </c>
      <c r="C6" s="149"/>
      <c r="D6" s="11">
        <v>0.53125</v>
      </c>
      <c r="E6" s="11">
        <v>0.625</v>
      </c>
      <c r="F6" s="12">
        <f t="shared" ref="F6:F40" si="0">+(E6-D6)*24</f>
        <v>2.25</v>
      </c>
      <c r="G6" s="20" t="s">
        <v>19</v>
      </c>
      <c r="H6" s="20" t="s">
        <v>23</v>
      </c>
      <c r="I6" s="9"/>
      <c r="J6" s="9" t="s">
        <v>192</v>
      </c>
      <c r="K6" s="9" t="s">
        <v>191</v>
      </c>
    </row>
    <row r="7" spans="1:11" s="13" customFormat="1" ht="30" customHeight="1" thickBot="1" x14ac:dyDescent="0.3">
      <c r="A7" s="19" t="s">
        <v>47</v>
      </c>
      <c r="B7" s="10" t="s">
        <v>1</v>
      </c>
      <c r="C7" s="149"/>
      <c r="D7" s="11">
        <v>0.625</v>
      </c>
      <c r="E7" s="11">
        <v>0.66666666666666663</v>
      </c>
      <c r="F7" s="12">
        <f t="shared" si="0"/>
        <v>0.99999999999999911</v>
      </c>
      <c r="G7" s="20" t="s">
        <v>19</v>
      </c>
      <c r="H7" s="20" t="s">
        <v>24</v>
      </c>
      <c r="I7" s="9" t="s">
        <v>33</v>
      </c>
      <c r="J7" s="9" t="s">
        <v>129</v>
      </c>
      <c r="K7" s="9"/>
    </row>
    <row r="8" spans="1:11" s="13" customFormat="1" ht="30" customHeight="1" thickBot="1" x14ac:dyDescent="0.3">
      <c r="A8" s="19" t="s">
        <v>47</v>
      </c>
      <c r="B8" s="10" t="s">
        <v>1</v>
      </c>
      <c r="C8" s="150"/>
      <c r="D8" s="11">
        <v>0.66666666666666663</v>
      </c>
      <c r="E8" s="11">
        <v>0.70833333333333337</v>
      </c>
      <c r="F8" s="12">
        <f t="shared" si="0"/>
        <v>1.0000000000000018</v>
      </c>
      <c r="G8" s="20" t="s">
        <v>20</v>
      </c>
      <c r="H8" s="20" t="s">
        <v>24</v>
      </c>
      <c r="I8" s="9" t="s">
        <v>33</v>
      </c>
      <c r="J8" s="9" t="s">
        <v>106</v>
      </c>
      <c r="K8" s="9"/>
    </row>
    <row r="9" spans="1:11" s="13" customFormat="1" ht="30" customHeight="1" thickBot="1" x14ac:dyDescent="0.3">
      <c r="A9" s="19" t="s">
        <v>47</v>
      </c>
      <c r="B9" s="10"/>
      <c r="C9" s="148">
        <v>46056</v>
      </c>
      <c r="D9" s="11">
        <v>0.35416666666666669</v>
      </c>
      <c r="E9" s="11">
        <v>0.375</v>
      </c>
      <c r="F9" s="12">
        <f t="shared" si="0"/>
        <v>0.49999999999999956</v>
      </c>
      <c r="G9" s="20" t="s">
        <v>22</v>
      </c>
      <c r="H9" s="20"/>
      <c r="I9" s="9"/>
      <c r="J9" s="9" t="s">
        <v>194</v>
      </c>
      <c r="K9" s="9"/>
    </row>
    <row r="10" spans="1:11" s="13" customFormat="1" ht="30" customHeight="1" thickBot="1" x14ac:dyDescent="0.3">
      <c r="A10" s="19" t="s">
        <v>47</v>
      </c>
      <c r="B10" s="10" t="s">
        <v>1</v>
      </c>
      <c r="C10" s="149"/>
      <c r="D10" s="11">
        <v>0.375</v>
      </c>
      <c r="E10" s="11">
        <v>0.41666666666666669</v>
      </c>
      <c r="F10" s="12">
        <f t="shared" si="0"/>
        <v>1.0000000000000004</v>
      </c>
      <c r="G10" s="20" t="s">
        <v>19</v>
      </c>
      <c r="H10" s="20" t="s">
        <v>24</v>
      </c>
      <c r="I10" s="9" t="s">
        <v>33</v>
      </c>
      <c r="J10" s="24"/>
      <c r="K10" s="9"/>
    </row>
    <row r="11" spans="1:11" s="13" customFormat="1" ht="30" customHeight="1" thickBot="1" x14ac:dyDescent="0.3">
      <c r="A11" s="19" t="s">
        <v>47</v>
      </c>
      <c r="B11" s="10" t="s">
        <v>1</v>
      </c>
      <c r="C11" s="149"/>
      <c r="D11" s="11">
        <v>0.41666666666666669</v>
      </c>
      <c r="E11" s="11">
        <v>0.4375</v>
      </c>
      <c r="F11" s="12">
        <f t="shared" si="0"/>
        <v>0.49999999999999956</v>
      </c>
      <c r="G11" s="20" t="s">
        <v>19</v>
      </c>
      <c r="H11" s="20" t="s">
        <v>24</v>
      </c>
      <c r="I11" s="9"/>
      <c r="J11" s="9" t="s">
        <v>200</v>
      </c>
      <c r="K11" s="9"/>
    </row>
    <row r="12" spans="1:11" s="13" customFormat="1" ht="30" customHeight="1" thickBot="1" x14ac:dyDescent="0.3">
      <c r="A12" s="19" t="s">
        <v>47</v>
      </c>
      <c r="B12" s="10" t="s">
        <v>1</v>
      </c>
      <c r="C12" s="149"/>
      <c r="D12" s="11">
        <v>0.4375</v>
      </c>
      <c r="E12" s="11">
        <v>0.45833333333333331</v>
      </c>
      <c r="F12" s="12">
        <f t="shared" si="0"/>
        <v>0.49999999999999956</v>
      </c>
      <c r="G12" s="20" t="s">
        <v>20</v>
      </c>
      <c r="H12" s="20" t="s">
        <v>24</v>
      </c>
      <c r="I12" s="9" t="s">
        <v>33</v>
      </c>
      <c r="J12" s="9" t="s">
        <v>195</v>
      </c>
      <c r="K12" s="9"/>
    </row>
    <row r="13" spans="1:11" s="13" customFormat="1" ht="30" customHeight="1" thickBot="1" x14ac:dyDescent="0.3">
      <c r="A13" s="19" t="s">
        <v>47</v>
      </c>
      <c r="B13" s="10" t="s">
        <v>1</v>
      </c>
      <c r="C13" s="149"/>
      <c r="D13" s="11">
        <v>0.45833333333333331</v>
      </c>
      <c r="E13" s="11">
        <v>0.46875</v>
      </c>
      <c r="F13" s="12">
        <f t="shared" si="0"/>
        <v>0.25000000000000044</v>
      </c>
      <c r="G13" s="20" t="s">
        <v>22</v>
      </c>
      <c r="H13" s="20"/>
      <c r="I13" s="9"/>
      <c r="J13" s="9" t="s">
        <v>196</v>
      </c>
      <c r="K13" s="9"/>
    </row>
    <row r="14" spans="1:11" s="13" customFormat="1" ht="30" customHeight="1" thickBot="1" x14ac:dyDescent="0.3">
      <c r="A14" s="19" t="s">
        <v>47</v>
      </c>
      <c r="B14" s="10" t="s">
        <v>1</v>
      </c>
      <c r="C14" s="149"/>
      <c r="D14" s="11">
        <v>0.46875</v>
      </c>
      <c r="E14" s="11">
        <v>0.47916666666666669</v>
      </c>
      <c r="F14" s="12">
        <f t="shared" si="0"/>
        <v>0.25000000000000044</v>
      </c>
      <c r="G14" s="20" t="s">
        <v>19</v>
      </c>
      <c r="H14" s="20" t="s">
        <v>24</v>
      </c>
      <c r="I14" s="9" t="s">
        <v>33</v>
      </c>
      <c r="J14" s="9" t="s">
        <v>197</v>
      </c>
      <c r="K14" s="9">
        <v>1177</v>
      </c>
    </row>
    <row r="15" spans="1:11" s="13" customFormat="1" ht="30" customHeight="1" thickBot="1" x14ac:dyDescent="0.3">
      <c r="A15" s="19" t="s">
        <v>47</v>
      </c>
      <c r="B15" s="10" t="s">
        <v>1</v>
      </c>
      <c r="C15" s="149"/>
      <c r="D15" s="11">
        <v>0.47916666666666669</v>
      </c>
      <c r="E15" s="11">
        <v>0.5</v>
      </c>
      <c r="F15" s="12">
        <f t="shared" si="0"/>
        <v>0.49999999999999956</v>
      </c>
      <c r="G15" s="20" t="s">
        <v>19</v>
      </c>
      <c r="H15" s="20" t="s">
        <v>24</v>
      </c>
      <c r="I15" s="9" t="s">
        <v>33</v>
      </c>
      <c r="J15" s="9" t="s">
        <v>198</v>
      </c>
      <c r="K15" s="9">
        <v>1177</v>
      </c>
    </row>
    <row r="16" spans="1:11" s="13" customFormat="1" ht="30" customHeight="1" thickBot="1" x14ac:dyDescent="0.3">
      <c r="A16" s="19" t="s">
        <v>47</v>
      </c>
      <c r="B16" s="10" t="s">
        <v>1</v>
      </c>
      <c r="C16" s="149"/>
      <c r="D16" s="11">
        <v>0.5</v>
      </c>
      <c r="E16" s="11">
        <v>0.52083333333333337</v>
      </c>
      <c r="F16" s="12">
        <f t="shared" si="0"/>
        <v>0.50000000000000089</v>
      </c>
      <c r="G16" s="20" t="s">
        <v>19</v>
      </c>
      <c r="H16" s="20" t="s">
        <v>24</v>
      </c>
      <c r="I16" s="9" t="s">
        <v>33</v>
      </c>
      <c r="J16" s="9" t="s">
        <v>199</v>
      </c>
      <c r="K16" s="9">
        <v>625</v>
      </c>
    </row>
    <row r="17" spans="1:11" s="13" customFormat="1" ht="30" customHeight="1" thickBot="1" x14ac:dyDescent="0.3">
      <c r="A17" s="19" t="s">
        <v>47</v>
      </c>
      <c r="B17" s="10" t="s">
        <v>1</v>
      </c>
      <c r="C17" s="149"/>
      <c r="D17" s="11">
        <v>0.54166666666666663</v>
      </c>
      <c r="E17" s="11">
        <v>0.66666666666666663</v>
      </c>
      <c r="F17" s="12">
        <f t="shared" si="0"/>
        <v>3</v>
      </c>
      <c r="G17" s="20" t="s">
        <v>19</v>
      </c>
      <c r="H17" s="20" t="s">
        <v>23</v>
      </c>
      <c r="I17" s="9" t="s">
        <v>37</v>
      </c>
      <c r="J17" s="9" t="s">
        <v>202</v>
      </c>
      <c r="K17" s="9"/>
    </row>
    <row r="18" spans="1:11" s="13" customFormat="1" ht="30" customHeight="1" thickBot="1" x14ac:dyDescent="0.3">
      <c r="A18" s="19" t="s">
        <v>47</v>
      </c>
      <c r="B18" s="10" t="s">
        <v>1</v>
      </c>
      <c r="C18" s="150"/>
      <c r="D18" s="11">
        <v>0.66666666666666663</v>
      </c>
      <c r="E18" s="11">
        <v>0.73611111111111116</v>
      </c>
      <c r="F18" s="12">
        <f t="shared" si="0"/>
        <v>1.6666666666666687</v>
      </c>
      <c r="G18" s="20" t="s">
        <v>20</v>
      </c>
      <c r="H18" s="20" t="s">
        <v>24</v>
      </c>
      <c r="I18" s="9" t="s">
        <v>32</v>
      </c>
      <c r="J18" s="9" t="s">
        <v>201</v>
      </c>
      <c r="K18" s="9"/>
    </row>
    <row r="19" spans="1:11" s="13" customFormat="1" ht="30" customHeight="1" thickBot="1" x14ac:dyDescent="0.3">
      <c r="A19" s="19" t="s">
        <v>47</v>
      </c>
      <c r="B19" s="10" t="s">
        <v>1</v>
      </c>
      <c r="C19" s="148">
        <v>46057</v>
      </c>
      <c r="D19" s="11">
        <v>0.35416666666666669</v>
      </c>
      <c r="E19" s="11">
        <v>0.5</v>
      </c>
      <c r="F19" s="12">
        <f t="shared" si="0"/>
        <v>3.4999999999999996</v>
      </c>
      <c r="G19" s="20" t="s">
        <v>20</v>
      </c>
      <c r="H19" s="20" t="s">
        <v>23</v>
      </c>
      <c r="I19" s="9" t="s">
        <v>37</v>
      </c>
      <c r="J19" s="9" t="s">
        <v>205</v>
      </c>
      <c r="K19" s="9"/>
    </row>
    <row r="20" spans="1:11" s="13" customFormat="1" ht="30" customHeight="1" thickBot="1" x14ac:dyDescent="0.3">
      <c r="A20" s="19" t="s">
        <v>47</v>
      </c>
      <c r="B20" s="10" t="s">
        <v>1</v>
      </c>
      <c r="C20" s="149"/>
      <c r="D20" s="11">
        <v>0.52083333333333337</v>
      </c>
      <c r="E20" s="11">
        <v>0.57291666666666663</v>
      </c>
      <c r="F20" s="12">
        <f t="shared" si="0"/>
        <v>1.2499999999999982</v>
      </c>
      <c r="G20" s="20" t="s">
        <v>20</v>
      </c>
      <c r="H20" s="20" t="s">
        <v>23</v>
      </c>
      <c r="I20" s="9" t="s">
        <v>37</v>
      </c>
      <c r="J20" s="9" t="s">
        <v>205</v>
      </c>
      <c r="K20" s="9"/>
    </row>
    <row r="21" spans="1:11" s="13" customFormat="1" ht="30" customHeight="1" thickBot="1" x14ac:dyDescent="0.3">
      <c r="A21" s="19" t="s">
        <v>47</v>
      </c>
      <c r="B21" s="10" t="s">
        <v>1</v>
      </c>
      <c r="C21" s="149"/>
      <c r="D21" s="11">
        <v>0.57291666666666663</v>
      </c>
      <c r="E21" s="11">
        <v>0.58333333333333337</v>
      </c>
      <c r="F21" s="12">
        <f t="shared" si="0"/>
        <v>0.25000000000000178</v>
      </c>
      <c r="G21" s="20" t="s">
        <v>19</v>
      </c>
      <c r="H21" s="20" t="s">
        <v>24</v>
      </c>
      <c r="I21" s="9" t="s">
        <v>33</v>
      </c>
      <c r="J21" s="9" t="s">
        <v>203</v>
      </c>
      <c r="K21" s="9"/>
    </row>
    <row r="22" spans="1:11" s="13" customFormat="1" ht="30" customHeight="1" thickBot="1" x14ac:dyDescent="0.3">
      <c r="A22" s="19" t="s">
        <v>47</v>
      </c>
      <c r="B22" s="10" t="s">
        <v>1</v>
      </c>
      <c r="C22" s="149"/>
      <c r="D22" s="11">
        <v>0.58333333333333337</v>
      </c>
      <c r="E22" s="11">
        <v>0.625</v>
      </c>
      <c r="F22" s="12">
        <f t="shared" si="0"/>
        <v>0.99999999999999911</v>
      </c>
      <c r="G22" s="20" t="s">
        <v>19</v>
      </c>
      <c r="H22" s="20" t="s">
        <v>24</v>
      </c>
      <c r="I22" s="9" t="s">
        <v>37</v>
      </c>
      <c r="J22" s="9" t="s">
        <v>204</v>
      </c>
      <c r="K22" s="9"/>
    </row>
    <row r="23" spans="1:11" s="13" customFormat="1" ht="30" customHeight="1" thickBot="1" x14ac:dyDescent="0.3">
      <c r="A23" s="19" t="s">
        <v>47</v>
      </c>
      <c r="B23" s="10" t="s">
        <v>1</v>
      </c>
      <c r="C23" s="149"/>
      <c r="D23" s="11">
        <v>0.625</v>
      </c>
      <c r="E23" s="11">
        <v>0.66666666666666663</v>
      </c>
      <c r="F23" s="12">
        <f t="shared" si="0"/>
        <v>0.99999999999999911</v>
      </c>
      <c r="G23" s="20" t="s">
        <v>19</v>
      </c>
      <c r="H23" s="20" t="s">
        <v>24</v>
      </c>
      <c r="I23" s="9" t="s">
        <v>33</v>
      </c>
      <c r="J23" s="9" t="s">
        <v>129</v>
      </c>
      <c r="K23" s="9"/>
    </row>
    <row r="24" spans="1:11" s="13" customFormat="1" ht="30" customHeight="1" thickBot="1" x14ac:dyDescent="0.3">
      <c r="A24" s="19" t="s">
        <v>47</v>
      </c>
      <c r="B24" s="10" t="s">
        <v>1</v>
      </c>
      <c r="C24" s="150"/>
      <c r="D24" s="11">
        <v>0.66666666666666663</v>
      </c>
      <c r="E24" s="11">
        <v>0.73263888888888884</v>
      </c>
      <c r="F24" s="12">
        <f t="shared" si="0"/>
        <v>1.583333333333333</v>
      </c>
      <c r="G24" s="20" t="s">
        <v>20</v>
      </c>
      <c r="H24" s="20" t="s">
        <v>24</v>
      </c>
      <c r="I24" s="9" t="s">
        <v>33</v>
      </c>
      <c r="J24" s="9" t="s">
        <v>106</v>
      </c>
      <c r="K24" s="9"/>
    </row>
    <row r="25" spans="1:11" s="13" customFormat="1" ht="30" customHeight="1" thickBot="1" x14ac:dyDescent="0.3">
      <c r="A25" s="19" t="s">
        <v>47</v>
      </c>
      <c r="B25" s="10" t="s">
        <v>1</v>
      </c>
      <c r="C25" s="148">
        <v>46058</v>
      </c>
      <c r="D25" s="11">
        <v>0.35416666666666669</v>
      </c>
      <c r="E25" s="11">
        <v>0.375</v>
      </c>
      <c r="F25" s="12">
        <f t="shared" si="0"/>
        <v>0.49999999999999956</v>
      </c>
      <c r="G25" s="20" t="s">
        <v>19</v>
      </c>
      <c r="H25" s="20" t="s">
        <v>24</v>
      </c>
      <c r="I25" s="9"/>
      <c r="J25" s="9" t="s">
        <v>206</v>
      </c>
      <c r="K25" s="9">
        <v>1162</v>
      </c>
    </row>
    <row r="26" spans="1:11" s="13" customFormat="1" ht="30" customHeight="1" thickBot="1" x14ac:dyDescent="0.3">
      <c r="A26" s="19" t="s">
        <v>47</v>
      </c>
      <c r="B26" s="10" t="s">
        <v>1</v>
      </c>
      <c r="C26" s="149"/>
      <c r="D26" s="11">
        <v>0.375</v>
      </c>
      <c r="E26" s="11">
        <v>0.39583333333333331</v>
      </c>
      <c r="F26" s="12">
        <f t="shared" si="0"/>
        <v>0.49999999999999956</v>
      </c>
      <c r="G26" s="20" t="s">
        <v>19</v>
      </c>
      <c r="H26" s="20" t="s">
        <v>24</v>
      </c>
      <c r="I26" s="9" t="s">
        <v>33</v>
      </c>
      <c r="J26" s="9" t="s">
        <v>206</v>
      </c>
      <c r="K26" s="9"/>
    </row>
    <row r="27" spans="1:11" s="13" customFormat="1" ht="30" customHeight="1" thickBot="1" x14ac:dyDescent="0.3">
      <c r="A27" s="19" t="s">
        <v>47</v>
      </c>
      <c r="B27" s="10" t="s">
        <v>1</v>
      </c>
      <c r="C27" s="149"/>
      <c r="D27" s="11">
        <v>0.39583333333333331</v>
      </c>
      <c r="E27" s="11">
        <v>0.4375</v>
      </c>
      <c r="F27" s="12">
        <f t="shared" si="0"/>
        <v>1.0000000000000004</v>
      </c>
      <c r="G27" s="20" t="s">
        <v>19</v>
      </c>
      <c r="H27" s="20" t="s">
        <v>23</v>
      </c>
      <c r="I27" s="9" t="s">
        <v>37</v>
      </c>
      <c r="J27" s="9" t="s">
        <v>206</v>
      </c>
      <c r="K27" s="9"/>
    </row>
    <row r="28" spans="1:11" s="13" customFormat="1" ht="30" customHeight="1" thickBot="1" x14ac:dyDescent="0.3">
      <c r="A28" s="19" t="s">
        <v>47</v>
      </c>
      <c r="B28" s="10" t="s">
        <v>1</v>
      </c>
      <c r="C28" s="149"/>
      <c r="D28" s="11">
        <v>0.4375</v>
      </c>
      <c r="E28" s="11">
        <v>0.45833333333333331</v>
      </c>
      <c r="F28" s="12">
        <f t="shared" si="0"/>
        <v>0.49999999999999956</v>
      </c>
      <c r="G28" s="20" t="s">
        <v>20</v>
      </c>
      <c r="H28" s="20" t="s">
        <v>24</v>
      </c>
      <c r="I28" s="9" t="s">
        <v>33</v>
      </c>
      <c r="J28" s="9" t="s">
        <v>206</v>
      </c>
      <c r="K28" s="9"/>
    </row>
    <row r="29" spans="1:11" s="13" customFormat="1" ht="30" customHeight="1" thickBot="1" x14ac:dyDescent="0.3">
      <c r="A29" s="19" t="s">
        <v>47</v>
      </c>
      <c r="B29" s="10" t="s">
        <v>1</v>
      </c>
      <c r="C29" s="149"/>
      <c r="D29" s="11">
        <v>0.45833333333333331</v>
      </c>
      <c r="E29" s="11">
        <v>0.5625</v>
      </c>
      <c r="F29" s="12">
        <f t="shared" si="0"/>
        <v>2.5000000000000004</v>
      </c>
      <c r="G29" s="20" t="s">
        <v>19</v>
      </c>
      <c r="H29" s="20" t="s">
        <v>23</v>
      </c>
      <c r="I29" s="9" t="s">
        <v>37</v>
      </c>
      <c r="J29" s="9" t="s">
        <v>206</v>
      </c>
      <c r="K29" s="9">
        <v>1162</v>
      </c>
    </row>
    <row r="30" spans="1:11" s="13" customFormat="1" ht="30" customHeight="1" thickBot="1" x14ac:dyDescent="0.3">
      <c r="A30" s="19" t="s">
        <v>47</v>
      </c>
      <c r="B30" s="10" t="s">
        <v>1</v>
      </c>
      <c r="C30" s="149"/>
      <c r="D30" s="11">
        <v>0.58333333333333337</v>
      </c>
      <c r="E30" s="11">
        <v>0.60069444444444442</v>
      </c>
      <c r="F30" s="12">
        <f t="shared" si="0"/>
        <v>0.41666666666666519</v>
      </c>
      <c r="G30" s="20" t="s">
        <v>19</v>
      </c>
      <c r="H30" s="20" t="s">
        <v>24</v>
      </c>
      <c r="I30" s="9"/>
      <c r="J30" s="9" t="s">
        <v>206</v>
      </c>
      <c r="K30" s="9"/>
    </row>
    <row r="31" spans="1:11" s="13" customFormat="1" ht="30" customHeight="1" thickBot="1" x14ac:dyDescent="0.3">
      <c r="A31" s="19" t="s">
        <v>47</v>
      </c>
      <c r="B31" s="10" t="s">
        <v>1</v>
      </c>
      <c r="C31" s="150"/>
      <c r="D31" s="11">
        <v>0.60069444444444442</v>
      </c>
      <c r="E31" s="11">
        <v>0.6875</v>
      </c>
      <c r="F31" s="12">
        <f t="shared" si="0"/>
        <v>2.0833333333333339</v>
      </c>
      <c r="G31" s="20" t="s">
        <v>19</v>
      </c>
      <c r="H31" s="20" t="s">
        <v>24</v>
      </c>
      <c r="I31" s="9" t="s">
        <v>37</v>
      </c>
      <c r="J31" s="9" t="s">
        <v>206</v>
      </c>
      <c r="K31" s="9"/>
    </row>
    <row r="32" spans="1:11" s="13" customFormat="1" ht="30" customHeight="1" thickBot="1" x14ac:dyDescent="0.3">
      <c r="A32" s="19" t="s">
        <v>47</v>
      </c>
      <c r="B32" s="10" t="s">
        <v>1</v>
      </c>
      <c r="C32" s="148">
        <v>46059</v>
      </c>
      <c r="D32" s="11">
        <v>0.35416666666666669</v>
      </c>
      <c r="E32" s="11">
        <v>0.45833333333333331</v>
      </c>
      <c r="F32" s="12">
        <f t="shared" si="0"/>
        <v>2.4999999999999991</v>
      </c>
      <c r="G32" s="20" t="s">
        <v>19</v>
      </c>
      <c r="H32" s="20" t="s">
        <v>23</v>
      </c>
      <c r="I32" s="9" t="s">
        <v>32</v>
      </c>
      <c r="J32" s="9"/>
      <c r="K32" s="9">
        <v>1216</v>
      </c>
    </row>
    <row r="33" spans="1:11" s="13" customFormat="1" ht="30" customHeight="1" thickBot="1" x14ac:dyDescent="0.3">
      <c r="A33" s="19" t="s">
        <v>47</v>
      </c>
      <c r="B33" s="10" t="s">
        <v>1</v>
      </c>
      <c r="C33" s="149"/>
      <c r="D33" s="11">
        <v>0.45833333333333331</v>
      </c>
      <c r="E33" s="11">
        <v>0.47916666666666669</v>
      </c>
      <c r="F33" s="12">
        <f t="shared" si="0"/>
        <v>0.50000000000000089</v>
      </c>
      <c r="G33" s="20" t="s">
        <v>19</v>
      </c>
      <c r="H33" s="20" t="s">
        <v>24</v>
      </c>
      <c r="I33" s="9" t="s">
        <v>33</v>
      </c>
      <c r="J33" s="9" t="s">
        <v>207</v>
      </c>
      <c r="K33" s="9"/>
    </row>
    <row r="34" spans="1:11" s="13" customFormat="1" ht="30" customHeight="1" thickBot="1" x14ac:dyDescent="0.3">
      <c r="A34" s="19" t="s">
        <v>47</v>
      </c>
      <c r="B34" s="10" t="s">
        <v>1</v>
      </c>
      <c r="C34" s="149"/>
      <c r="D34" s="11">
        <v>0.47916666666666669</v>
      </c>
      <c r="E34" s="11">
        <v>0.52083333333333337</v>
      </c>
      <c r="F34" s="12">
        <f t="shared" si="0"/>
        <v>1.0000000000000004</v>
      </c>
      <c r="G34" s="20" t="s">
        <v>19</v>
      </c>
      <c r="H34" s="20" t="s">
        <v>24</v>
      </c>
      <c r="I34" s="9" t="s">
        <v>33</v>
      </c>
      <c r="J34" s="9" t="s">
        <v>107</v>
      </c>
      <c r="K34" s="9"/>
    </row>
    <row r="35" spans="1:11" s="13" customFormat="1" ht="30" customHeight="1" thickBot="1" x14ac:dyDescent="0.3">
      <c r="A35" s="19" t="s">
        <v>47</v>
      </c>
      <c r="B35" s="10" t="s">
        <v>1</v>
      </c>
      <c r="C35" s="149"/>
      <c r="D35" s="11">
        <v>0.52083333333333337</v>
      </c>
      <c r="E35" s="11">
        <v>0.5625</v>
      </c>
      <c r="F35" s="12">
        <f t="shared" si="0"/>
        <v>0.99999999999999911</v>
      </c>
      <c r="G35" s="20" t="s">
        <v>19</v>
      </c>
      <c r="H35" s="20" t="s">
        <v>23</v>
      </c>
      <c r="I35" s="9" t="s">
        <v>37</v>
      </c>
      <c r="J35" s="9"/>
      <c r="K35" s="9">
        <v>1222</v>
      </c>
    </row>
    <row r="36" spans="1:11" s="13" customFormat="1" ht="30" customHeight="1" thickBot="1" x14ac:dyDescent="0.3">
      <c r="A36" s="19" t="s">
        <v>47</v>
      </c>
      <c r="B36" s="10" t="s">
        <v>1</v>
      </c>
      <c r="C36" s="149"/>
      <c r="D36" s="11">
        <v>0.60416666666666663</v>
      </c>
      <c r="E36" s="11">
        <v>0.64583333333333337</v>
      </c>
      <c r="F36" s="12">
        <f t="shared" si="0"/>
        <v>1.0000000000000018</v>
      </c>
      <c r="G36" s="20" t="s">
        <v>19</v>
      </c>
      <c r="H36" s="20" t="s">
        <v>23</v>
      </c>
      <c r="I36" s="9" t="s">
        <v>35</v>
      </c>
      <c r="J36" s="9"/>
      <c r="K36" s="9">
        <v>1216</v>
      </c>
    </row>
    <row r="37" spans="1:11" s="13" customFormat="1" ht="30" customHeight="1" thickBot="1" x14ac:dyDescent="0.3">
      <c r="A37" s="19" t="s">
        <v>47</v>
      </c>
      <c r="B37" s="10" t="s">
        <v>1</v>
      </c>
      <c r="C37" s="150"/>
      <c r="D37" s="11">
        <v>0.66666666666666663</v>
      </c>
      <c r="E37" s="11">
        <v>0.72916666666666663</v>
      </c>
      <c r="F37" s="12">
        <f t="shared" si="0"/>
        <v>1.5</v>
      </c>
      <c r="G37" s="20" t="s">
        <v>20</v>
      </c>
      <c r="H37" s="20" t="s">
        <v>24</v>
      </c>
      <c r="I37" s="9" t="s">
        <v>33</v>
      </c>
      <c r="J37" s="9" t="s">
        <v>106</v>
      </c>
      <c r="K37" s="9"/>
    </row>
    <row r="38" spans="1:11" s="13" customFormat="1" ht="30" customHeight="1" thickBot="1" x14ac:dyDescent="0.3">
      <c r="A38" s="19" t="s">
        <v>47</v>
      </c>
      <c r="B38" s="10" t="s">
        <v>1</v>
      </c>
      <c r="C38" s="31">
        <v>46060</v>
      </c>
      <c r="D38" s="32">
        <v>0.35416666666666669</v>
      </c>
      <c r="E38" s="32">
        <v>0.6875</v>
      </c>
      <c r="F38" s="33">
        <f t="shared" si="0"/>
        <v>8</v>
      </c>
      <c r="G38" s="34" t="s">
        <v>21</v>
      </c>
      <c r="H38" s="34" t="s">
        <v>30</v>
      </c>
      <c r="I38" s="35"/>
      <c r="J38" s="35" t="s">
        <v>71</v>
      </c>
      <c r="K38" s="35"/>
    </row>
    <row r="39" spans="1:11" s="13" customFormat="1" ht="30" customHeight="1" thickBot="1" x14ac:dyDescent="0.3">
      <c r="A39" s="19" t="s">
        <v>47</v>
      </c>
      <c r="B39" s="10" t="s">
        <v>1</v>
      </c>
      <c r="C39" s="31">
        <v>46061</v>
      </c>
      <c r="D39" s="32">
        <v>0.35416666666666669</v>
      </c>
      <c r="E39" s="32">
        <v>0.6875</v>
      </c>
      <c r="F39" s="33">
        <f t="shared" si="0"/>
        <v>8</v>
      </c>
      <c r="G39" s="34" t="s">
        <v>21</v>
      </c>
      <c r="H39" s="34" t="s">
        <v>30</v>
      </c>
      <c r="I39" s="35"/>
      <c r="J39" s="35" t="s">
        <v>71</v>
      </c>
      <c r="K39" s="35"/>
    </row>
    <row r="40" spans="1:11" s="13" customFormat="1" ht="30" customHeight="1" thickBot="1" x14ac:dyDescent="0.3">
      <c r="A40" s="19" t="s">
        <v>47</v>
      </c>
      <c r="B40" s="10" t="s">
        <v>1</v>
      </c>
      <c r="C40" s="37">
        <v>46062</v>
      </c>
      <c r="D40" s="38">
        <v>0.35416666666666669</v>
      </c>
      <c r="E40" s="38">
        <v>0.6875</v>
      </c>
      <c r="F40" s="39">
        <f t="shared" si="0"/>
        <v>8</v>
      </c>
      <c r="G40" s="40" t="s">
        <v>21</v>
      </c>
      <c r="H40" s="40" t="s">
        <v>29</v>
      </c>
      <c r="I40" s="41"/>
      <c r="J40" s="41" t="s">
        <v>193</v>
      </c>
      <c r="K40" s="41"/>
    </row>
    <row r="41" spans="1:11" s="13" customFormat="1" ht="30" customHeight="1" thickBot="1" x14ac:dyDescent="0.3">
      <c r="A41" s="19" t="s">
        <v>47</v>
      </c>
      <c r="B41" s="10" t="s">
        <v>1</v>
      </c>
      <c r="C41" s="37">
        <v>46063</v>
      </c>
      <c r="D41" s="38">
        <v>0.35416666666666669</v>
      </c>
      <c r="E41" s="38">
        <v>0.6875</v>
      </c>
      <c r="F41" s="39">
        <f>+(E41-D41)*24</f>
        <v>8</v>
      </c>
      <c r="G41" s="40" t="s">
        <v>21</v>
      </c>
      <c r="H41" s="40" t="s">
        <v>29</v>
      </c>
      <c r="I41" s="41"/>
      <c r="J41" s="41" t="s">
        <v>193</v>
      </c>
      <c r="K41" s="41"/>
    </row>
    <row r="42" spans="1:11" s="13" customFormat="1" ht="30" customHeight="1" thickBot="1" x14ac:dyDescent="0.3">
      <c r="A42" s="19" t="s">
        <v>47</v>
      </c>
      <c r="B42" s="10"/>
      <c r="C42" s="148">
        <v>46064</v>
      </c>
      <c r="D42" s="11">
        <v>0.38541666666666669</v>
      </c>
      <c r="E42" s="11">
        <v>0.4375</v>
      </c>
      <c r="F42" s="12">
        <f t="shared" ref="F42:F64" si="1">+(E42-D42)*24</f>
        <v>1.2499999999999996</v>
      </c>
      <c r="G42" s="20" t="s">
        <v>22</v>
      </c>
      <c r="H42" s="20" t="s">
        <v>24</v>
      </c>
      <c r="I42" s="9"/>
      <c r="J42" s="9" t="s">
        <v>208</v>
      </c>
      <c r="K42" s="9"/>
    </row>
    <row r="43" spans="1:11" s="13" customFormat="1" ht="30" customHeight="1" thickBot="1" x14ac:dyDescent="0.3">
      <c r="A43" s="19" t="s">
        <v>47</v>
      </c>
      <c r="B43" s="10"/>
      <c r="C43" s="149"/>
      <c r="D43" s="11">
        <v>0.4375</v>
      </c>
      <c r="E43" s="11">
        <v>0.46875</v>
      </c>
      <c r="F43" s="12">
        <f t="shared" si="1"/>
        <v>0.75</v>
      </c>
      <c r="G43" s="20" t="s">
        <v>19</v>
      </c>
      <c r="H43" s="20" t="s">
        <v>24</v>
      </c>
      <c r="I43" s="9" t="s">
        <v>33</v>
      </c>
      <c r="J43" s="9" t="s">
        <v>209</v>
      </c>
      <c r="K43" s="9">
        <v>1222</v>
      </c>
    </row>
    <row r="44" spans="1:11" s="13" customFormat="1" ht="30" customHeight="1" thickBot="1" x14ac:dyDescent="0.3">
      <c r="A44" s="19" t="s">
        <v>47</v>
      </c>
      <c r="B44" s="10"/>
      <c r="C44" s="149"/>
      <c r="D44" s="11">
        <v>0.46875</v>
      </c>
      <c r="E44" s="11">
        <v>0.51041666666666663</v>
      </c>
      <c r="F44" s="12">
        <f t="shared" si="1"/>
        <v>0.99999999999999911</v>
      </c>
      <c r="G44" s="20" t="s">
        <v>20</v>
      </c>
      <c r="H44" s="20" t="s">
        <v>23</v>
      </c>
      <c r="I44" s="9" t="s">
        <v>37</v>
      </c>
      <c r="J44" s="9" t="s">
        <v>210</v>
      </c>
      <c r="K44" s="9"/>
    </row>
    <row r="45" spans="1:11" s="13" customFormat="1" ht="30" customHeight="1" thickBot="1" x14ac:dyDescent="0.3">
      <c r="A45" s="19" t="s">
        <v>47</v>
      </c>
      <c r="B45" s="10"/>
      <c r="C45" s="149"/>
      <c r="D45" s="11">
        <v>0.51041666666666663</v>
      </c>
      <c r="E45" s="11">
        <v>0.625</v>
      </c>
      <c r="F45" s="12">
        <f t="shared" si="1"/>
        <v>2.7500000000000009</v>
      </c>
      <c r="G45" s="20" t="s">
        <v>20</v>
      </c>
      <c r="H45" s="20" t="s">
        <v>23</v>
      </c>
      <c r="I45" s="9" t="s">
        <v>32</v>
      </c>
      <c r="J45" s="9" t="s">
        <v>211</v>
      </c>
      <c r="K45" s="9"/>
    </row>
    <row r="46" spans="1:11" s="13" customFormat="1" ht="30" customHeight="1" thickBot="1" x14ac:dyDescent="0.3">
      <c r="A46" s="19" t="s">
        <v>47</v>
      </c>
      <c r="B46" s="10"/>
      <c r="C46" s="149"/>
      <c r="D46" s="11">
        <v>0.625</v>
      </c>
      <c r="E46" s="11">
        <v>0.66666666666666663</v>
      </c>
      <c r="F46" s="12">
        <f t="shared" si="1"/>
        <v>0.99999999999999911</v>
      </c>
      <c r="G46" s="20" t="s">
        <v>19</v>
      </c>
      <c r="H46" s="20" t="s">
        <v>24</v>
      </c>
      <c r="I46" s="9" t="s">
        <v>33</v>
      </c>
      <c r="J46" s="9" t="s">
        <v>129</v>
      </c>
      <c r="K46" s="9"/>
    </row>
    <row r="47" spans="1:11" s="13" customFormat="1" ht="30" customHeight="1" thickBot="1" x14ac:dyDescent="0.3">
      <c r="A47" s="19" t="s">
        <v>47</v>
      </c>
      <c r="B47" s="10"/>
      <c r="C47" s="150"/>
      <c r="D47" s="11">
        <v>0.66666666666666663</v>
      </c>
      <c r="E47" s="11">
        <v>0.72916666666666663</v>
      </c>
      <c r="F47" s="12">
        <f t="shared" si="1"/>
        <v>1.5</v>
      </c>
      <c r="G47" s="20" t="s">
        <v>20</v>
      </c>
      <c r="H47" s="20" t="s">
        <v>24</v>
      </c>
      <c r="I47" s="9" t="s">
        <v>33</v>
      </c>
      <c r="J47" s="9" t="s">
        <v>106</v>
      </c>
      <c r="K47" s="9"/>
    </row>
    <row r="48" spans="1:11" s="13" customFormat="1" ht="30" customHeight="1" thickBot="1" x14ac:dyDescent="0.3">
      <c r="A48" s="19" t="s">
        <v>47</v>
      </c>
      <c r="B48" s="10"/>
      <c r="C48" s="148">
        <v>46065</v>
      </c>
      <c r="D48" s="11">
        <v>0.35416666666666669</v>
      </c>
      <c r="E48" s="11">
        <v>0.375</v>
      </c>
      <c r="F48" s="12">
        <f t="shared" si="1"/>
        <v>0.49999999999999956</v>
      </c>
      <c r="G48" s="20" t="s">
        <v>22</v>
      </c>
      <c r="H48" s="20" t="s">
        <v>24</v>
      </c>
      <c r="I48" s="9"/>
      <c r="J48" s="9" t="s">
        <v>213</v>
      </c>
      <c r="K48" s="9"/>
    </row>
    <row r="49" spans="1:11" s="13" customFormat="1" ht="30" customHeight="1" thickBot="1" x14ac:dyDescent="0.3">
      <c r="A49" s="19" t="s">
        <v>47</v>
      </c>
      <c r="B49" s="10"/>
      <c r="C49" s="149"/>
      <c r="D49" s="11">
        <v>0.375</v>
      </c>
      <c r="E49" s="11">
        <v>0.4375</v>
      </c>
      <c r="F49" s="12">
        <f t="shared" si="1"/>
        <v>1.5</v>
      </c>
      <c r="G49" s="20" t="s">
        <v>19</v>
      </c>
      <c r="H49" s="20" t="s">
        <v>24</v>
      </c>
      <c r="I49" s="9" t="s">
        <v>33</v>
      </c>
      <c r="J49" s="9" t="s">
        <v>212</v>
      </c>
      <c r="K49" s="9"/>
    </row>
    <row r="50" spans="1:11" s="13" customFormat="1" ht="30" customHeight="1" thickBot="1" x14ac:dyDescent="0.3">
      <c r="A50" s="19" t="s">
        <v>47</v>
      </c>
      <c r="B50" s="10"/>
      <c r="C50" s="149"/>
      <c r="D50" s="11">
        <v>0.4375</v>
      </c>
      <c r="E50" s="11">
        <v>0.47916666666666669</v>
      </c>
      <c r="F50" s="12">
        <f t="shared" si="1"/>
        <v>1.0000000000000004</v>
      </c>
      <c r="G50" s="20" t="s">
        <v>22</v>
      </c>
      <c r="H50" s="20" t="s">
        <v>24</v>
      </c>
      <c r="I50" s="9"/>
      <c r="J50" s="9" t="s">
        <v>214</v>
      </c>
      <c r="K50" s="9"/>
    </row>
    <row r="51" spans="1:11" s="13" customFormat="1" ht="30" customHeight="1" thickBot="1" x14ac:dyDescent="0.3">
      <c r="A51" s="19" t="s">
        <v>47</v>
      </c>
      <c r="B51" s="10"/>
      <c r="C51" s="149"/>
      <c r="D51" s="11">
        <v>0.49305555555555558</v>
      </c>
      <c r="E51" s="11">
        <v>0.52083333333333337</v>
      </c>
      <c r="F51" s="12">
        <f t="shared" si="1"/>
        <v>0.66666666666666696</v>
      </c>
      <c r="G51" s="20" t="s">
        <v>22</v>
      </c>
      <c r="H51" s="20" t="s">
        <v>24</v>
      </c>
      <c r="I51" s="9"/>
      <c r="J51" s="9" t="s">
        <v>215</v>
      </c>
      <c r="K51" s="9"/>
    </row>
    <row r="52" spans="1:11" s="13" customFormat="1" ht="30" customHeight="1" thickBot="1" x14ac:dyDescent="0.3">
      <c r="A52" s="19" t="s">
        <v>47</v>
      </c>
      <c r="B52" s="10"/>
      <c r="C52" s="149"/>
      <c r="D52" s="11">
        <v>0.52083333333333337</v>
      </c>
      <c r="E52" s="11">
        <v>0.64583333333333337</v>
      </c>
      <c r="F52" s="12">
        <f t="shared" si="1"/>
        <v>3</v>
      </c>
      <c r="G52" s="20" t="s">
        <v>19</v>
      </c>
      <c r="H52" s="20" t="s">
        <v>23</v>
      </c>
      <c r="I52" s="9" t="s">
        <v>33</v>
      </c>
      <c r="J52" s="9" t="s">
        <v>216</v>
      </c>
      <c r="K52" s="9"/>
    </row>
    <row r="53" spans="1:11" s="13" customFormat="1" ht="30" customHeight="1" thickBot="1" x14ac:dyDescent="0.3">
      <c r="A53" s="19" t="s">
        <v>47</v>
      </c>
      <c r="B53" s="10"/>
      <c r="C53" s="150"/>
      <c r="D53" s="11">
        <v>0.65625</v>
      </c>
      <c r="E53" s="11">
        <v>0.70833333333333337</v>
      </c>
      <c r="F53" s="12">
        <f t="shared" si="1"/>
        <v>1.2500000000000009</v>
      </c>
      <c r="G53" s="20" t="s">
        <v>22</v>
      </c>
      <c r="H53" s="20" t="s">
        <v>24</v>
      </c>
      <c r="I53" s="9"/>
      <c r="J53" s="9" t="s">
        <v>217</v>
      </c>
      <c r="K53" s="9"/>
    </row>
    <row r="54" spans="1:11" s="13" customFormat="1" ht="30" customHeight="1" thickBot="1" x14ac:dyDescent="0.3">
      <c r="A54" s="19" t="s">
        <v>47</v>
      </c>
      <c r="B54" s="10"/>
      <c r="C54" s="14">
        <v>46066</v>
      </c>
      <c r="D54" s="11">
        <v>0.3611111111111111</v>
      </c>
      <c r="E54" s="11">
        <v>0.41666666666666669</v>
      </c>
      <c r="F54" s="12">
        <f t="shared" si="1"/>
        <v>1.3333333333333339</v>
      </c>
      <c r="G54" s="20" t="s">
        <v>22</v>
      </c>
      <c r="H54" s="20" t="s">
        <v>23</v>
      </c>
      <c r="I54" s="9" t="s">
        <v>32</v>
      </c>
      <c r="J54" s="9" t="s">
        <v>218</v>
      </c>
      <c r="K54" s="9"/>
    </row>
    <row r="55" spans="1:11" s="13" customFormat="1" ht="30" customHeight="1" thickBot="1" x14ac:dyDescent="0.3">
      <c r="A55" s="19" t="s">
        <v>47</v>
      </c>
      <c r="B55" s="10"/>
      <c r="C55" s="14">
        <v>46066</v>
      </c>
      <c r="D55" s="11">
        <v>0.41666666666666669</v>
      </c>
      <c r="E55" s="11">
        <v>0.4375</v>
      </c>
      <c r="F55" s="12">
        <f t="shared" si="1"/>
        <v>0.49999999999999956</v>
      </c>
      <c r="G55" s="20" t="s">
        <v>19</v>
      </c>
      <c r="H55" s="20" t="s">
        <v>24</v>
      </c>
      <c r="I55" s="9" t="s">
        <v>33</v>
      </c>
      <c r="J55" s="9" t="s">
        <v>107</v>
      </c>
      <c r="K55" s="9"/>
    </row>
    <row r="56" spans="1:11" s="13" customFormat="1" ht="30" customHeight="1" thickBot="1" x14ac:dyDescent="0.3">
      <c r="A56" s="19" t="s">
        <v>47</v>
      </c>
      <c r="B56" s="10"/>
      <c r="C56" s="14">
        <v>46066</v>
      </c>
      <c r="D56" s="11">
        <v>0.4375</v>
      </c>
      <c r="E56" s="11">
        <v>0.45833333333333331</v>
      </c>
      <c r="F56" s="12">
        <f t="shared" si="1"/>
        <v>0.49999999999999956</v>
      </c>
      <c r="G56" s="20" t="s">
        <v>19</v>
      </c>
      <c r="H56" s="20" t="s">
        <v>24</v>
      </c>
      <c r="I56" s="9" t="s">
        <v>33</v>
      </c>
      <c r="J56" s="9" t="s">
        <v>219</v>
      </c>
      <c r="K56" s="9"/>
    </row>
    <row r="57" spans="1:11" s="13" customFormat="1" ht="30" customHeight="1" thickBot="1" x14ac:dyDescent="0.3">
      <c r="A57" s="19" t="s">
        <v>47</v>
      </c>
      <c r="B57" s="10"/>
      <c r="C57" s="14">
        <v>46066</v>
      </c>
      <c r="D57" s="11">
        <v>0.45833333333333331</v>
      </c>
      <c r="E57" s="11">
        <v>0.47916666666666669</v>
      </c>
      <c r="F57" s="12">
        <f t="shared" si="1"/>
        <v>0.50000000000000089</v>
      </c>
      <c r="G57" s="20" t="s">
        <v>19</v>
      </c>
      <c r="H57" s="20" t="s">
        <v>24</v>
      </c>
      <c r="I57" s="9" t="s">
        <v>33</v>
      </c>
      <c r="J57" s="9" t="s">
        <v>207</v>
      </c>
      <c r="K57" s="9"/>
    </row>
    <row r="58" spans="1:11" s="13" customFormat="1" ht="30" customHeight="1" thickBot="1" x14ac:dyDescent="0.3">
      <c r="A58" s="19" t="s">
        <v>47</v>
      </c>
      <c r="B58" s="10"/>
      <c r="C58" s="14">
        <v>46066</v>
      </c>
      <c r="D58" s="11">
        <v>0.47916666666666669</v>
      </c>
      <c r="E58" s="11">
        <v>0.53125</v>
      </c>
      <c r="F58" s="12">
        <f t="shared" si="1"/>
        <v>1.2499999999999996</v>
      </c>
      <c r="G58" s="20" t="s">
        <v>19</v>
      </c>
      <c r="H58" s="20" t="s">
        <v>24</v>
      </c>
      <c r="I58" s="9" t="s">
        <v>33</v>
      </c>
      <c r="J58" s="9" t="s">
        <v>198</v>
      </c>
      <c r="K58" s="9"/>
    </row>
    <row r="59" spans="1:11" s="13" customFormat="1" ht="30" customHeight="1" thickBot="1" x14ac:dyDescent="0.3">
      <c r="A59" s="19" t="s">
        <v>47</v>
      </c>
      <c r="B59" s="10"/>
      <c r="C59" s="14">
        <v>46066</v>
      </c>
      <c r="D59" s="11">
        <v>0.55208333333333337</v>
      </c>
      <c r="E59" s="11">
        <v>0.76041666666666663</v>
      </c>
      <c r="F59" s="12">
        <f t="shared" si="1"/>
        <v>4.9999999999999982</v>
      </c>
      <c r="G59" s="20" t="s">
        <v>22</v>
      </c>
      <c r="H59" s="20" t="s">
        <v>23</v>
      </c>
      <c r="I59" s="9" t="s">
        <v>32</v>
      </c>
      <c r="J59" s="9" t="s">
        <v>218</v>
      </c>
      <c r="K59" s="9"/>
    </row>
    <row r="60" spans="1:11" s="13" customFormat="1" ht="30" customHeight="1" thickBot="1" x14ac:dyDescent="0.3">
      <c r="A60" s="19" t="s">
        <v>47</v>
      </c>
      <c r="B60" s="10"/>
      <c r="C60" s="31">
        <v>46067</v>
      </c>
      <c r="D60" s="32">
        <v>0.35416666666666669</v>
      </c>
      <c r="E60" s="32">
        <v>0.6875</v>
      </c>
      <c r="F60" s="33">
        <f t="shared" si="1"/>
        <v>8</v>
      </c>
      <c r="G60" s="34" t="s">
        <v>21</v>
      </c>
      <c r="H60" s="34" t="s">
        <v>30</v>
      </c>
      <c r="I60" s="35"/>
      <c r="J60" s="35" t="s">
        <v>71</v>
      </c>
      <c r="K60" s="35"/>
    </row>
    <row r="61" spans="1:11" s="13" customFormat="1" ht="30" customHeight="1" thickBot="1" x14ac:dyDescent="0.3">
      <c r="A61" s="19"/>
      <c r="B61" s="10"/>
      <c r="C61" s="31">
        <v>46068</v>
      </c>
      <c r="D61" s="32">
        <v>0.55208333333333337</v>
      </c>
      <c r="E61" s="32">
        <v>0.75</v>
      </c>
      <c r="F61" s="33">
        <f t="shared" si="1"/>
        <v>4.7499999999999991</v>
      </c>
      <c r="G61" s="34" t="s">
        <v>22</v>
      </c>
      <c r="H61" s="20" t="s">
        <v>23</v>
      </c>
      <c r="I61" s="9" t="s">
        <v>32</v>
      </c>
      <c r="J61" s="35" t="s">
        <v>218</v>
      </c>
      <c r="K61" s="35"/>
    </row>
    <row r="62" spans="1:11" s="13" customFormat="1" ht="30" customHeight="1" thickBot="1" x14ac:dyDescent="0.3">
      <c r="A62" s="19"/>
      <c r="B62" s="10"/>
      <c r="C62" s="31">
        <v>46068</v>
      </c>
      <c r="D62" s="32">
        <v>0.90625</v>
      </c>
      <c r="E62" s="32">
        <v>0.99930555555555556</v>
      </c>
      <c r="F62" s="33">
        <f t="shared" si="1"/>
        <v>2.2333333333333334</v>
      </c>
      <c r="G62" s="34" t="s">
        <v>22</v>
      </c>
      <c r="H62" s="20" t="s">
        <v>23</v>
      </c>
      <c r="I62" s="9" t="s">
        <v>32</v>
      </c>
      <c r="J62" s="35" t="s">
        <v>218</v>
      </c>
      <c r="K62" s="35"/>
    </row>
    <row r="63" spans="1:11" s="13" customFormat="1" ht="30" customHeight="1" thickBot="1" x14ac:dyDescent="0.3">
      <c r="A63" s="19" t="s">
        <v>47</v>
      </c>
      <c r="B63" s="10"/>
      <c r="C63" s="31">
        <v>46068</v>
      </c>
      <c r="D63" s="32">
        <v>0.35416666666666669</v>
      </c>
      <c r="E63" s="32">
        <v>0.6875</v>
      </c>
      <c r="F63" s="33">
        <f t="shared" si="1"/>
        <v>8</v>
      </c>
      <c r="G63" s="34" t="s">
        <v>21</v>
      </c>
      <c r="H63" s="34" t="s">
        <v>30</v>
      </c>
      <c r="I63" s="35"/>
      <c r="J63" s="35" t="s">
        <v>71</v>
      </c>
      <c r="K63" s="35"/>
    </row>
    <row r="64" spans="1:11" s="13" customFormat="1" ht="30" customHeight="1" thickBot="1" x14ac:dyDescent="0.3">
      <c r="A64" s="19" t="s">
        <v>47</v>
      </c>
      <c r="B64" s="10"/>
      <c r="C64" s="14">
        <v>46069</v>
      </c>
      <c r="D64" s="11">
        <v>0</v>
      </c>
      <c r="E64" s="11">
        <v>4.1666666666666664E-2</v>
      </c>
      <c r="F64" s="12">
        <f t="shared" si="1"/>
        <v>1</v>
      </c>
      <c r="G64" s="20" t="s">
        <v>22</v>
      </c>
      <c r="H64" s="20" t="s">
        <v>23</v>
      </c>
      <c r="I64" s="9" t="s">
        <v>32</v>
      </c>
      <c r="J64" s="9" t="s">
        <v>218</v>
      </c>
      <c r="K64" s="9"/>
    </row>
    <row r="65" spans="1:11" s="13" customFormat="1" ht="30" customHeight="1" thickBot="1" x14ac:dyDescent="0.3">
      <c r="A65" s="19" t="s">
        <v>47</v>
      </c>
      <c r="B65" s="10"/>
      <c r="C65" s="14">
        <v>46069</v>
      </c>
      <c r="D65" s="11">
        <v>0.40277777777777779</v>
      </c>
      <c r="E65" s="11">
        <v>0.41666666666666669</v>
      </c>
      <c r="F65" s="12">
        <f>+(E65-D65)*24</f>
        <v>0.33333333333333348</v>
      </c>
      <c r="G65" s="20" t="s">
        <v>22</v>
      </c>
      <c r="H65" s="20" t="s">
        <v>24</v>
      </c>
      <c r="I65" s="9"/>
      <c r="J65" s="9" t="s">
        <v>208</v>
      </c>
      <c r="K65" s="9"/>
    </row>
    <row r="66" spans="1:11" s="13" customFormat="1" ht="30" customHeight="1" thickBot="1" x14ac:dyDescent="0.3">
      <c r="A66" s="19" t="s">
        <v>47</v>
      </c>
      <c r="B66" s="10"/>
      <c r="C66" s="14">
        <v>46069</v>
      </c>
      <c r="D66" s="11">
        <v>0.41666666666666669</v>
      </c>
      <c r="E66" s="11">
        <v>0.52777777777777779</v>
      </c>
      <c r="F66" s="12">
        <f>+(E66-D66)*24</f>
        <v>2.6666666666666665</v>
      </c>
      <c r="G66" s="20" t="s">
        <v>22</v>
      </c>
      <c r="H66" s="20" t="s">
        <v>23</v>
      </c>
      <c r="I66" s="9" t="s">
        <v>32</v>
      </c>
      <c r="J66" s="9" t="s">
        <v>218</v>
      </c>
      <c r="K66" s="9"/>
    </row>
    <row r="67" spans="1:11" s="13" customFormat="1" ht="30" customHeight="1" thickBot="1" x14ac:dyDescent="0.3">
      <c r="A67" s="19" t="s">
        <v>47</v>
      </c>
      <c r="B67" s="10"/>
      <c r="C67" s="14">
        <v>46069</v>
      </c>
      <c r="D67" s="11">
        <v>0.54166666666666663</v>
      </c>
      <c r="E67" s="11">
        <v>0.60416666666666663</v>
      </c>
      <c r="F67" s="12">
        <f t="shared" ref="F67:F104" si="2">+(E67-D67)*24</f>
        <v>1.5</v>
      </c>
      <c r="G67" s="20" t="s">
        <v>22</v>
      </c>
      <c r="H67" s="20" t="s">
        <v>23</v>
      </c>
      <c r="I67" s="9" t="s">
        <v>32</v>
      </c>
      <c r="J67" s="9" t="s">
        <v>218</v>
      </c>
      <c r="K67" s="9"/>
    </row>
    <row r="68" spans="1:11" s="13" customFormat="1" ht="30" customHeight="1" thickBot="1" x14ac:dyDescent="0.3">
      <c r="A68" s="19" t="s">
        <v>47</v>
      </c>
      <c r="B68" s="10"/>
      <c r="C68" s="14">
        <v>46069</v>
      </c>
      <c r="D68" s="11">
        <v>0.60416666666666663</v>
      </c>
      <c r="E68" s="11">
        <v>0.625</v>
      </c>
      <c r="F68" s="12">
        <f t="shared" si="2"/>
        <v>0.50000000000000089</v>
      </c>
      <c r="G68" s="20" t="s">
        <v>19</v>
      </c>
      <c r="H68" s="20" t="s">
        <v>24</v>
      </c>
      <c r="I68" s="9" t="s">
        <v>33</v>
      </c>
      <c r="J68" s="9" t="s">
        <v>198</v>
      </c>
      <c r="K68" s="9">
        <v>1231</v>
      </c>
    </row>
    <row r="69" spans="1:11" s="13" customFormat="1" ht="30" customHeight="1" thickBot="1" x14ac:dyDescent="0.3">
      <c r="A69" s="19" t="s">
        <v>47</v>
      </c>
      <c r="B69" s="10"/>
      <c r="C69" s="14">
        <v>46069</v>
      </c>
      <c r="D69" s="11">
        <v>0.625</v>
      </c>
      <c r="E69" s="11">
        <v>0.77083333333333337</v>
      </c>
      <c r="F69" s="12">
        <f t="shared" si="2"/>
        <v>3.5000000000000009</v>
      </c>
      <c r="G69" s="20" t="s">
        <v>22</v>
      </c>
      <c r="H69" s="20" t="s">
        <v>23</v>
      </c>
      <c r="I69" s="9" t="s">
        <v>32</v>
      </c>
      <c r="J69" s="9" t="s">
        <v>218</v>
      </c>
      <c r="K69" s="9"/>
    </row>
    <row r="70" spans="1:11" s="13" customFormat="1" ht="30" customHeight="1" thickBot="1" x14ac:dyDescent="0.3">
      <c r="A70" s="19" t="s">
        <v>47</v>
      </c>
      <c r="B70" s="10"/>
      <c r="C70" s="14">
        <v>46069</v>
      </c>
      <c r="D70" s="11">
        <v>0.9375</v>
      </c>
      <c r="E70" s="11">
        <v>0.99930555555555556</v>
      </c>
      <c r="F70" s="12">
        <f t="shared" si="2"/>
        <v>1.4833333333333334</v>
      </c>
      <c r="G70" s="20" t="s">
        <v>22</v>
      </c>
      <c r="H70" s="20" t="s">
        <v>23</v>
      </c>
      <c r="I70" s="9" t="s">
        <v>32</v>
      </c>
      <c r="J70" s="9" t="s">
        <v>218</v>
      </c>
      <c r="K70" s="9"/>
    </row>
    <row r="71" spans="1:11" s="13" customFormat="1" ht="30" customHeight="1" thickBot="1" x14ac:dyDescent="0.3">
      <c r="A71" s="19" t="s">
        <v>47</v>
      </c>
      <c r="B71" s="10"/>
      <c r="C71" s="14">
        <v>46070</v>
      </c>
      <c r="D71" s="11">
        <v>0.40277777777777779</v>
      </c>
      <c r="E71" s="11">
        <v>0.4375</v>
      </c>
      <c r="F71" s="12">
        <f t="shared" si="2"/>
        <v>0.83333333333333304</v>
      </c>
      <c r="G71" s="20" t="s">
        <v>22</v>
      </c>
      <c r="H71" s="20" t="s">
        <v>23</v>
      </c>
      <c r="I71" s="9" t="s">
        <v>32</v>
      </c>
      <c r="J71" s="9" t="s">
        <v>218</v>
      </c>
      <c r="K71" s="9"/>
    </row>
    <row r="72" spans="1:11" s="13" customFormat="1" ht="30" customHeight="1" thickBot="1" x14ac:dyDescent="0.3">
      <c r="A72" s="19" t="s">
        <v>47</v>
      </c>
      <c r="B72" s="10"/>
      <c r="C72" s="14">
        <v>46070</v>
      </c>
      <c r="D72" s="11">
        <v>0.4375</v>
      </c>
      <c r="E72" s="11">
        <v>0.46875</v>
      </c>
      <c r="F72" s="12">
        <f t="shared" si="2"/>
        <v>0.75</v>
      </c>
      <c r="G72" s="20" t="s">
        <v>20</v>
      </c>
      <c r="H72" s="20" t="s">
        <v>24</v>
      </c>
      <c r="I72" s="9" t="s">
        <v>33</v>
      </c>
      <c r="J72" s="9" t="s">
        <v>220</v>
      </c>
      <c r="K72" s="9"/>
    </row>
    <row r="73" spans="1:11" s="13" customFormat="1" ht="30" customHeight="1" thickBot="1" x14ac:dyDescent="0.3">
      <c r="A73" s="19" t="s">
        <v>47</v>
      </c>
      <c r="B73" s="10"/>
      <c r="C73" s="14">
        <v>46070</v>
      </c>
      <c r="D73" s="11">
        <v>0.46875</v>
      </c>
      <c r="E73" s="11">
        <v>0.51041666666666663</v>
      </c>
      <c r="F73" s="12">
        <f t="shared" si="2"/>
        <v>0.99999999999999911</v>
      </c>
      <c r="G73" s="20" t="s">
        <v>22</v>
      </c>
      <c r="H73" s="20" t="s">
        <v>23</v>
      </c>
      <c r="I73" s="9" t="s">
        <v>32</v>
      </c>
      <c r="J73" s="9" t="s">
        <v>218</v>
      </c>
      <c r="K73" s="9"/>
    </row>
    <row r="74" spans="1:11" s="13" customFormat="1" ht="30" customHeight="1" thickBot="1" x14ac:dyDescent="0.3">
      <c r="A74" s="19" t="s">
        <v>47</v>
      </c>
      <c r="B74" s="10"/>
      <c r="C74" s="14">
        <v>46070</v>
      </c>
      <c r="D74" s="11">
        <v>0.53819444444444442</v>
      </c>
      <c r="E74" s="11">
        <v>0.66666666666666663</v>
      </c>
      <c r="F74" s="12">
        <f t="shared" si="2"/>
        <v>3.083333333333333</v>
      </c>
      <c r="G74" s="20" t="s">
        <v>22</v>
      </c>
      <c r="H74" s="20" t="s">
        <v>23</v>
      </c>
      <c r="I74" s="9" t="s">
        <v>32</v>
      </c>
      <c r="J74" s="9" t="s">
        <v>218</v>
      </c>
      <c r="K74" s="9"/>
    </row>
    <row r="75" spans="1:11" s="13" customFormat="1" ht="30" customHeight="1" thickBot="1" x14ac:dyDescent="0.3">
      <c r="A75" s="19" t="s">
        <v>47</v>
      </c>
      <c r="B75" s="10"/>
      <c r="C75" s="14">
        <v>46070</v>
      </c>
      <c r="D75" s="11"/>
      <c r="E75" s="11"/>
      <c r="F75" s="12">
        <f t="shared" si="2"/>
        <v>0</v>
      </c>
      <c r="G75" s="20"/>
      <c r="H75" s="20"/>
      <c r="I75" s="9"/>
      <c r="J75" s="9"/>
      <c r="K75" s="9"/>
    </row>
    <row r="76" spans="1:11" s="13" customFormat="1" ht="30" customHeight="1" thickBot="1" x14ac:dyDescent="0.3">
      <c r="A76" s="19" t="s">
        <v>47</v>
      </c>
      <c r="B76" s="10"/>
      <c r="C76" s="14">
        <v>46070</v>
      </c>
      <c r="D76" s="11"/>
      <c r="E76" s="11"/>
      <c r="F76" s="12">
        <f t="shared" si="2"/>
        <v>0</v>
      </c>
      <c r="G76" s="20"/>
      <c r="H76" s="20"/>
      <c r="I76" s="9"/>
      <c r="J76" s="9"/>
      <c r="K76" s="9"/>
    </row>
    <row r="77" spans="1:11" s="13" customFormat="1" ht="30" customHeight="1" thickBot="1" x14ac:dyDescent="0.3">
      <c r="A77" s="19" t="s">
        <v>47</v>
      </c>
      <c r="B77" s="10"/>
      <c r="C77" s="14">
        <v>46070</v>
      </c>
      <c r="D77" s="11"/>
      <c r="E77" s="11"/>
      <c r="F77" s="12">
        <f t="shared" si="2"/>
        <v>0</v>
      </c>
      <c r="G77" s="20"/>
      <c r="H77" s="20"/>
      <c r="I77" s="9"/>
      <c r="J77" s="9"/>
      <c r="K77" s="9"/>
    </row>
    <row r="78" spans="1:11" s="13" customFormat="1" ht="30" customHeight="1" thickBot="1" x14ac:dyDescent="0.3">
      <c r="A78" s="19" t="s">
        <v>47</v>
      </c>
      <c r="B78" s="10"/>
      <c r="C78" s="14">
        <v>46070</v>
      </c>
      <c r="D78" s="11"/>
      <c r="E78" s="11"/>
      <c r="F78" s="12">
        <f t="shared" si="2"/>
        <v>0</v>
      </c>
      <c r="G78" s="20"/>
      <c r="H78" s="20"/>
      <c r="I78" s="9"/>
      <c r="J78" s="9"/>
      <c r="K78" s="9"/>
    </row>
    <row r="79" spans="1:11" s="13" customFormat="1" ht="30" customHeight="1" thickBot="1" x14ac:dyDescent="0.3">
      <c r="A79" s="19" t="s">
        <v>47</v>
      </c>
      <c r="B79" s="10"/>
      <c r="C79" s="14">
        <v>46071</v>
      </c>
      <c r="D79" s="11"/>
      <c r="E79" s="11"/>
      <c r="F79" s="12">
        <f t="shared" si="2"/>
        <v>0</v>
      </c>
      <c r="G79" s="20"/>
      <c r="H79" s="20"/>
      <c r="I79" s="9"/>
      <c r="J79" s="9"/>
      <c r="K79" s="9"/>
    </row>
    <row r="80" spans="1:11" s="13" customFormat="1" ht="30" customHeight="1" thickBot="1" x14ac:dyDescent="0.3">
      <c r="A80" s="19" t="s">
        <v>47</v>
      </c>
      <c r="B80" s="10"/>
      <c r="C80" s="14">
        <v>46071</v>
      </c>
      <c r="D80" s="11"/>
      <c r="E80" s="11"/>
      <c r="F80" s="12">
        <f t="shared" si="2"/>
        <v>0</v>
      </c>
      <c r="G80" s="20"/>
      <c r="H80" s="20"/>
      <c r="I80" s="9"/>
      <c r="J80" s="9"/>
      <c r="K80" s="9"/>
    </row>
    <row r="81" spans="1:11" s="13" customFormat="1" ht="30" customHeight="1" thickBot="1" x14ac:dyDescent="0.3">
      <c r="A81" s="19" t="s">
        <v>47</v>
      </c>
      <c r="B81" s="10"/>
      <c r="C81" s="14">
        <v>46071</v>
      </c>
      <c r="D81" s="11"/>
      <c r="E81" s="11"/>
      <c r="F81" s="12">
        <f t="shared" si="2"/>
        <v>0</v>
      </c>
      <c r="G81" s="20"/>
      <c r="H81" s="20"/>
      <c r="I81" s="9"/>
      <c r="J81" s="9"/>
      <c r="K81" s="9"/>
    </row>
    <row r="82" spans="1:11" s="13" customFormat="1" ht="30" customHeight="1" thickBot="1" x14ac:dyDescent="0.3">
      <c r="A82" s="19" t="s">
        <v>47</v>
      </c>
      <c r="B82" s="10"/>
      <c r="C82" s="14">
        <v>46071</v>
      </c>
      <c r="D82" s="11"/>
      <c r="E82" s="11"/>
      <c r="F82" s="12">
        <f t="shared" si="2"/>
        <v>0</v>
      </c>
      <c r="G82" s="20"/>
      <c r="H82" s="20"/>
      <c r="I82" s="9"/>
      <c r="J82" s="9"/>
      <c r="K82" s="9"/>
    </row>
    <row r="83" spans="1:11" s="13" customFormat="1" ht="30" customHeight="1" thickBot="1" x14ac:dyDescent="0.3">
      <c r="A83" s="19" t="s">
        <v>47</v>
      </c>
      <c r="B83" s="10"/>
      <c r="C83" s="14">
        <v>46071</v>
      </c>
      <c r="D83" s="11"/>
      <c r="E83" s="11"/>
      <c r="F83" s="12">
        <f t="shared" si="2"/>
        <v>0</v>
      </c>
      <c r="G83" s="20"/>
      <c r="H83" s="20"/>
      <c r="I83" s="9"/>
      <c r="J83" s="9"/>
      <c r="K83" s="9"/>
    </row>
    <row r="84" spans="1:11" s="13" customFormat="1" ht="30" customHeight="1" thickBot="1" x14ac:dyDescent="0.3">
      <c r="A84" s="19" t="s">
        <v>47</v>
      </c>
      <c r="B84" s="10"/>
      <c r="C84" s="14">
        <v>46071</v>
      </c>
      <c r="D84" s="11"/>
      <c r="E84" s="11"/>
      <c r="F84" s="12">
        <f t="shared" si="2"/>
        <v>0</v>
      </c>
      <c r="G84" s="20"/>
      <c r="H84" s="20"/>
      <c r="I84" s="9"/>
      <c r="J84" s="9"/>
      <c r="K84" s="9"/>
    </row>
    <row r="85" spans="1:11" s="13" customFormat="1" ht="30" customHeight="1" thickBot="1" x14ac:dyDescent="0.3">
      <c r="A85" s="19" t="s">
        <v>47</v>
      </c>
      <c r="B85" s="10"/>
      <c r="C85" s="14">
        <v>46071</v>
      </c>
      <c r="D85" s="11"/>
      <c r="E85" s="11"/>
      <c r="F85" s="12">
        <f t="shared" si="2"/>
        <v>0</v>
      </c>
      <c r="G85" s="20"/>
      <c r="H85" s="20"/>
      <c r="I85" s="9"/>
      <c r="J85" s="9"/>
      <c r="K85" s="9"/>
    </row>
    <row r="86" spans="1:11" s="13" customFormat="1" ht="30" customHeight="1" thickBot="1" x14ac:dyDescent="0.3">
      <c r="A86" s="19" t="s">
        <v>47</v>
      </c>
      <c r="B86" s="10"/>
      <c r="C86" s="14">
        <v>46071</v>
      </c>
      <c r="D86" s="11"/>
      <c r="E86" s="11"/>
      <c r="F86" s="12">
        <f t="shared" si="2"/>
        <v>0</v>
      </c>
      <c r="G86" s="20"/>
      <c r="H86" s="20"/>
      <c r="I86" s="9"/>
      <c r="J86" s="9"/>
      <c r="K86" s="9"/>
    </row>
    <row r="87" spans="1:11" s="13" customFormat="1" ht="30" customHeight="1" thickBot="1" x14ac:dyDescent="0.3">
      <c r="A87" s="19" t="s">
        <v>47</v>
      </c>
      <c r="B87" s="10"/>
      <c r="C87" s="14">
        <v>46072</v>
      </c>
      <c r="D87" s="11"/>
      <c r="E87" s="11"/>
      <c r="F87" s="12">
        <f t="shared" si="2"/>
        <v>0</v>
      </c>
      <c r="G87" s="20"/>
      <c r="H87" s="20"/>
      <c r="I87" s="9"/>
      <c r="J87" s="9"/>
      <c r="K87" s="9"/>
    </row>
    <row r="88" spans="1:11" s="13" customFormat="1" ht="30" customHeight="1" thickBot="1" x14ac:dyDescent="0.3">
      <c r="A88" s="19" t="s">
        <v>47</v>
      </c>
      <c r="B88" s="10"/>
      <c r="C88" s="14">
        <v>46072</v>
      </c>
      <c r="D88" s="11"/>
      <c r="E88" s="11"/>
      <c r="F88" s="12">
        <f t="shared" si="2"/>
        <v>0</v>
      </c>
      <c r="G88" s="20"/>
      <c r="H88" s="20"/>
      <c r="I88" s="9"/>
      <c r="J88" s="9"/>
      <c r="K88" s="9"/>
    </row>
    <row r="89" spans="1:11" s="13" customFormat="1" ht="30" customHeight="1" thickBot="1" x14ac:dyDescent="0.3">
      <c r="A89" s="19" t="s">
        <v>47</v>
      </c>
      <c r="B89" s="10"/>
      <c r="C89" s="14">
        <v>46072</v>
      </c>
      <c r="D89" s="11"/>
      <c r="E89" s="11"/>
      <c r="F89" s="12">
        <f t="shared" si="2"/>
        <v>0</v>
      </c>
      <c r="G89" s="20"/>
      <c r="H89" s="20"/>
      <c r="I89" s="9"/>
      <c r="J89" s="9"/>
      <c r="K89" s="9"/>
    </row>
    <row r="90" spans="1:11" s="13" customFormat="1" ht="30" customHeight="1" thickBot="1" x14ac:dyDescent="0.3">
      <c r="A90" s="19" t="s">
        <v>47</v>
      </c>
      <c r="B90" s="10"/>
      <c r="C90" s="14">
        <v>46072</v>
      </c>
      <c r="D90" s="11"/>
      <c r="E90" s="11"/>
      <c r="F90" s="12">
        <f t="shared" si="2"/>
        <v>0</v>
      </c>
      <c r="G90" s="20"/>
      <c r="H90" s="20"/>
      <c r="I90" s="9"/>
      <c r="J90" s="9"/>
      <c r="K90" s="9"/>
    </row>
    <row r="91" spans="1:11" s="13" customFormat="1" ht="30" customHeight="1" thickBot="1" x14ac:dyDescent="0.3">
      <c r="A91" s="19" t="s">
        <v>47</v>
      </c>
      <c r="B91" s="10"/>
      <c r="C91" s="14">
        <v>46072</v>
      </c>
      <c r="D91" s="11"/>
      <c r="E91" s="11"/>
      <c r="F91" s="12">
        <f t="shared" si="2"/>
        <v>0</v>
      </c>
      <c r="G91" s="20"/>
      <c r="H91" s="20"/>
      <c r="I91" s="9"/>
      <c r="J91" s="9"/>
      <c r="K91" s="9"/>
    </row>
    <row r="92" spans="1:11" s="13" customFormat="1" ht="30" customHeight="1" thickBot="1" x14ac:dyDescent="0.3">
      <c r="A92" s="19" t="s">
        <v>47</v>
      </c>
      <c r="B92" s="10"/>
      <c r="C92" s="14">
        <v>46072</v>
      </c>
      <c r="D92" s="11"/>
      <c r="E92" s="11"/>
      <c r="F92" s="12">
        <f t="shared" si="2"/>
        <v>0</v>
      </c>
      <c r="G92" s="20"/>
      <c r="H92" s="20"/>
      <c r="I92" s="9"/>
      <c r="J92" s="9"/>
      <c r="K92" s="9"/>
    </row>
    <row r="93" spans="1:11" s="13" customFormat="1" ht="30" customHeight="1" thickBot="1" x14ac:dyDescent="0.3">
      <c r="A93" s="19" t="s">
        <v>47</v>
      </c>
      <c r="B93" s="10"/>
      <c r="C93" s="14">
        <v>46072</v>
      </c>
      <c r="D93" s="11"/>
      <c r="E93" s="11"/>
      <c r="F93" s="12">
        <f t="shared" si="2"/>
        <v>0</v>
      </c>
      <c r="G93" s="20"/>
      <c r="H93" s="20"/>
      <c r="I93" s="9"/>
      <c r="J93" s="9"/>
      <c r="K93" s="9"/>
    </row>
    <row r="94" spans="1:11" s="13" customFormat="1" ht="30" customHeight="1" thickBot="1" x14ac:dyDescent="0.3">
      <c r="A94" s="19" t="s">
        <v>47</v>
      </c>
      <c r="B94" s="10"/>
      <c r="C94" s="14">
        <v>46072</v>
      </c>
      <c r="D94" s="11"/>
      <c r="E94" s="11"/>
      <c r="F94" s="12">
        <f t="shared" si="2"/>
        <v>0</v>
      </c>
      <c r="G94" s="20"/>
      <c r="H94" s="20"/>
      <c r="I94" s="9"/>
      <c r="J94" s="9"/>
      <c r="K94" s="9"/>
    </row>
    <row r="95" spans="1:11" s="13" customFormat="1" ht="30" customHeight="1" thickBot="1" x14ac:dyDescent="0.3">
      <c r="A95" s="19" t="s">
        <v>47</v>
      </c>
      <c r="B95" s="10"/>
      <c r="C95" s="14">
        <v>46073</v>
      </c>
      <c r="D95" s="11"/>
      <c r="E95" s="11"/>
      <c r="F95" s="12">
        <f t="shared" si="2"/>
        <v>0</v>
      </c>
      <c r="G95" s="20"/>
      <c r="H95" s="20"/>
      <c r="I95" s="9"/>
      <c r="J95" s="9"/>
      <c r="K95" s="9"/>
    </row>
    <row r="96" spans="1:11" s="13" customFormat="1" ht="30" customHeight="1" thickBot="1" x14ac:dyDescent="0.3">
      <c r="A96" s="19" t="s">
        <v>47</v>
      </c>
      <c r="B96" s="10"/>
      <c r="C96" s="14">
        <v>46073</v>
      </c>
      <c r="D96" s="11"/>
      <c r="E96" s="11"/>
      <c r="F96" s="12">
        <f t="shared" si="2"/>
        <v>0</v>
      </c>
      <c r="G96" s="20"/>
      <c r="H96" s="20"/>
      <c r="I96" s="9"/>
      <c r="J96" s="9"/>
      <c r="K96" s="9"/>
    </row>
    <row r="97" spans="1:11" s="13" customFormat="1" ht="30" customHeight="1" thickBot="1" x14ac:dyDescent="0.3">
      <c r="A97" s="19" t="s">
        <v>47</v>
      </c>
      <c r="B97" s="10"/>
      <c r="C97" s="14">
        <v>46073</v>
      </c>
      <c r="D97" s="11"/>
      <c r="E97" s="11"/>
      <c r="F97" s="12">
        <f t="shared" si="2"/>
        <v>0</v>
      </c>
      <c r="G97" s="20"/>
      <c r="H97" s="20"/>
      <c r="I97" s="9"/>
      <c r="J97" s="9"/>
      <c r="K97" s="9"/>
    </row>
    <row r="98" spans="1:11" s="13" customFormat="1" ht="30" customHeight="1" thickBot="1" x14ac:dyDescent="0.3">
      <c r="A98" s="19" t="s">
        <v>47</v>
      </c>
      <c r="B98" s="10"/>
      <c r="C98" s="14">
        <v>46073</v>
      </c>
      <c r="D98" s="11"/>
      <c r="E98" s="11"/>
      <c r="F98" s="12">
        <f t="shared" si="2"/>
        <v>0</v>
      </c>
      <c r="G98" s="20"/>
      <c r="H98" s="20"/>
      <c r="I98" s="9"/>
      <c r="J98" s="9"/>
      <c r="K98" s="9"/>
    </row>
    <row r="99" spans="1:11" s="13" customFormat="1" ht="30" customHeight="1" thickBot="1" x14ac:dyDescent="0.3">
      <c r="A99" s="19" t="s">
        <v>47</v>
      </c>
      <c r="B99" s="10"/>
      <c r="C99" s="14">
        <v>46073</v>
      </c>
      <c r="D99" s="11"/>
      <c r="E99" s="11"/>
      <c r="F99" s="12">
        <f t="shared" si="2"/>
        <v>0</v>
      </c>
      <c r="G99" s="20"/>
      <c r="H99" s="20"/>
      <c r="I99" s="9"/>
      <c r="J99" s="9"/>
      <c r="K99" s="9"/>
    </row>
    <row r="100" spans="1:11" s="13" customFormat="1" ht="30" customHeight="1" thickBot="1" x14ac:dyDescent="0.3">
      <c r="A100" s="19" t="s">
        <v>47</v>
      </c>
      <c r="B100" s="10"/>
      <c r="C100" s="14">
        <v>46073</v>
      </c>
      <c r="D100" s="11"/>
      <c r="E100" s="11"/>
      <c r="F100" s="12">
        <f t="shared" si="2"/>
        <v>0</v>
      </c>
      <c r="G100" s="20"/>
      <c r="H100" s="20"/>
      <c r="I100" s="9"/>
      <c r="J100" s="9"/>
      <c r="K100" s="9"/>
    </row>
    <row r="101" spans="1:11" s="13" customFormat="1" ht="30" customHeight="1" thickBot="1" x14ac:dyDescent="0.3">
      <c r="A101" s="19" t="s">
        <v>47</v>
      </c>
      <c r="B101" s="10"/>
      <c r="C101" s="14">
        <v>46073</v>
      </c>
      <c r="D101" s="11"/>
      <c r="E101" s="11"/>
      <c r="F101" s="12">
        <f t="shared" si="2"/>
        <v>0</v>
      </c>
      <c r="G101" s="20"/>
      <c r="H101" s="20"/>
      <c r="I101" s="9"/>
      <c r="J101" s="9"/>
      <c r="K101" s="9"/>
    </row>
    <row r="102" spans="1:11" s="13" customFormat="1" ht="30" customHeight="1" thickBot="1" x14ac:dyDescent="0.3">
      <c r="A102" s="19" t="s">
        <v>47</v>
      </c>
      <c r="B102" s="10"/>
      <c r="C102" s="14">
        <v>46073</v>
      </c>
      <c r="D102" s="11"/>
      <c r="E102" s="11"/>
      <c r="F102" s="12">
        <f t="shared" si="2"/>
        <v>0</v>
      </c>
      <c r="G102" s="20"/>
      <c r="H102" s="20"/>
      <c r="I102" s="9"/>
      <c r="J102" s="9"/>
      <c r="K102" s="9"/>
    </row>
    <row r="103" spans="1:11" s="13" customFormat="1" ht="30" customHeight="1" thickBot="1" x14ac:dyDescent="0.3">
      <c r="A103" s="19" t="s">
        <v>47</v>
      </c>
      <c r="B103" s="10"/>
      <c r="C103" s="31">
        <v>46074</v>
      </c>
      <c r="D103" s="32">
        <v>0.35416666666666669</v>
      </c>
      <c r="E103" s="32">
        <v>0.6875</v>
      </c>
      <c r="F103" s="33">
        <f t="shared" si="2"/>
        <v>8</v>
      </c>
      <c r="G103" s="34" t="s">
        <v>21</v>
      </c>
      <c r="H103" s="34" t="s">
        <v>30</v>
      </c>
      <c r="I103" s="35"/>
      <c r="J103" s="35" t="s">
        <v>71</v>
      </c>
      <c r="K103" s="35"/>
    </row>
    <row r="104" spans="1:11" s="13" customFormat="1" ht="30" customHeight="1" thickBot="1" x14ac:dyDescent="0.3">
      <c r="A104" s="19" t="s">
        <v>47</v>
      </c>
      <c r="B104" s="10"/>
      <c r="C104" s="31">
        <v>46075</v>
      </c>
      <c r="D104" s="32">
        <v>0.35416666666666669</v>
      </c>
      <c r="E104" s="32">
        <v>0.6875</v>
      </c>
      <c r="F104" s="33">
        <f t="shared" si="2"/>
        <v>8</v>
      </c>
      <c r="G104" s="34" t="s">
        <v>21</v>
      </c>
      <c r="H104" s="34" t="s">
        <v>30</v>
      </c>
      <c r="I104" s="35"/>
      <c r="J104" s="35" t="s">
        <v>71</v>
      </c>
      <c r="K104" s="35"/>
    </row>
    <row r="105" spans="1:11" s="13" customFormat="1" ht="30" customHeight="1" thickBot="1" x14ac:dyDescent="0.3">
      <c r="A105" s="19" t="s">
        <v>47</v>
      </c>
      <c r="B105" s="10"/>
      <c r="C105" s="14">
        <v>46076</v>
      </c>
      <c r="D105" s="11"/>
      <c r="E105" s="11"/>
      <c r="F105" s="12"/>
      <c r="G105" s="20"/>
      <c r="H105" s="20"/>
      <c r="I105" s="9"/>
      <c r="J105" s="9"/>
      <c r="K105" s="9"/>
    </row>
    <row r="106" spans="1:11" s="13" customFormat="1" ht="30" customHeight="1" thickBot="1" x14ac:dyDescent="0.3">
      <c r="A106" s="19" t="s">
        <v>47</v>
      </c>
      <c r="B106" s="10"/>
      <c r="C106" s="14">
        <v>46076</v>
      </c>
      <c r="D106" s="11"/>
      <c r="E106" s="11"/>
      <c r="F106" s="12">
        <f>+(E106-D106)*24</f>
        <v>0</v>
      </c>
      <c r="G106" s="20"/>
      <c r="H106" s="20"/>
      <c r="I106" s="9"/>
      <c r="J106" s="9"/>
      <c r="K106" s="9"/>
    </row>
    <row r="107" spans="1:11" s="13" customFormat="1" ht="30" customHeight="1" thickBot="1" x14ac:dyDescent="0.3">
      <c r="A107" s="19" t="s">
        <v>47</v>
      </c>
      <c r="B107" s="10"/>
      <c r="C107" s="14">
        <v>46076</v>
      </c>
      <c r="D107" s="11"/>
      <c r="E107" s="11"/>
      <c r="F107" s="12">
        <f>+(E107-D107)*24</f>
        <v>0</v>
      </c>
      <c r="G107" s="20"/>
      <c r="H107" s="20"/>
      <c r="I107" s="9"/>
      <c r="J107" s="9"/>
      <c r="K107" s="9"/>
    </row>
    <row r="108" spans="1:11" s="13" customFormat="1" ht="30" customHeight="1" thickBot="1" x14ac:dyDescent="0.3">
      <c r="A108" s="19" t="s">
        <v>47</v>
      </c>
      <c r="B108" s="10"/>
      <c r="C108" s="14">
        <v>46076</v>
      </c>
      <c r="D108" s="11"/>
      <c r="E108" s="11"/>
      <c r="F108" s="12">
        <f t="shared" ref="F108:F136" si="3">+(E108-D108)*24</f>
        <v>0</v>
      </c>
      <c r="G108" s="20"/>
      <c r="H108" s="20"/>
      <c r="I108" s="9"/>
      <c r="J108" s="9"/>
      <c r="K108" s="9"/>
    </row>
    <row r="109" spans="1:11" s="13" customFormat="1" ht="30" customHeight="1" thickBot="1" x14ac:dyDescent="0.3">
      <c r="A109" s="19" t="s">
        <v>47</v>
      </c>
      <c r="B109" s="10"/>
      <c r="C109" s="14">
        <v>46076</v>
      </c>
      <c r="D109" s="11"/>
      <c r="E109" s="11"/>
      <c r="F109" s="12">
        <f t="shared" si="3"/>
        <v>0</v>
      </c>
      <c r="G109" s="20"/>
      <c r="H109" s="20"/>
      <c r="I109" s="9"/>
      <c r="J109" s="9"/>
      <c r="K109" s="9"/>
    </row>
    <row r="110" spans="1:11" s="13" customFormat="1" ht="30" customHeight="1" thickBot="1" x14ac:dyDescent="0.3">
      <c r="A110" s="19" t="s">
        <v>47</v>
      </c>
      <c r="B110" s="10"/>
      <c r="C110" s="14">
        <v>46076</v>
      </c>
      <c r="D110" s="11"/>
      <c r="E110" s="11"/>
      <c r="F110" s="12">
        <f t="shared" si="3"/>
        <v>0</v>
      </c>
      <c r="G110" s="20"/>
      <c r="H110" s="20"/>
      <c r="I110" s="9"/>
      <c r="J110" s="9"/>
      <c r="K110" s="9"/>
    </row>
    <row r="111" spans="1:11" s="13" customFormat="1" ht="30" customHeight="1" thickBot="1" x14ac:dyDescent="0.3">
      <c r="A111" s="19" t="s">
        <v>47</v>
      </c>
      <c r="B111" s="10"/>
      <c r="C111" s="14">
        <v>46076</v>
      </c>
      <c r="D111" s="11"/>
      <c r="E111" s="11"/>
      <c r="F111" s="12">
        <f t="shared" si="3"/>
        <v>0</v>
      </c>
      <c r="G111" s="20"/>
      <c r="H111" s="20"/>
      <c r="I111" s="9"/>
      <c r="J111" s="9"/>
      <c r="K111" s="9"/>
    </row>
    <row r="112" spans="1:11" s="13" customFormat="1" ht="30" customHeight="1" thickBot="1" x14ac:dyDescent="0.3">
      <c r="A112" s="19" t="s">
        <v>47</v>
      </c>
      <c r="B112" s="10"/>
      <c r="C112" s="14">
        <v>46076</v>
      </c>
      <c r="D112" s="11"/>
      <c r="E112" s="11"/>
      <c r="F112" s="12">
        <f t="shared" si="3"/>
        <v>0</v>
      </c>
      <c r="G112" s="20"/>
      <c r="H112" s="20"/>
      <c r="I112" s="9"/>
      <c r="J112" s="24"/>
      <c r="K112" s="9"/>
    </row>
    <row r="113" spans="1:11" s="13" customFormat="1" ht="30" customHeight="1" thickBot="1" x14ac:dyDescent="0.3">
      <c r="A113" s="19" t="s">
        <v>47</v>
      </c>
      <c r="B113" s="10"/>
      <c r="C113" s="14">
        <v>46077</v>
      </c>
      <c r="D113" s="11"/>
      <c r="E113" s="11"/>
      <c r="F113" s="12">
        <f t="shared" si="3"/>
        <v>0</v>
      </c>
      <c r="G113" s="20"/>
      <c r="H113" s="20"/>
      <c r="I113" s="9"/>
      <c r="J113" s="24"/>
      <c r="K113" s="9"/>
    </row>
    <row r="114" spans="1:11" s="13" customFormat="1" ht="30" customHeight="1" thickBot="1" x14ac:dyDescent="0.3">
      <c r="A114" s="19" t="s">
        <v>47</v>
      </c>
      <c r="B114" s="10"/>
      <c r="C114" s="14">
        <v>46077</v>
      </c>
      <c r="D114" s="11"/>
      <c r="E114" s="11"/>
      <c r="F114" s="12">
        <f t="shared" si="3"/>
        <v>0</v>
      </c>
      <c r="G114" s="20"/>
      <c r="H114" s="20"/>
      <c r="I114" s="9"/>
      <c r="J114" s="9"/>
      <c r="K114" s="9"/>
    </row>
    <row r="115" spans="1:11" s="13" customFormat="1" ht="30" customHeight="1" thickBot="1" x14ac:dyDescent="0.3">
      <c r="A115" s="19" t="s">
        <v>47</v>
      </c>
      <c r="B115" s="10"/>
      <c r="C115" s="14">
        <v>46077</v>
      </c>
      <c r="D115" s="11"/>
      <c r="E115" s="11"/>
      <c r="F115" s="12">
        <f t="shared" si="3"/>
        <v>0</v>
      </c>
      <c r="G115" s="20"/>
      <c r="H115" s="20"/>
      <c r="I115" s="9"/>
      <c r="J115" s="9"/>
      <c r="K115" s="9"/>
    </row>
    <row r="116" spans="1:11" s="13" customFormat="1" ht="30" customHeight="1" thickBot="1" x14ac:dyDescent="0.3">
      <c r="A116" s="19" t="s">
        <v>47</v>
      </c>
      <c r="B116" s="10"/>
      <c r="C116" s="14">
        <v>46077</v>
      </c>
      <c r="D116" s="11"/>
      <c r="E116" s="11"/>
      <c r="F116" s="12">
        <f t="shared" si="3"/>
        <v>0</v>
      </c>
      <c r="G116" s="20"/>
      <c r="H116" s="20"/>
      <c r="I116" s="9"/>
      <c r="J116" s="9"/>
      <c r="K116" s="9"/>
    </row>
    <row r="117" spans="1:11" s="13" customFormat="1" ht="30" customHeight="1" thickBot="1" x14ac:dyDescent="0.3">
      <c r="A117" s="19" t="s">
        <v>47</v>
      </c>
      <c r="B117" s="10"/>
      <c r="C117" s="14">
        <v>46077</v>
      </c>
      <c r="D117" s="11"/>
      <c r="E117" s="11"/>
      <c r="F117" s="12">
        <f t="shared" si="3"/>
        <v>0</v>
      </c>
      <c r="G117" s="20"/>
      <c r="H117" s="20"/>
      <c r="I117" s="9"/>
      <c r="J117" s="9"/>
      <c r="K117" s="9"/>
    </row>
    <row r="118" spans="1:11" s="13" customFormat="1" ht="30" customHeight="1" thickBot="1" x14ac:dyDescent="0.3">
      <c r="A118" s="19" t="s">
        <v>47</v>
      </c>
      <c r="B118" s="10"/>
      <c r="C118" s="14">
        <v>46077</v>
      </c>
      <c r="D118" s="11"/>
      <c r="E118" s="11"/>
      <c r="F118" s="12">
        <f t="shared" si="3"/>
        <v>0</v>
      </c>
      <c r="G118" s="20"/>
      <c r="H118" s="20"/>
      <c r="I118" s="9"/>
      <c r="J118" s="9"/>
      <c r="K118" s="9"/>
    </row>
    <row r="119" spans="1:11" s="13" customFormat="1" ht="30" customHeight="1" thickBot="1" x14ac:dyDescent="0.3">
      <c r="A119" s="19" t="s">
        <v>47</v>
      </c>
      <c r="B119" s="10"/>
      <c r="C119" s="14">
        <v>46077</v>
      </c>
      <c r="D119" s="11"/>
      <c r="E119" s="11"/>
      <c r="F119" s="12">
        <f t="shared" si="3"/>
        <v>0</v>
      </c>
      <c r="G119" s="20"/>
      <c r="H119" s="20"/>
      <c r="I119" s="9"/>
      <c r="J119" s="9"/>
      <c r="K119" s="9"/>
    </row>
    <row r="120" spans="1:11" s="13" customFormat="1" ht="30" customHeight="1" thickBot="1" x14ac:dyDescent="0.3">
      <c r="A120" s="19" t="s">
        <v>47</v>
      </c>
      <c r="B120" s="10"/>
      <c r="C120" s="14">
        <v>46077</v>
      </c>
      <c r="D120" s="11"/>
      <c r="E120" s="11"/>
      <c r="F120" s="12">
        <f t="shared" si="3"/>
        <v>0</v>
      </c>
      <c r="G120" s="20"/>
      <c r="H120" s="20"/>
      <c r="I120" s="9"/>
      <c r="J120" s="9"/>
      <c r="K120" s="9"/>
    </row>
    <row r="121" spans="1:11" s="13" customFormat="1" ht="30" customHeight="1" thickBot="1" x14ac:dyDescent="0.3">
      <c r="A121" s="19" t="s">
        <v>47</v>
      </c>
      <c r="B121" s="10"/>
      <c r="C121" s="14">
        <v>46078</v>
      </c>
      <c r="D121" s="11"/>
      <c r="E121" s="11"/>
      <c r="F121" s="12">
        <f t="shared" si="3"/>
        <v>0</v>
      </c>
      <c r="G121" s="20"/>
      <c r="H121" s="20"/>
      <c r="I121" s="9"/>
      <c r="J121" s="9"/>
      <c r="K121" s="9"/>
    </row>
    <row r="122" spans="1:11" s="13" customFormat="1" ht="30" customHeight="1" thickBot="1" x14ac:dyDescent="0.3">
      <c r="A122" s="19" t="s">
        <v>47</v>
      </c>
      <c r="B122" s="10"/>
      <c r="C122" s="14">
        <v>46078</v>
      </c>
      <c r="D122" s="11"/>
      <c r="E122" s="11"/>
      <c r="F122" s="12">
        <f t="shared" si="3"/>
        <v>0</v>
      </c>
      <c r="G122" s="20"/>
      <c r="H122" s="20"/>
      <c r="I122" s="9"/>
      <c r="J122" s="9"/>
      <c r="K122" s="9"/>
    </row>
    <row r="123" spans="1:11" s="13" customFormat="1" ht="30" customHeight="1" thickBot="1" x14ac:dyDescent="0.3">
      <c r="A123" s="19" t="s">
        <v>47</v>
      </c>
      <c r="B123" s="10"/>
      <c r="C123" s="14">
        <v>46078</v>
      </c>
      <c r="D123" s="11"/>
      <c r="E123" s="11"/>
      <c r="F123" s="12">
        <f t="shared" si="3"/>
        <v>0</v>
      </c>
      <c r="G123" s="20"/>
      <c r="H123" s="20"/>
      <c r="I123" s="9"/>
      <c r="J123" s="9"/>
      <c r="K123" s="9"/>
    </row>
    <row r="124" spans="1:11" s="13" customFormat="1" ht="30" customHeight="1" thickBot="1" x14ac:dyDescent="0.3">
      <c r="A124" s="19" t="s">
        <v>47</v>
      </c>
      <c r="B124" s="10"/>
      <c r="C124" s="14">
        <v>46078</v>
      </c>
      <c r="D124" s="11"/>
      <c r="E124" s="11"/>
      <c r="F124" s="12">
        <f t="shared" si="3"/>
        <v>0</v>
      </c>
      <c r="G124" s="20"/>
      <c r="H124" s="20"/>
      <c r="I124" s="9"/>
      <c r="J124" s="9"/>
      <c r="K124" s="9"/>
    </row>
    <row r="125" spans="1:11" s="13" customFormat="1" ht="30" customHeight="1" thickBot="1" x14ac:dyDescent="0.3">
      <c r="A125" s="19" t="s">
        <v>47</v>
      </c>
      <c r="B125" s="10"/>
      <c r="C125" s="14">
        <v>46078</v>
      </c>
      <c r="D125" s="11"/>
      <c r="E125" s="11"/>
      <c r="F125" s="12">
        <f t="shared" si="3"/>
        <v>0</v>
      </c>
      <c r="G125" s="20"/>
      <c r="H125" s="20"/>
      <c r="I125" s="9"/>
      <c r="J125" s="9"/>
      <c r="K125" s="9"/>
    </row>
    <row r="126" spans="1:11" s="13" customFormat="1" ht="30" customHeight="1" thickBot="1" x14ac:dyDescent="0.3">
      <c r="A126" s="19" t="s">
        <v>47</v>
      </c>
      <c r="B126" s="10"/>
      <c r="C126" s="14">
        <v>46078</v>
      </c>
      <c r="D126" s="11"/>
      <c r="E126" s="11"/>
      <c r="F126" s="12">
        <f t="shared" si="3"/>
        <v>0</v>
      </c>
      <c r="G126" s="20"/>
      <c r="H126" s="20"/>
      <c r="I126" s="9"/>
      <c r="J126" s="9"/>
      <c r="K126" s="9"/>
    </row>
    <row r="127" spans="1:11" s="13" customFormat="1" ht="30" customHeight="1" thickBot="1" x14ac:dyDescent="0.3">
      <c r="A127" s="19" t="s">
        <v>47</v>
      </c>
      <c r="B127" s="10"/>
      <c r="C127" s="14">
        <v>46078</v>
      </c>
      <c r="D127" s="11"/>
      <c r="E127" s="11"/>
      <c r="F127" s="12">
        <f t="shared" si="3"/>
        <v>0</v>
      </c>
      <c r="G127" s="20"/>
      <c r="H127" s="20"/>
      <c r="I127" s="9"/>
      <c r="J127" s="9"/>
      <c r="K127" s="9"/>
    </row>
    <row r="128" spans="1:11" s="13" customFormat="1" ht="30" customHeight="1" thickBot="1" x14ac:dyDescent="0.3">
      <c r="A128" s="19" t="s">
        <v>47</v>
      </c>
      <c r="B128" s="10"/>
      <c r="C128" s="14">
        <v>46078</v>
      </c>
      <c r="D128" s="11"/>
      <c r="E128" s="11"/>
      <c r="F128" s="12">
        <f t="shared" si="3"/>
        <v>0</v>
      </c>
      <c r="G128" s="20"/>
      <c r="H128" s="20"/>
      <c r="I128" s="9"/>
      <c r="J128" s="9"/>
      <c r="K128" s="9"/>
    </row>
    <row r="129" spans="1:11" s="13" customFormat="1" ht="30" customHeight="1" thickBot="1" x14ac:dyDescent="0.3">
      <c r="A129" s="19" t="s">
        <v>47</v>
      </c>
      <c r="B129" s="10"/>
      <c r="C129" s="14">
        <v>46079</v>
      </c>
      <c r="D129" s="11"/>
      <c r="E129" s="11"/>
      <c r="F129" s="12">
        <f t="shared" si="3"/>
        <v>0</v>
      </c>
      <c r="G129" s="20"/>
      <c r="H129" s="20"/>
      <c r="I129" s="9"/>
      <c r="J129" s="9"/>
      <c r="K129" s="9"/>
    </row>
    <row r="130" spans="1:11" s="13" customFormat="1" ht="30" customHeight="1" thickBot="1" x14ac:dyDescent="0.3">
      <c r="A130" s="19" t="s">
        <v>47</v>
      </c>
      <c r="B130" s="10"/>
      <c r="C130" s="14">
        <v>46079</v>
      </c>
      <c r="D130" s="11"/>
      <c r="E130" s="11"/>
      <c r="F130" s="12">
        <f t="shared" si="3"/>
        <v>0</v>
      </c>
      <c r="G130" s="20"/>
      <c r="H130" s="20"/>
      <c r="I130" s="9"/>
      <c r="J130" s="9"/>
      <c r="K130" s="9"/>
    </row>
    <row r="131" spans="1:11" s="13" customFormat="1" ht="30" customHeight="1" thickBot="1" x14ac:dyDescent="0.3">
      <c r="A131" s="19" t="s">
        <v>47</v>
      </c>
      <c r="B131" s="10"/>
      <c r="C131" s="14">
        <v>46079</v>
      </c>
      <c r="D131" s="11"/>
      <c r="E131" s="11"/>
      <c r="F131" s="12">
        <f t="shared" si="3"/>
        <v>0</v>
      </c>
      <c r="G131" s="20"/>
      <c r="H131" s="20"/>
      <c r="I131" s="9"/>
      <c r="J131" s="9"/>
      <c r="K131" s="9"/>
    </row>
    <row r="132" spans="1:11" s="13" customFormat="1" ht="30" customHeight="1" thickBot="1" x14ac:dyDescent="0.3">
      <c r="A132" s="19" t="s">
        <v>47</v>
      </c>
      <c r="B132" s="10"/>
      <c r="C132" s="14">
        <v>46079</v>
      </c>
      <c r="D132" s="11"/>
      <c r="E132" s="11"/>
      <c r="F132" s="12">
        <f t="shared" si="3"/>
        <v>0</v>
      </c>
      <c r="G132" s="20"/>
      <c r="H132" s="20"/>
      <c r="I132" s="9"/>
      <c r="J132" s="9"/>
      <c r="K132" s="9"/>
    </row>
    <row r="133" spans="1:11" s="13" customFormat="1" ht="30" customHeight="1" thickBot="1" x14ac:dyDescent="0.3">
      <c r="A133" s="19" t="s">
        <v>47</v>
      </c>
      <c r="B133" s="10"/>
      <c r="C133" s="14">
        <v>46079</v>
      </c>
      <c r="D133" s="11"/>
      <c r="E133" s="11"/>
      <c r="F133" s="12">
        <f t="shared" si="3"/>
        <v>0</v>
      </c>
      <c r="G133" s="20"/>
      <c r="H133" s="20"/>
      <c r="I133" s="9"/>
      <c r="J133" s="9"/>
      <c r="K133" s="9"/>
    </row>
    <row r="134" spans="1:11" s="13" customFormat="1" ht="30" customHeight="1" thickBot="1" x14ac:dyDescent="0.3">
      <c r="A134" s="19" t="s">
        <v>47</v>
      </c>
      <c r="B134" s="10"/>
      <c r="C134" s="14">
        <v>46079</v>
      </c>
      <c r="D134" s="11"/>
      <c r="E134" s="11"/>
      <c r="F134" s="12">
        <f t="shared" si="3"/>
        <v>0</v>
      </c>
      <c r="G134" s="20"/>
      <c r="H134" s="20"/>
      <c r="I134" s="9"/>
      <c r="J134" s="9"/>
      <c r="K134" s="9"/>
    </row>
    <row r="135" spans="1:11" s="13" customFormat="1" ht="30" customHeight="1" thickBot="1" x14ac:dyDescent="0.3">
      <c r="A135" s="19" t="s">
        <v>47</v>
      </c>
      <c r="B135" s="10"/>
      <c r="C135" s="14">
        <v>46079</v>
      </c>
      <c r="D135" s="11"/>
      <c r="E135" s="11"/>
      <c r="F135" s="12">
        <f t="shared" si="3"/>
        <v>0</v>
      </c>
      <c r="G135" s="20"/>
      <c r="H135" s="20"/>
      <c r="I135" s="9"/>
      <c r="J135" s="9"/>
      <c r="K135" s="9"/>
    </row>
    <row r="136" spans="1:11" s="13" customFormat="1" ht="30" customHeight="1" thickBot="1" x14ac:dyDescent="0.3">
      <c r="A136" s="19" t="s">
        <v>47</v>
      </c>
      <c r="B136" s="10"/>
      <c r="C136" s="14">
        <v>46079</v>
      </c>
      <c r="D136" s="11"/>
      <c r="E136" s="11"/>
      <c r="F136" s="12">
        <f t="shared" si="3"/>
        <v>0</v>
      </c>
      <c r="G136" s="20"/>
      <c r="H136" s="20"/>
      <c r="I136" s="9"/>
      <c r="J136" s="9"/>
      <c r="K136" s="9"/>
    </row>
    <row r="137" spans="1:11" s="13" customFormat="1" ht="30" customHeight="1" thickBot="1" x14ac:dyDescent="0.3">
      <c r="A137" s="19" t="s">
        <v>47</v>
      </c>
      <c r="B137" s="10"/>
      <c r="C137" s="31">
        <v>46080</v>
      </c>
      <c r="D137" s="32">
        <v>0.35416666666666669</v>
      </c>
      <c r="E137" s="32">
        <v>0.6875</v>
      </c>
      <c r="F137" s="33">
        <f>+(E137-D137)*24</f>
        <v>8</v>
      </c>
      <c r="G137" s="34" t="s">
        <v>21</v>
      </c>
      <c r="H137" s="34" t="s">
        <v>30</v>
      </c>
      <c r="I137" s="35"/>
      <c r="J137" s="35" t="s">
        <v>71</v>
      </c>
      <c r="K137" s="35"/>
    </row>
    <row r="138" spans="1:11" s="13" customFormat="1" ht="30" customHeight="1" thickBot="1" x14ac:dyDescent="0.3">
      <c r="A138" s="19" t="s">
        <v>47</v>
      </c>
      <c r="B138" s="10"/>
      <c r="C138" s="31">
        <v>46081</v>
      </c>
      <c r="D138" s="32">
        <v>0.35416666666666669</v>
      </c>
      <c r="E138" s="32">
        <v>0.6875</v>
      </c>
      <c r="F138" s="33">
        <f>+(E138-D138)*24</f>
        <v>8</v>
      </c>
      <c r="G138" s="34" t="s">
        <v>21</v>
      </c>
      <c r="H138" s="34" t="s">
        <v>30</v>
      </c>
      <c r="I138" s="35"/>
      <c r="J138" s="35" t="s">
        <v>71</v>
      </c>
      <c r="K138" s="35"/>
    </row>
    <row r="139" spans="1:11" s="13" customFormat="1" ht="30" customHeight="1" thickBot="1" x14ac:dyDescent="0.3">
      <c r="A139" s="19" t="s">
        <v>47</v>
      </c>
      <c r="B139" s="10"/>
      <c r="C139" s="14">
        <v>46081</v>
      </c>
      <c r="D139" s="11"/>
      <c r="E139" s="11"/>
      <c r="F139" s="12">
        <f t="shared" ref="F139:F165" si="4">+(E139-D139)*24</f>
        <v>0</v>
      </c>
      <c r="G139" s="20"/>
      <c r="H139" s="20"/>
      <c r="I139" s="9"/>
      <c r="J139" s="9"/>
      <c r="K139" s="9"/>
    </row>
    <row r="140" spans="1:11" s="13" customFormat="1" ht="30" customHeight="1" thickBot="1" x14ac:dyDescent="0.3">
      <c r="A140" s="19" t="s">
        <v>47</v>
      </c>
      <c r="B140" s="10"/>
      <c r="C140" s="14">
        <v>46081</v>
      </c>
      <c r="D140" s="11"/>
      <c r="E140" s="11"/>
      <c r="F140" s="12">
        <f t="shared" si="4"/>
        <v>0</v>
      </c>
      <c r="G140" s="20"/>
      <c r="H140" s="20"/>
      <c r="I140" s="9"/>
      <c r="J140" s="9"/>
      <c r="K140" s="9"/>
    </row>
    <row r="141" spans="1:11" s="13" customFormat="1" ht="30" customHeight="1" thickBot="1" x14ac:dyDescent="0.3">
      <c r="A141" s="19" t="s">
        <v>47</v>
      </c>
      <c r="B141" s="10"/>
      <c r="C141" s="14">
        <v>46081</v>
      </c>
      <c r="D141" s="11"/>
      <c r="E141" s="11"/>
      <c r="F141" s="12">
        <f t="shared" si="4"/>
        <v>0</v>
      </c>
      <c r="G141" s="20"/>
      <c r="H141" s="20"/>
      <c r="I141" s="9"/>
      <c r="J141" s="9"/>
      <c r="K141" s="9"/>
    </row>
    <row r="142" spans="1:11" s="13" customFormat="1" ht="30" customHeight="1" thickBot="1" x14ac:dyDescent="0.3">
      <c r="A142" s="19" t="s">
        <v>47</v>
      </c>
      <c r="B142" s="10"/>
      <c r="C142" s="14">
        <v>46081</v>
      </c>
      <c r="D142" s="11"/>
      <c r="E142" s="11"/>
      <c r="F142" s="12">
        <f t="shared" si="4"/>
        <v>0</v>
      </c>
      <c r="G142" s="20"/>
      <c r="H142" s="20"/>
      <c r="I142" s="9"/>
      <c r="J142" s="9"/>
      <c r="K142" s="9"/>
    </row>
    <row r="143" spans="1:11" s="13" customFormat="1" ht="30" customHeight="1" thickBot="1" x14ac:dyDescent="0.3">
      <c r="A143" s="19" t="s">
        <v>47</v>
      </c>
      <c r="B143" s="10"/>
      <c r="C143" s="14">
        <v>46081</v>
      </c>
      <c r="D143" s="11"/>
      <c r="E143" s="11"/>
      <c r="F143" s="12">
        <f t="shared" si="4"/>
        <v>0</v>
      </c>
      <c r="G143" s="20"/>
      <c r="H143" s="20"/>
      <c r="I143" s="9"/>
      <c r="J143" s="9"/>
      <c r="K143" s="9"/>
    </row>
    <row r="144" spans="1:11" s="13" customFormat="1" ht="30" customHeight="1" thickBot="1" x14ac:dyDescent="0.3">
      <c r="A144" s="19" t="s">
        <v>47</v>
      </c>
      <c r="B144" s="10"/>
      <c r="C144" s="14">
        <v>46081</v>
      </c>
      <c r="D144" s="11"/>
      <c r="E144" s="11"/>
      <c r="F144" s="12">
        <f t="shared" si="4"/>
        <v>0</v>
      </c>
      <c r="G144" s="20"/>
      <c r="H144" s="20"/>
      <c r="I144" s="9"/>
      <c r="J144" s="9"/>
      <c r="K144" s="9"/>
    </row>
    <row r="145" spans="1:11" s="13" customFormat="1" ht="30" customHeight="1" thickBot="1" x14ac:dyDescent="0.3">
      <c r="A145" s="19" t="s">
        <v>47</v>
      </c>
      <c r="B145" s="10"/>
      <c r="C145" s="14">
        <v>46081</v>
      </c>
      <c r="D145" s="11"/>
      <c r="E145" s="11"/>
      <c r="F145" s="12">
        <f t="shared" si="4"/>
        <v>0</v>
      </c>
      <c r="G145" s="20"/>
      <c r="H145" s="20"/>
      <c r="I145" s="9"/>
      <c r="J145" s="9"/>
      <c r="K145" s="9"/>
    </row>
    <row r="146" spans="1:11" s="13" customFormat="1" ht="30" customHeight="1" thickBot="1" x14ac:dyDescent="0.3">
      <c r="A146" s="19" t="s">
        <v>47</v>
      </c>
      <c r="B146" s="10"/>
      <c r="C146" s="14">
        <v>46081</v>
      </c>
      <c r="D146" s="11"/>
      <c r="E146" s="11"/>
      <c r="F146" s="12">
        <f t="shared" si="4"/>
        <v>0</v>
      </c>
      <c r="G146" s="20"/>
      <c r="H146" s="20"/>
      <c r="I146" s="9"/>
      <c r="J146" s="9"/>
      <c r="K146" s="9"/>
    </row>
    <row r="147" spans="1:11" s="13" customFormat="1" ht="30" customHeight="1" thickBot="1" x14ac:dyDescent="0.3">
      <c r="A147" s="19" t="s">
        <v>47</v>
      </c>
      <c r="B147" s="10"/>
      <c r="C147" s="14"/>
      <c r="D147" s="11"/>
      <c r="E147" s="11"/>
      <c r="F147" s="12">
        <f t="shared" si="4"/>
        <v>0</v>
      </c>
      <c r="G147" s="20"/>
      <c r="H147" s="20"/>
      <c r="I147" s="9"/>
      <c r="J147" s="9"/>
      <c r="K147" s="9"/>
    </row>
    <row r="148" spans="1:11" s="13" customFormat="1" ht="30" customHeight="1" thickBot="1" x14ac:dyDescent="0.3">
      <c r="A148" s="19" t="s">
        <v>47</v>
      </c>
      <c r="B148" s="10"/>
      <c r="C148" s="14"/>
      <c r="D148" s="11"/>
      <c r="E148" s="11"/>
      <c r="F148" s="12">
        <f t="shared" si="4"/>
        <v>0</v>
      </c>
      <c r="G148" s="20"/>
      <c r="H148" s="20"/>
      <c r="I148" s="9"/>
      <c r="J148" s="9"/>
      <c r="K148" s="9"/>
    </row>
    <row r="149" spans="1:11" s="13" customFormat="1" ht="30" customHeight="1" thickBot="1" x14ac:dyDescent="0.3">
      <c r="A149" s="19" t="s">
        <v>47</v>
      </c>
      <c r="B149" s="10"/>
      <c r="C149" s="14"/>
      <c r="D149" s="11"/>
      <c r="E149" s="11"/>
      <c r="F149" s="12">
        <f t="shared" si="4"/>
        <v>0</v>
      </c>
      <c r="G149" s="20"/>
      <c r="H149" s="20"/>
      <c r="I149" s="9"/>
      <c r="J149" s="9"/>
      <c r="K149" s="9"/>
    </row>
    <row r="150" spans="1:11" s="13" customFormat="1" ht="30" customHeight="1" thickBot="1" x14ac:dyDescent="0.3">
      <c r="A150" s="19" t="s">
        <v>47</v>
      </c>
      <c r="B150" s="10"/>
      <c r="C150" s="14"/>
      <c r="D150" s="11"/>
      <c r="E150" s="11"/>
      <c r="F150" s="12">
        <f t="shared" si="4"/>
        <v>0</v>
      </c>
      <c r="G150" s="20"/>
      <c r="H150" s="20"/>
      <c r="I150" s="9"/>
      <c r="J150" s="9"/>
      <c r="K150" s="9"/>
    </row>
    <row r="151" spans="1:11" s="13" customFormat="1" ht="30" customHeight="1" thickBot="1" x14ac:dyDescent="0.3">
      <c r="A151" s="19" t="s">
        <v>47</v>
      </c>
      <c r="B151" s="10"/>
      <c r="C151" s="14"/>
      <c r="D151" s="11"/>
      <c r="E151" s="11"/>
      <c r="F151" s="12">
        <f t="shared" si="4"/>
        <v>0</v>
      </c>
      <c r="G151" s="20"/>
      <c r="H151" s="20"/>
      <c r="I151" s="9"/>
      <c r="J151" s="9"/>
      <c r="K151" s="9"/>
    </row>
    <row r="152" spans="1:11" s="13" customFormat="1" ht="30" customHeight="1" thickBot="1" x14ac:dyDescent="0.3">
      <c r="A152" s="19" t="s">
        <v>47</v>
      </c>
      <c r="B152" s="10"/>
      <c r="C152" s="14"/>
      <c r="D152" s="11"/>
      <c r="E152" s="11"/>
      <c r="F152" s="12">
        <f t="shared" si="4"/>
        <v>0</v>
      </c>
      <c r="G152" s="20"/>
      <c r="H152" s="20"/>
      <c r="I152" s="9"/>
      <c r="J152" s="9"/>
      <c r="K152" s="9"/>
    </row>
    <row r="153" spans="1:11" s="13" customFormat="1" ht="30" customHeight="1" thickBot="1" x14ac:dyDescent="0.3">
      <c r="A153" s="19" t="s">
        <v>47</v>
      </c>
      <c r="B153" s="10"/>
      <c r="C153" s="14"/>
      <c r="D153" s="11"/>
      <c r="E153" s="11"/>
      <c r="F153" s="12">
        <f t="shared" si="4"/>
        <v>0</v>
      </c>
      <c r="G153" s="20"/>
      <c r="H153" s="20"/>
      <c r="I153" s="9"/>
      <c r="J153" s="9"/>
      <c r="K153" s="9"/>
    </row>
    <row r="154" spans="1:11" s="13" customFormat="1" ht="30" customHeight="1" thickBot="1" x14ac:dyDescent="0.3">
      <c r="A154" s="19" t="s">
        <v>47</v>
      </c>
      <c r="B154" s="10"/>
      <c r="C154" s="14"/>
      <c r="D154" s="11"/>
      <c r="E154" s="11"/>
      <c r="F154" s="12">
        <f t="shared" si="4"/>
        <v>0</v>
      </c>
      <c r="G154" s="20"/>
      <c r="H154" s="20"/>
      <c r="I154" s="9"/>
      <c r="J154" s="9"/>
      <c r="K154" s="9"/>
    </row>
    <row r="155" spans="1:11" s="13" customFormat="1" ht="30" customHeight="1" thickBot="1" x14ac:dyDescent="0.3">
      <c r="A155" s="19" t="s">
        <v>47</v>
      </c>
      <c r="B155" s="10"/>
      <c r="C155" s="14"/>
      <c r="D155" s="11"/>
      <c r="E155" s="11"/>
      <c r="F155" s="12">
        <f t="shared" si="4"/>
        <v>0</v>
      </c>
      <c r="G155" s="20"/>
      <c r="H155" s="20"/>
      <c r="I155" s="9"/>
      <c r="J155" s="9"/>
      <c r="K155" s="9"/>
    </row>
    <row r="156" spans="1:11" s="13" customFormat="1" ht="30" customHeight="1" thickBot="1" x14ac:dyDescent="0.3">
      <c r="A156" s="19" t="s">
        <v>47</v>
      </c>
      <c r="B156" s="10"/>
      <c r="C156" s="14"/>
      <c r="D156" s="11"/>
      <c r="E156" s="11"/>
      <c r="F156" s="12">
        <f t="shared" si="4"/>
        <v>0</v>
      </c>
      <c r="G156" s="20"/>
      <c r="H156" s="20"/>
      <c r="I156" s="9"/>
      <c r="J156" s="9"/>
      <c r="K156" s="9"/>
    </row>
    <row r="157" spans="1:11" s="13" customFormat="1" ht="30" customHeight="1" thickBot="1" x14ac:dyDescent="0.3">
      <c r="A157" s="19" t="s">
        <v>47</v>
      </c>
      <c r="B157" s="10"/>
      <c r="C157" s="14"/>
      <c r="D157" s="11"/>
      <c r="E157" s="11"/>
      <c r="F157" s="12">
        <f t="shared" si="4"/>
        <v>0</v>
      </c>
      <c r="G157" s="20"/>
      <c r="H157" s="20"/>
      <c r="I157" s="9"/>
      <c r="J157" s="9"/>
      <c r="K157" s="9"/>
    </row>
    <row r="158" spans="1:11" s="13" customFormat="1" ht="30" customHeight="1" thickBot="1" x14ac:dyDescent="0.3">
      <c r="A158" s="19" t="s">
        <v>47</v>
      </c>
      <c r="B158" s="10"/>
      <c r="C158" s="14"/>
      <c r="D158" s="11"/>
      <c r="E158" s="11"/>
      <c r="F158" s="12">
        <f t="shared" si="4"/>
        <v>0</v>
      </c>
      <c r="G158" s="20"/>
      <c r="H158" s="20"/>
      <c r="I158" s="9"/>
      <c r="J158" s="9"/>
      <c r="K158" s="9"/>
    </row>
    <row r="159" spans="1:11" s="13" customFormat="1" ht="30" customHeight="1" thickBot="1" x14ac:dyDescent="0.3">
      <c r="A159" s="19" t="s">
        <v>47</v>
      </c>
      <c r="B159" s="10"/>
      <c r="C159" s="14"/>
      <c r="D159" s="11"/>
      <c r="E159" s="11"/>
      <c r="F159" s="12">
        <f t="shared" si="4"/>
        <v>0</v>
      </c>
      <c r="G159" s="20"/>
      <c r="H159" s="20"/>
      <c r="I159" s="9"/>
      <c r="J159" s="9"/>
      <c r="K159" s="9"/>
    </row>
    <row r="160" spans="1:11" s="13" customFormat="1" ht="30" customHeight="1" thickBot="1" x14ac:dyDescent="0.3">
      <c r="A160" s="19" t="s">
        <v>47</v>
      </c>
      <c r="B160" s="10"/>
      <c r="C160" s="14"/>
      <c r="D160" s="11"/>
      <c r="E160" s="11"/>
      <c r="F160" s="12">
        <f t="shared" si="4"/>
        <v>0</v>
      </c>
      <c r="G160" s="20"/>
      <c r="H160" s="20"/>
      <c r="I160" s="9"/>
      <c r="J160" s="9"/>
      <c r="K160" s="9"/>
    </row>
    <row r="161" spans="1:11" s="13" customFormat="1" ht="30" customHeight="1" thickBot="1" x14ac:dyDescent="0.3">
      <c r="A161" s="19" t="s">
        <v>47</v>
      </c>
      <c r="B161" s="10"/>
      <c r="C161" s="14"/>
      <c r="D161" s="11"/>
      <c r="E161" s="11"/>
      <c r="F161" s="12">
        <f t="shared" si="4"/>
        <v>0</v>
      </c>
      <c r="G161" s="20"/>
      <c r="H161" s="20"/>
      <c r="I161" s="9"/>
      <c r="J161" s="9"/>
      <c r="K161" s="9"/>
    </row>
    <row r="162" spans="1:11" s="13" customFormat="1" ht="30" customHeight="1" thickBot="1" x14ac:dyDescent="0.3">
      <c r="A162" s="19" t="s">
        <v>47</v>
      </c>
      <c r="B162" s="10"/>
      <c r="C162" s="14"/>
      <c r="D162" s="11"/>
      <c r="E162" s="11"/>
      <c r="F162" s="12">
        <f t="shared" si="4"/>
        <v>0</v>
      </c>
      <c r="G162" s="20"/>
      <c r="H162" s="20"/>
      <c r="I162" s="9"/>
      <c r="J162" s="9"/>
      <c r="K162" s="9"/>
    </row>
    <row r="163" spans="1:11" s="13" customFormat="1" ht="30" customHeight="1" thickBot="1" x14ac:dyDescent="0.3">
      <c r="A163" s="19" t="s">
        <v>47</v>
      </c>
      <c r="B163" s="10"/>
      <c r="C163" s="14"/>
      <c r="D163" s="11"/>
      <c r="E163" s="11"/>
      <c r="F163" s="12">
        <f t="shared" si="4"/>
        <v>0</v>
      </c>
      <c r="G163" s="20"/>
      <c r="H163" s="20"/>
      <c r="I163" s="9"/>
      <c r="J163" s="9"/>
      <c r="K163" s="9"/>
    </row>
    <row r="164" spans="1:11" s="13" customFormat="1" ht="30" customHeight="1" thickBot="1" x14ac:dyDescent="0.3">
      <c r="A164" s="19" t="s">
        <v>47</v>
      </c>
      <c r="B164" s="10"/>
      <c r="C164" s="14"/>
      <c r="D164" s="11"/>
      <c r="E164" s="11"/>
      <c r="F164" s="12">
        <f t="shared" si="4"/>
        <v>0</v>
      </c>
      <c r="G164" s="20"/>
      <c r="H164" s="20"/>
      <c r="I164" s="9"/>
      <c r="J164" s="9"/>
      <c r="K164" s="9"/>
    </row>
    <row r="165" spans="1:11" s="13" customFormat="1" ht="30" customHeight="1" thickBot="1" x14ac:dyDescent="0.3">
      <c r="A165" s="19" t="s">
        <v>47</v>
      </c>
      <c r="B165" s="10"/>
      <c r="C165" s="14"/>
      <c r="D165" s="11"/>
      <c r="E165" s="11"/>
      <c r="F165" s="12">
        <f t="shared" si="4"/>
        <v>0</v>
      </c>
      <c r="G165" s="20"/>
      <c r="H165" s="20"/>
      <c r="I165" s="9"/>
      <c r="J165" s="9"/>
      <c r="K165" s="9"/>
    </row>
    <row r="166" spans="1:11" s="13" customFormat="1" ht="30" customHeight="1" thickBot="1" x14ac:dyDescent="0.3">
      <c r="A166" s="19" t="s">
        <v>47</v>
      </c>
      <c r="B166" s="10"/>
      <c r="C166" s="14"/>
      <c r="D166" s="11"/>
      <c r="E166" s="11"/>
      <c r="F166" s="12">
        <f t="shared" ref="F166:F229" si="5">+(E166-D166)*24</f>
        <v>0</v>
      </c>
      <c r="G166" s="20"/>
      <c r="H166" s="20"/>
      <c r="I166" s="9"/>
      <c r="J166" s="9"/>
      <c r="K166" s="9"/>
    </row>
    <row r="167" spans="1:11" s="13" customFormat="1" ht="30" customHeight="1" thickBot="1" x14ac:dyDescent="0.3">
      <c r="A167" s="19" t="s">
        <v>47</v>
      </c>
      <c r="B167" s="10"/>
      <c r="C167" s="14"/>
      <c r="D167" s="11"/>
      <c r="E167" s="11"/>
      <c r="F167" s="12">
        <f t="shared" si="5"/>
        <v>0</v>
      </c>
      <c r="G167" s="20"/>
      <c r="H167" s="20"/>
      <c r="I167" s="9"/>
      <c r="J167" s="9"/>
      <c r="K167" s="9"/>
    </row>
    <row r="168" spans="1:11" s="13" customFormat="1" ht="30" customHeight="1" thickBot="1" x14ac:dyDescent="0.3">
      <c r="A168" s="19" t="s">
        <v>47</v>
      </c>
      <c r="B168" s="10"/>
      <c r="C168" s="14"/>
      <c r="D168" s="11"/>
      <c r="E168" s="11"/>
      <c r="F168" s="12">
        <f t="shared" si="5"/>
        <v>0</v>
      </c>
      <c r="G168" s="20"/>
      <c r="H168" s="20"/>
      <c r="I168" s="9"/>
      <c r="J168" s="9"/>
      <c r="K168" s="9"/>
    </row>
    <row r="169" spans="1:11" s="13" customFormat="1" ht="30" customHeight="1" thickBot="1" x14ac:dyDescent="0.3">
      <c r="A169" s="19" t="s">
        <v>47</v>
      </c>
      <c r="B169" s="10"/>
      <c r="C169" s="14"/>
      <c r="D169" s="11"/>
      <c r="E169" s="11"/>
      <c r="F169" s="12">
        <f t="shared" si="5"/>
        <v>0</v>
      </c>
      <c r="G169" s="20"/>
      <c r="H169" s="20"/>
      <c r="I169" s="9"/>
      <c r="J169" s="9"/>
      <c r="K169" s="9"/>
    </row>
    <row r="170" spans="1:11" s="13" customFormat="1" ht="30" customHeight="1" thickBot="1" x14ac:dyDescent="0.3">
      <c r="A170" s="19" t="s">
        <v>47</v>
      </c>
      <c r="B170" s="10"/>
      <c r="C170" s="14"/>
      <c r="D170" s="11"/>
      <c r="E170" s="11"/>
      <c r="F170" s="12">
        <f t="shared" si="5"/>
        <v>0</v>
      </c>
      <c r="G170" s="20"/>
      <c r="H170" s="20"/>
      <c r="I170" s="9"/>
      <c r="J170" s="9"/>
      <c r="K170" s="9"/>
    </row>
    <row r="171" spans="1:11" s="13" customFormat="1" ht="30" customHeight="1" thickBot="1" x14ac:dyDescent="0.3">
      <c r="A171" s="19" t="s">
        <v>47</v>
      </c>
      <c r="B171" s="10"/>
      <c r="C171" s="14"/>
      <c r="D171" s="11"/>
      <c r="E171" s="11"/>
      <c r="F171" s="12">
        <f t="shared" si="5"/>
        <v>0</v>
      </c>
      <c r="G171" s="20"/>
      <c r="H171" s="20"/>
      <c r="I171" s="9"/>
      <c r="J171" s="9"/>
      <c r="K171" s="9"/>
    </row>
    <row r="172" spans="1:11" s="13" customFormat="1" ht="30" customHeight="1" thickBot="1" x14ac:dyDescent="0.3">
      <c r="A172" s="19" t="s">
        <v>47</v>
      </c>
      <c r="B172" s="10"/>
      <c r="C172" s="14"/>
      <c r="D172" s="11"/>
      <c r="E172" s="11"/>
      <c r="F172" s="12">
        <f t="shared" si="5"/>
        <v>0</v>
      </c>
      <c r="G172" s="20"/>
      <c r="H172" s="20"/>
      <c r="I172" s="9"/>
      <c r="J172" s="9"/>
      <c r="K172" s="9"/>
    </row>
    <row r="173" spans="1:11" s="13" customFormat="1" ht="30" customHeight="1" thickBot="1" x14ac:dyDescent="0.3">
      <c r="A173" s="19" t="s">
        <v>47</v>
      </c>
      <c r="B173" s="10"/>
      <c r="C173" s="14"/>
      <c r="D173" s="11"/>
      <c r="E173" s="11"/>
      <c r="F173" s="12">
        <f t="shared" si="5"/>
        <v>0</v>
      </c>
      <c r="G173" s="20"/>
      <c r="H173" s="20"/>
      <c r="I173" s="9"/>
      <c r="J173" s="9"/>
      <c r="K173" s="9"/>
    </row>
    <row r="174" spans="1:11" s="13" customFormat="1" ht="30" customHeight="1" thickBot="1" x14ac:dyDescent="0.3">
      <c r="A174" s="19" t="s">
        <v>47</v>
      </c>
      <c r="B174" s="10"/>
      <c r="C174" s="14"/>
      <c r="D174" s="11"/>
      <c r="E174" s="11"/>
      <c r="F174" s="12">
        <f t="shared" si="5"/>
        <v>0</v>
      </c>
      <c r="G174" s="20"/>
      <c r="H174" s="20"/>
      <c r="I174" s="9"/>
      <c r="J174" s="9"/>
      <c r="K174" s="9"/>
    </row>
    <row r="175" spans="1:11" s="13" customFormat="1" ht="30" customHeight="1" thickBot="1" x14ac:dyDescent="0.3">
      <c r="A175" s="19" t="s">
        <v>47</v>
      </c>
      <c r="B175" s="10"/>
      <c r="C175" s="14"/>
      <c r="D175" s="11"/>
      <c r="E175" s="11"/>
      <c r="F175" s="12">
        <f t="shared" si="5"/>
        <v>0</v>
      </c>
      <c r="G175" s="20"/>
      <c r="H175" s="20"/>
      <c r="I175" s="9"/>
      <c r="J175" s="9"/>
      <c r="K175" s="9"/>
    </row>
    <row r="176" spans="1:11" s="13" customFormat="1" ht="30" customHeight="1" thickBot="1" x14ac:dyDescent="0.3">
      <c r="A176" s="19" t="s">
        <v>47</v>
      </c>
      <c r="B176" s="10"/>
      <c r="C176" s="14"/>
      <c r="D176" s="11"/>
      <c r="E176" s="11"/>
      <c r="F176" s="12">
        <f t="shared" si="5"/>
        <v>0</v>
      </c>
      <c r="G176" s="20"/>
      <c r="H176" s="20"/>
      <c r="I176" s="9"/>
      <c r="J176" s="9"/>
      <c r="K176" s="9"/>
    </row>
    <row r="177" spans="1:11" s="13" customFormat="1" ht="30" customHeight="1" thickBot="1" x14ac:dyDescent="0.3">
      <c r="A177" s="19" t="s">
        <v>47</v>
      </c>
      <c r="B177" s="10"/>
      <c r="C177" s="14"/>
      <c r="D177" s="11"/>
      <c r="E177" s="11"/>
      <c r="F177" s="12">
        <f t="shared" si="5"/>
        <v>0</v>
      </c>
      <c r="G177" s="20"/>
      <c r="H177" s="20"/>
      <c r="I177" s="9"/>
      <c r="J177" s="9"/>
      <c r="K177" s="9"/>
    </row>
    <row r="178" spans="1:11" s="13" customFormat="1" ht="30" customHeight="1" thickBot="1" x14ac:dyDescent="0.3">
      <c r="A178" s="19" t="s">
        <v>47</v>
      </c>
      <c r="B178" s="10"/>
      <c r="C178" s="14"/>
      <c r="D178" s="11"/>
      <c r="E178" s="11"/>
      <c r="F178" s="12">
        <f t="shared" si="5"/>
        <v>0</v>
      </c>
      <c r="G178" s="20"/>
      <c r="H178" s="20"/>
      <c r="I178" s="9"/>
      <c r="J178" s="9"/>
      <c r="K178" s="9"/>
    </row>
    <row r="179" spans="1:11" s="13" customFormat="1" ht="30" customHeight="1" thickBot="1" x14ac:dyDescent="0.3">
      <c r="A179" s="19" t="s">
        <v>47</v>
      </c>
      <c r="B179" s="10"/>
      <c r="C179" s="14"/>
      <c r="D179" s="11"/>
      <c r="E179" s="11"/>
      <c r="F179" s="12">
        <f t="shared" si="5"/>
        <v>0</v>
      </c>
      <c r="G179" s="20"/>
      <c r="H179" s="20"/>
      <c r="I179" s="9"/>
      <c r="J179" s="9"/>
      <c r="K179" s="9"/>
    </row>
    <row r="180" spans="1:11" s="13" customFormat="1" ht="30" customHeight="1" thickBot="1" x14ac:dyDescent="0.3">
      <c r="A180" s="19" t="s">
        <v>47</v>
      </c>
      <c r="B180" s="10"/>
      <c r="C180" s="14"/>
      <c r="D180" s="11"/>
      <c r="E180" s="11"/>
      <c r="F180" s="12">
        <f t="shared" si="5"/>
        <v>0</v>
      </c>
      <c r="G180" s="20"/>
      <c r="H180" s="20"/>
      <c r="I180" s="9"/>
      <c r="J180" s="9"/>
      <c r="K180" s="9"/>
    </row>
    <row r="181" spans="1:11" s="13" customFormat="1" ht="30" customHeight="1" thickBot="1" x14ac:dyDescent="0.3">
      <c r="A181" s="19" t="s">
        <v>47</v>
      </c>
      <c r="B181" s="10"/>
      <c r="C181" s="14"/>
      <c r="D181" s="11"/>
      <c r="E181" s="11"/>
      <c r="F181" s="12">
        <f t="shared" si="5"/>
        <v>0</v>
      </c>
      <c r="G181" s="20"/>
      <c r="H181" s="20"/>
      <c r="I181" s="9"/>
      <c r="J181" s="9"/>
      <c r="K181" s="9"/>
    </row>
    <row r="182" spans="1:11" s="13" customFormat="1" ht="30" customHeight="1" thickBot="1" x14ac:dyDescent="0.3">
      <c r="A182" s="19" t="s">
        <v>47</v>
      </c>
      <c r="B182" s="10"/>
      <c r="C182" s="14"/>
      <c r="D182" s="11"/>
      <c r="E182" s="11"/>
      <c r="F182" s="12">
        <f t="shared" si="5"/>
        <v>0</v>
      </c>
      <c r="G182" s="20"/>
      <c r="H182" s="20"/>
      <c r="I182" s="9"/>
      <c r="J182" s="9"/>
      <c r="K182" s="9"/>
    </row>
    <row r="183" spans="1:11" s="13" customFormat="1" ht="30" customHeight="1" thickBot="1" x14ac:dyDescent="0.3">
      <c r="A183" s="19" t="s">
        <v>47</v>
      </c>
      <c r="B183" s="10"/>
      <c r="C183" s="14"/>
      <c r="D183" s="11"/>
      <c r="E183" s="11"/>
      <c r="F183" s="12">
        <f t="shared" si="5"/>
        <v>0</v>
      </c>
      <c r="G183" s="20"/>
      <c r="H183" s="20"/>
      <c r="I183" s="9"/>
      <c r="J183" s="9"/>
      <c r="K183" s="9"/>
    </row>
    <row r="184" spans="1:11" s="13" customFormat="1" ht="30" customHeight="1" thickBot="1" x14ac:dyDescent="0.3">
      <c r="A184" s="19" t="s">
        <v>47</v>
      </c>
      <c r="B184" s="10"/>
      <c r="C184" s="14"/>
      <c r="D184" s="11"/>
      <c r="E184" s="11"/>
      <c r="F184" s="12">
        <f t="shared" si="5"/>
        <v>0</v>
      </c>
      <c r="G184" s="20"/>
      <c r="H184" s="20"/>
      <c r="I184" s="9"/>
      <c r="J184" s="9"/>
      <c r="K184" s="9"/>
    </row>
    <row r="185" spans="1:11" s="13" customFormat="1" ht="30" customHeight="1" thickBot="1" x14ac:dyDescent="0.3">
      <c r="A185" s="19" t="s">
        <v>47</v>
      </c>
      <c r="B185" s="10"/>
      <c r="C185" s="14"/>
      <c r="D185" s="11"/>
      <c r="E185" s="11"/>
      <c r="F185" s="12">
        <f t="shared" si="5"/>
        <v>0</v>
      </c>
      <c r="G185" s="20"/>
      <c r="H185" s="20"/>
      <c r="I185" s="9"/>
      <c r="J185" s="9"/>
      <c r="K185" s="9"/>
    </row>
    <row r="186" spans="1:11" s="13" customFormat="1" ht="30" customHeight="1" thickBot="1" x14ac:dyDescent="0.3">
      <c r="A186" s="19" t="s">
        <v>47</v>
      </c>
      <c r="B186" s="10"/>
      <c r="C186" s="14"/>
      <c r="D186" s="11"/>
      <c r="E186" s="11"/>
      <c r="F186" s="12">
        <f t="shared" si="5"/>
        <v>0</v>
      </c>
      <c r="G186" s="20"/>
      <c r="H186" s="20"/>
      <c r="I186" s="9"/>
      <c r="J186" s="9"/>
      <c r="K186" s="9"/>
    </row>
    <row r="187" spans="1:11" ht="30" customHeight="1" thickBot="1" x14ac:dyDescent="0.25">
      <c r="A187" s="19" t="s">
        <v>47</v>
      </c>
      <c r="B187" s="10"/>
      <c r="C187" s="14"/>
      <c r="D187" s="11"/>
      <c r="E187" s="11"/>
      <c r="F187" s="12">
        <f t="shared" si="5"/>
        <v>0</v>
      </c>
      <c r="G187" s="20"/>
      <c r="H187" s="20"/>
      <c r="I187" s="9"/>
      <c r="J187" s="9"/>
      <c r="K187" s="9"/>
    </row>
    <row r="188" spans="1:11" ht="30" customHeight="1" thickBot="1" x14ac:dyDescent="0.25">
      <c r="A188" s="19" t="s">
        <v>47</v>
      </c>
      <c r="B188" s="10"/>
      <c r="C188" s="14"/>
      <c r="D188" s="11"/>
      <c r="E188" s="11"/>
      <c r="F188" s="12">
        <f t="shared" si="5"/>
        <v>0</v>
      </c>
      <c r="G188" s="20"/>
      <c r="H188" s="20"/>
      <c r="I188" s="9"/>
      <c r="J188" s="9"/>
      <c r="K188" s="9"/>
    </row>
    <row r="189" spans="1:11" ht="30" customHeight="1" thickBot="1" x14ac:dyDescent="0.25">
      <c r="A189" s="19" t="s">
        <v>47</v>
      </c>
      <c r="B189" s="10"/>
      <c r="C189" s="14"/>
      <c r="D189" s="11"/>
      <c r="E189" s="11"/>
      <c r="F189" s="12">
        <f t="shared" si="5"/>
        <v>0</v>
      </c>
      <c r="G189" s="20"/>
      <c r="H189" s="20"/>
      <c r="I189" s="9"/>
      <c r="J189" s="9"/>
      <c r="K189" s="9"/>
    </row>
    <row r="190" spans="1:11" ht="30" customHeight="1" thickBot="1" x14ac:dyDescent="0.25">
      <c r="A190" s="19" t="s">
        <v>47</v>
      </c>
      <c r="B190" s="10"/>
      <c r="C190" s="14"/>
      <c r="D190" s="11"/>
      <c r="E190" s="11"/>
      <c r="F190" s="12">
        <f t="shared" si="5"/>
        <v>0</v>
      </c>
      <c r="G190" s="20"/>
      <c r="H190" s="20"/>
      <c r="I190" s="9"/>
      <c r="J190" s="9"/>
      <c r="K190" s="9"/>
    </row>
    <row r="191" spans="1:11" ht="30" customHeight="1" thickBot="1" x14ac:dyDescent="0.25">
      <c r="A191" s="19" t="s">
        <v>47</v>
      </c>
      <c r="B191" s="10"/>
      <c r="C191" s="14"/>
      <c r="D191" s="11"/>
      <c r="E191" s="11"/>
      <c r="F191" s="12">
        <f t="shared" si="5"/>
        <v>0</v>
      </c>
      <c r="G191" s="20"/>
      <c r="H191" s="20"/>
      <c r="I191" s="9"/>
      <c r="J191" s="9"/>
      <c r="K191" s="9"/>
    </row>
    <row r="192" spans="1:11" ht="30" customHeight="1" thickBot="1" x14ac:dyDescent="0.25">
      <c r="A192" s="19" t="s">
        <v>47</v>
      </c>
      <c r="B192" s="10"/>
      <c r="C192" s="14"/>
      <c r="D192" s="11"/>
      <c r="E192" s="11"/>
      <c r="F192" s="12">
        <f t="shared" si="5"/>
        <v>0</v>
      </c>
      <c r="G192" s="20"/>
      <c r="H192" s="20"/>
      <c r="I192" s="9"/>
      <c r="J192" s="9"/>
      <c r="K192" s="9"/>
    </row>
    <row r="193" spans="1:11" ht="30" customHeight="1" thickBot="1" x14ac:dyDescent="0.25">
      <c r="A193" s="19" t="s">
        <v>47</v>
      </c>
      <c r="B193" s="10"/>
      <c r="C193" s="14"/>
      <c r="D193" s="11"/>
      <c r="E193" s="11"/>
      <c r="F193" s="12">
        <f t="shared" si="5"/>
        <v>0</v>
      </c>
      <c r="G193" s="20"/>
      <c r="H193" s="20"/>
      <c r="I193" s="9"/>
      <c r="J193" s="9"/>
      <c r="K193" s="9"/>
    </row>
    <row r="194" spans="1:11" ht="30" customHeight="1" thickBot="1" x14ac:dyDescent="0.25">
      <c r="A194" s="19" t="s">
        <v>47</v>
      </c>
      <c r="B194" s="10"/>
      <c r="C194" s="14"/>
      <c r="D194" s="11"/>
      <c r="E194" s="11"/>
      <c r="F194" s="12">
        <f t="shared" si="5"/>
        <v>0</v>
      </c>
      <c r="G194" s="20"/>
      <c r="H194" s="20"/>
      <c r="I194" s="9"/>
      <c r="J194" s="9"/>
      <c r="K194" s="9"/>
    </row>
    <row r="195" spans="1:11" ht="30" customHeight="1" thickBot="1" x14ac:dyDescent="0.25">
      <c r="A195" s="19" t="s">
        <v>47</v>
      </c>
      <c r="B195" s="10"/>
      <c r="C195" s="14"/>
      <c r="D195" s="11"/>
      <c r="E195" s="11"/>
      <c r="F195" s="12">
        <f t="shared" si="5"/>
        <v>0</v>
      </c>
      <c r="G195" s="20"/>
      <c r="H195" s="20"/>
      <c r="I195" s="9"/>
      <c r="J195" s="9"/>
      <c r="K195" s="9"/>
    </row>
    <row r="196" spans="1:11" ht="30" customHeight="1" thickBot="1" x14ac:dyDescent="0.25">
      <c r="A196" s="19" t="s">
        <v>47</v>
      </c>
      <c r="B196" s="10"/>
      <c r="C196" s="14"/>
      <c r="D196" s="11"/>
      <c r="E196" s="11"/>
      <c r="F196" s="12">
        <f t="shared" si="5"/>
        <v>0</v>
      </c>
      <c r="G196" s="20"/>
      <c r="H196" s="20"/>
      <c r="I196" s="9"/>
      <c r="J196" s="9"/>
      <c r="K196" s="9"/>
    </row>
    <row r="197" spans="1:11" ht="30" customHeight="1" thickBot="1" x14ac:dyDescent="0.25">
      <c r="A197" s="19" t="s">
        <v>47</v>
      </c>
      <c r="B197" s="10"/>
      <c r="C197" s="14"/>
      <c r="D197" s="11"/>
      <c r="E197" s="11"/>
      <c r="F197" s="12">
        <f t="shared" si="5"/>
        <v>0</v>
      </c>
      <c r="G197" s="20"/>
      <c r="H197" s="20"/>
      <c r="I197" s="9"/>
      <c r="J197" s="9"/>
      <c r="K197" s="9"/>
    </row>
    <row r="198" spans="1:11" ht="30" customHeight="1" thickBot="1" x14ac:dyDescent="0.25">
      <c r="A198" s="19" t="s">
        <v>47</v>
      </c>
      <c r="B198" s="10"/>
      <c r="C198" s="14"/>
      <c r="D198" s="11"/>
      <c r="E198" s="11"/>
      <c r="F198" s="12">
        <f t="shared" si="5"/>
        <v>0</v>
      </c>
      <c r="G198" s="20"/>
      <c r="H198" s="20"/>
      <c r="I198" s="9"/>
      <c r="J198" s="9"/>
      <c r="K198" s="9"/>
    </row>
    <row r="199" spans="1:11" ht="30" customHeight="1" thickBot="1" x14ac:dyDescent="0.25">
      <c r="A199" s="19" t="s">
        <v>47</v>
      </c>
      <c r="B199" s="10"/>
      <c r="C199" s="14"/>
      <c r="D199" s="11"/>
      <c r="E199" s="11"/>
      <c r="F199" s="12">
        <f t="shared" si="5"/>
        <v>0</v>
      </c>
      <c r="G199" s="20"/>
      <c r="H199" s="20"/>
      <c r="I199" s="9"/>
      <c r="J199" s="9"/>
      <c r="K199" s="9"/>
    </row>
    <row r="200" spans="1:11" ht="30" customHeight="1" thickBot="1" x14ac:dyDescent="0.25">
      <c r="A200" s="19" t="s">
        <v>47</v>
      </c>
      <c r="B200" s="10"/>
      <c r="C200" s="14"/>
      <c r="D200" s="11"/>
      <c r="E200" s="11"/>
      <c r="F200" s="12">
        <f t="shared" si="5"/>
        <v>0</v>
      </c>
      <c r="G200" s="20"/>
      <c r="H200" s="20"/>
      <c r="I200" s="9"/>
      <c r="J200" s="9"/>
      <c r="K200" s="9"/>
    </row>
    <row r="201" spans="1:11" ht="30" customHeight="1" thickBot="1" x14ac:dyDescent="0.25">
      <c r="A201" s="19" t="s">
        <v>47</v>
      </c>
      <c r="B201" s="10"/>
      <c r="C201" s="14"/>
      <c r="D201" s="11"/>
      <c r="E201" s="11"/>
      <c r="F201" s="12">
        <f t="shared" si="5"/>
        <v>0</v>
      </c>
      <c r="G201" s="20"/>
      <c r="H201" s="20"/>
      <c r="I201" s="9"/>
      <c r="J201" s="9"/>
      <c r="K201" s="9"/>
    </row>
    <row r="202" spans="1:11" ht="30" customHeight="1" thickBot="1" x14ac:dyDescent="0.25">
      <c r="A202" s="19" t="s">
        <v>47</v>
      </c>
      <c r="B202" s="10"/>
      <c r="C202" s="14"/>
      <c r="D202" s="11"/>
      <c r="E202" s="11"/>
      <c r="F202" s="12">
        <f t="shared" si="5"/>
        <v>0</v>
      </c>
      <c r="G202" s="20"/>
      <c r="H202" s="20"/>
      <c r="I202" s="9"/>
      <c r="J202" s="9"/>
      <c r="K202" s="9"/>
    </row>
    <row r="203" spans="1:11" ht="30" customHeight="1" thickBot="1" x14ac:dyDescent="0.25">
      <c r="A203" s="19" t="s">
        <v>47</v>
      </c>
      <c r="B203" s="10"/>
      <c r="C203" s="14"/>
      <c r="D203" s="11"/>
      <c r="E203" s="11"/>
      <c r="F203" s="12">
        <f t="shared" si="5"/>
        <v>0</v>
      </c>
      <c r="G203" s="20"/>
      <c r="H203" s="20"/>
      <c r="I203" s="9"/>
      <c r="J203" s="9"/>
      <c r="K203" s="9"/>
    </row>
    <row r="204" spans="1:11" ht="30" customHeight="1" thickBot="1" x14ac:dyDescent="0.25">
      <c r="A204" s="19" t="s">
        <v>47</v>
      </c>
      <c r="B204" s="10"/>
      <c r="C204" s="14"/>
      <c r="D204" s="11"/>
      <c r="E204" s="11"/>
      <c r="F204" s="12">
        <f t="shared" si="5"/>
        <v>0</v>
      </c>
      <c r="G204" s="20"/>
      <c r="H204" s="20"/>
      <c r="I204" s="9"/>
      <c r="J204" s="9"/>
      <c r="K204" s="9"/>
    </row>
    <row r="205" spans="1:11" ht="30" customHeight="1" thickBot="1" x14ac:dyDescent="0.25">
      <c r="A205" s="19" t="s">
        <v>47</v>
      </c>
      <c r="B205" s="10"/>
      <c r="C205" s="14"/>
      <c r="D205" s="11"/>
      <c r="E205" s="11"/>
      <c r="F205" s="12">
        <f t="shared" si="5"/>
        <v>0</v>
      </c>
      <c r="G205" s="20"/>
      <c r="H205" s="20"/>
      <c r="I205" s="9"/>
      <c r="J205" s="9"/>
      <c r="K205" s="9"/>
    </row>
    <row r="206" spans="1:11" ht="30" customHeight="1" thickBot="1" x14ac:dyDescent="0.25">
      <c r="A206" s="19" t="s">
        <v>47</v>
      </c>
      <c r="B206" s="10"/>
      <c r="C206" s="14"/>
      <c r="D206" s="11"/>
      <c r="E206" s="11"/>
      <c r="F206" s="12">
        <f t="shared" si="5"/>
        <v>0</v>
      </c>
      <c r="G206" s="20"/>
      <c r="H206" s="20"/>
      <c r="I206" s="9"/>
      <c r="J206" s="9"/>
      <c r="K206" s="9"/>
    </row>
    <row r="207" spans="1:11" ht="30" customHeight="1" thickBot="1" x14ac:dyDescent="0.25">
      <c r="A207" s="19" t="s">
        <v>47</v>
      </c>
      <c r="B207" s="10"/>
      <c r="C207" s="14"/>
      <c r="D207" s="11"/>
      <c r="E207" s="11"/>
      <c r="F207" s="12">
        <f t="shared" si="5"/>
        <v>0</v>
      </c>
      <c r="G207" s="20"/>
      <c r="H207" s="20"/>
      <c r="I207" s="9"/>
      <c r="J207" s="9"/>
      <c r="K207" s="9"/>
    </row>
    <row r="208" spans="1:11" ht="30" customHeight="1" thickBot="1" x14ac:dyDescent="0.25">
      <c r="A208" s="19" t="s">
        <v>47</v>
      </c>
      <c r="B208" s="10"/>
      <c r="C208" s="14"/>
      <c r="D208" s="11"/>
      <c r="E208" s="11"/>
      <c r="F208" s="12">
        <f t="shared" si="5"/>
        <v>0</v>
      </c>
      <c r="G208" s="20"/>
      <c r="H208" s="20"/>
      <c r="I208" s="9"/>
      <c r="J208" s="9"/>
      <c r="K208" s="9"/>
    </row>
    <row r="209" spans="1:11" ht="30" customHeight="1" thickBot="1" x14ac:dyDescent="0.25">
      <c r="A209" s="19" t="s">
        <v>47</v>
      </c>
      <c r="B209" s="10"/>
      <c r="C209" s="14"/>
      <c r="D209" s="11"/>
      <c r="E209" s="11"/>
      <c r="F209" s="12">
        <f t="shared" si="5"/>
        <v>0</v>
      </c>
      <c r="G209" s="20"/>
      <c r="H209" s="20"/>
      <c r="I209" s="9"/>
      <c r="J209" s="9"/>
      <c r="K209" s="9"/>
    </row>
    <row r="210" spans="1:11" ht="30" customHeight="1" thickBot="1" x14ac:dyDescent="0.25">
      <c r="A210" s="19" t="s">
        <v>47</v>
      </c>
      <c r="B210" s="10"/>
      <c r="C210" s="14"/>
      <c r="D210" s="11"/>
      <c r="E210" s="11"/>
      <c r="F210" s="12">
        <f t="shared" si="5"/>
        <v>0</v>
      </c>
      <c r="G210" s="20"/>
      <c r="H210" s="20"/>
      <c r="I210" s="9"/>
      <c r="J210" s="9"/>
      <c r="K210" s="9"/>
    </row>
    <row r="211" spans="1:11" ht="30" customHeight="1" thickBot="1" x14ac:dyDescent="0.25">
      <c r="A211" s="19" t="s">
        <v>47</v>
      </c>
      <c r="B211" s="10"/>
      <c r="C211" s="14"/>
      <c r="D211" s="11"/>
      <c r="E211" s="11"/>
      <c r="F211" s="12">
        <f t="shared" si="5"/>
        <v>0</v>
      </c>
      <c r="G211" s="20"/>
      <c r="H211" s="20"/>
      <c r="I211" s="9"/>
      <c r="J211" s="9"/>
      <c r="K211" s="9"/>
    </row>
    <row r="212" spans="1:11" ht="30" customHeight="1" thickBot="1" x14ac:dyDescent="0.25">
      <c r="A212" s="19" t="s">
        <v>47</v>
      </c>
      <c r="B212" s="10"/>
      <c r="C212" s="14"/>
      <c r="D212" s="11"/>
      <c r="E212" s="11"/>
      <c r="F212" s="12">
        <f t="shared" si="5"/>
        <v>0</v>
      </c>
      <c r="G212" s="20"/>
      <c r="H212" s="20"/>
      <c r="I212" s="9"/>
      <c r="J212" s="9"/>
      <c r="K212" s="9"/>
    </row>
    <row r="213" spans="1:11" ht="30" customHeight="1" thickBot="1" x14ac:dyDescent="0.25">
      <c r="A213" s="19" t="s">
        <v>47</v>
      </c>
      <c r="B213" s="10"/>
      <c r="C213" s="14"/>
      <c r="D213" s="11"/>
      <c r="E213" s="11"/>
      <c r="F213" s="12">
        <f t="shared" si="5"/>
        <v>0</v>
      </c>
      <c r="G213" s="20"/>
      <c r="H213" s="20"/>
      <c r="I213" s="9"/>
      <c r="J213" s="9"/>
      <c r="K213" s="9"/>
    </row>
    <row r="214" spans="1:11" ht="30" customHeight="1" thickBot="1" x14ac:dyDescent="0.25">
      <c r="A214" s="19" t="s">
        <v>47</v>
      </c>
      <c r="B214" s="10"/>
      <c r="C214" s="14"/>
      <c r="D214" s="11"/>
      <c r="E214" s="11"/>
      <c r="F214" s="12">
        <f t="shared" si="5"/>
        <v>0</v>
      </c>
      <c r="G214" s="20"/>
      <c r="H214" s="20"/>
      <c r="I214" s="9"/>
      <c r="J214" s="9"/>
      <c r="K214" s="9"/>
    </row>
    <row r="215" spans="1:11" ht="30" customHeight="1" thickBot="1" x14ac:dyDescent="0.25">
      <c r="A215" s="19" t="s">
        <v>47</v>
      </c>
      <c r="B215" s="10"/>
      <c r="C215" s="14"/>
      <c r="D215" s="11"/>
      <c r="E215" s="11"/>
      <c r="F215" s="12">
        <f t="shared" si="5"/>
        <v>0</v>
      </c>
      <c r="G215" s="20"/>
      <c r="H215" s="20"/>
      <c r="I215" s="9"/>
      <c r="J215" s="9"/>
      <c r="K215" s="9"/>
    </row>
    <row r="216" spans="1:11" ht="30" customHeight="1" thickBot="1" x14ac:dyDescent="0.25">
      <c r="A216" s="19" t="s">
        <v>47</v>
      </c>
      <c r="B216" s="10"/>
      <c r="C216" s="14"/>
      <c r="D216" s="11"/>
      <c r="E216" s="11"/>
      <c r="F216" s="12">
        <f t="shared" si="5"/>
        <v>0</v>
      </c>
      <c r="G216" s="20"/>
      <c r="H216" s="20"/>
      <c r="I216" s="9"/>
      <c r="J216" s="9"/>
      <c r="K216" s="9"/>
    </row>
    <row r="217" spans="1:11" ht="30" customHeight="1" thickBot="1" x14ac:dyDescent="0.25">
      <c r="A217" s="19" t="s">
        <v>47</v>
      </c>
      <c r="B217" s="10"/>
      <c r="C217" s="14"/>
      <c r="D217" s="11"/>
      <c r="E217" s="11"/>
      <c r="F217" s="12">
        <f t="shared" si="5"/>
        <v>0</v>
      </c>
      <c r="G217" s="20"/>
      <c r="H217" s="20"/>
      <c r="I217" s="9"/>
      <c r="J217" s="9"/>
      <c r="K217" s="9"/>
    </row>
    <row r="218" spans="1:11" ht="30" customHeight="1" thickBot="1" x14ac:dyDescent="0.25">
      <c r="A218" s="19" t="s">
        <v>47</v>
      </c>
      <c r="B218" s="10"/>
      <c r="C218" s="14"/>
      <c r="D218" s="11"/>
      <c r="E218" s="11"/>
      <c r="F218" s="12">
        <f t="shared" si="5"/>
        <v>0</v>
      </c>
      <c r="G218" s="20"/>
      <c r="H218" s="20"/>
      <c r="I218" s="9"/>
      <c r="J218" s="9"/>
      <c r="K218" s="9"/>
    </row>
    <row r="219" spans="1:11" ht="30" customHeight="1" thickBot="1" x14ac:dyDescent="0.25">
      <c r="A219" s="19" t="s">
        <v>47</v>
      </c>
      <c r="B219" s="10"/>
      <c r="C219" s="14"/>
      <c r="D219" s="11"/>
      <c r="E219" s="11"/>
      <c r="F219" s="12">
        <f t="shared" si="5"/>
        <v>0</v>
      </c>
      <c r="G219" s="20"/>
      <c r="H219" s="20"/>
      <c r="I219" s="9"/>
      <c r="J219" s="9"/>
      <c r="K219" s="9"/>
    </row>
    <row r="220" spans="1:11" ht="30" customHeight="1" thickBot="1" x14ac:dyDescent="0.25">
      <c r="A220" s="19" t="s">
        <v>47</v>
      </c>
      <c r="B220" s="10"/>
      <c r="C220" s="14"/>
      <c r="D220" s="11"/>
      <c r="E220" s="11"/>
      <c r="F220" s="12">
        <f t="shared" si="5"/>
        <v>0</v>
      </c>
      <c r="G220" s="20"/>
      <c r="H220" s="20"/>
      <c r="I220" s="9"/>
      <c r="J220" s="9"/>
      <c r="K220" s="9"/>
    </row>
    <row r="221" spans="1:11" ht="30" customHeight="1" thickBot="1" x14ac:dyDescent="0.25">
      <c r="A221" s="19" t="s">
        <v>47</v>
      </c>
      <c r="B221" s="10"/>
      <c r="C221" s="14"/>
      <c r="D221" s="11"/>
      <c r="E221" s="11"/>
      <c r="F221" s="12">
        <f t="shared" si="5"/>
        <v>0</v>
      </c>
      <c r="G221" s="20"/>
      <c r="H221" s="20"/>
      <c r="I221" s="9"/>
      <c r="J221" s="9"/>
      <c r="K221" s="9"/>
    </row>
    <row r="222" spans="1:11" ht="30" customHeight="1" thickBot="1" x14ac:dyDescent="0.25">
      <c r="A222" s="19" t="s">
        <v>47</v>
      </c>
      <c r="B222" s="10"/>
      <c r="C222" s="14"/>
      <c r="D222" s="11"/>
      <c r="E222" s="11"/>
      <c r="F222" s="12">
        <f t="shared" si="5"/>
        <v>0</v>
      </c>
      <c r="G222" s="20"/>
      <c r="H222" s="20"/>
      <c r="I222" s="9"/>
      <c r="J222" s="9"/>
      <c r="K222" s="9"/>
    </row>
    <row r="223" spans="1:11" ht="30" customHeight="1" thickBot="1" x14ac:dyDescent="0.25">
      <c r="A223" s="19" t="s">
        <v>47</v>
      </c>
      <c r="B223" s="10"/>
      <c r="C223" s="14"/>
      <c r="D223" s="11"/>
      <c r="E223" s="11"/>
      <c r="F223" s="12">
        <f t="shared" si="5"/>
        <v>0</v>
      </c>
      <c r="G223" s="20"/>
      <c r="H223" s="20"/>
      <c r="I223" s="9"/>
      <c r="J223" s="9"/>
      <c r="K223" s="9"/>
    </row>
    <row r="224" spans="1:11" ht="30" customHeight="1" thickBot="1" x14ac:dyDescent="0.25">
      <c r="A224" s="19" t="s">
        <v>47</v>
      </c>
      <c r="B224" s="10"/>
      <c r="C224" s="14"/>
      <c r="D224" s="11"/>
      <c r="E224" s="11"/>
      <c r="F224" s="12">
        <f t="shared" si="5"/>
        <v>0</v>
      </c>
      <c r="G224" s="20"/>
      <c r="H224" s="20"/>
      <c r="I224" s="9"/>
      <c r="J224" s="9"/>
      <c r="K224" s="9"/>
    </row>
    <row r="225" spans="1:11" ht="30" customHeight="1" thickBot="1" x14ac:dyDescent="0.25">
      <c r="A225" s="19" t="s">
        <v>47</v>
      </c>
      <c r="B225" s="10"/>
      <c r="C225" s="14"/>
      <c r="D225" s="11"/>
      <c r="E225" s="11"/>
      <c r="F225" s="12">
        <f t="shared" si="5"/>
        <v>0</v>
      </c>
      <c r="G225" s="20"/>
      <c r="H225" s="20"/>
      <c r="I225" s="9"/>
      <c r="J225" s="9"/>
      <c r="K225" s="9"/>
    </row>
    <row r="226" spans="1:11" s="7" customFormat="1" ht="30" customHeight="1" thickBot="1" x14ac:dyDescent="0.25">
      <c r="A226" s="19" t="s">
        <v>47</v>
      </c>
      <c r="B226" s="10"/>
      <c r="C226" s="14"/>
      <c r="D226" s="11"/>
      <c r="E226" s="11"/>
      <c r="F226" s="12">
        <f t="shared" si="5"/>
        <v>0</v>
      </c>
      <c r="G226" s="20"/>
      <c r="H226" s="20"/>
      <c r="I226" s="9"/>
      <c r="J226" s="9"/>
      <c r="K226" s="9"/>
    </row>
    <row r="227" spans="1:11" s="7" customFormat="1" ht="30" customHeight="1" thickBot="1" x14ac:dyDescent="0.25">
      <c r="A227" s="19" t="s">
        <v>47</v>
      </c>
      <c r="B227" s="10"/>
      <c r="C227" s="14"/>
      <c r="D227" s="11"/>
      <c r="E227" s="11"/>
      <c r="F227" s="12">
        <f t="shared" si="5"/>
        <v>0</v>
      </c>
      <c r="G227" s="20"/>
      <c r="H227" s="20"/>
      <c r="I227" s="9"/>
      <c r="J227" s="9"/>
      <c r="K227" s="9"/>
    </row>
    <row r="228" spans="1:11" s="7" customFormat="1" ht="30" customHeight="1" thickBot="1" x14ac:dyDescent="0.25">
      <c r="A228" s="19" t="s">
        <v>47</v>
      </c>
      <c r="B228" s="10"/>
      <c r="C228" s="14"/>
      <c r="D228" s="11"/>
      <c r="E228" s="11"/>
      <c r="F228" s="12">
        <f t="shared" si="5"/>
        <v>0</v>
      </c>
      <c r="G228" s="20"/>
      <c r="H228" s="20"/>
      <c r="I228" s="9"/>
      <c r="J228" s="9"/>
      <c r="K228" s="9"/>
    </row>
    <row r="229" spans="1:11" s="7" customFormat="1" ht="30" customHeight="1" thickBot="1" x14ac:dyDescent="0.25">
      <c r="A229" s="19" t="s">
        <v>47</v>
      </c>
      <c r="B229" s="10"/>
      <c r="C229" s="14"/>
      <c r="D229" s="11"/>
      <c r="E229" s="11"/>
      <c r="F229" s="12">
        <f t="shared" si="5"/>
        <v>0</v>
      </c>
      <c r="G229" s="20"/>
      <c r="H229" s="20"/>
      <c r="I229" s="9"/>
      <c r="J229" s="9"/>
      <c r="K229" s="9"/>
    </row>
    <row r="230" spans="1:11" s="7" customFormat="1" ht="30" customHeight="1" thickBot="1" x14ac:dyDescent="0.25">
      <c r="A230" s="19" t="s">
        <v>47</v>
      </c>
      <c r="B230" s="10"/>
      <c r="C230" s="14"/>
      <c r="D230" s="11"/>
      <c r="E230" s="11"/>
      <c r="F230" s="12">
        <f t="shared" ref="F230:F266" si="6">+(E230-D230)*24</f>
        <v>0</v>
      </c>
      <c r="G230" s="20"/>
      <c r="H230" s="20"/>
      <c r="I230" s="9"/>
      <c r="J230" s="9"/>
      <c r="K230" s="9"/>
    </row>
    <row r="231" spans="1:11" s="7" customFormat="1" ht="30" customHeight="1" thickBot="1" x14ac:dyDescent="0.25">
      <c r="A231" s="19" t="s">
        <v>47</v>
      </c>
      <c r="B231" s="10"/>
      <c r="C231" s="14"/>
      <c r="D231" s="11"/>
      <c r="E231" s="11"/>
      <c r="F231" s="12">
        <f t="shared" si="6"/>
        <v>0</v>
      </c>
      <c r="G231" s="20"/>
      <c r="H231" s="20"/>
      <c r="I231" s="9"/>
      <c r="J231" s="9"/>
      <c r="K231" s="9"/>
    </row>
    <row r="232" spans="1:11" s="7" customFormat="1" ht="30" customHeight="1" thickBot="1" x14ac:dyDescent="0.25">
      <c r="A232" s="19" t="s">
        <v>47</v>
      </c>
      <c r="B232" s="10"/>
      <c r="C232" s="14"/>
      <c r="D232" s="11"/>
      <c r="E232" s="11"/>
      <c r="F232" s="12">
        <f t="shared" si="6"/>
        <v>0</v>
      </c>
      <c r="G232" s="20"/>
      <c r="H232" s="20"/>
      <c r="I232" s="9"/>
      <c r="J232" s="9"/>
      <c r="K232" s="9"/>
    </row>
    <row r="233" spans="1:11" s="7" customFormat="1" ht="30" customHeight="1" thickBot="1" x14ac:dyDescent="0.25">
      <c r="A233" s="19" t="s">
        <v>47</v>
      </c>
      <c r="B233" s="10"/>
      <c r="C233" s="14"/>
      <c r="D233" s="11"/>
      <c r="E233" s="11"/>
      <c r="F233" s="12">
        <f t="shared" si="6"/>
        <v>0</v>
      </c>
      <c r="G233" s="20"/>
      <c r="H233" s="20"/>
      <c r="I233" s="9"/>
      <c r="J233" s="9"/>
      <c r="K233" s="9"/>
    </row>
    <row r="234" spans="1:11" s="7" customFormat="1" ht="30" customHeight="1" thickBot="1" x14ac:dyDescent="0.25">
      <c r="A234" s="19" t="s">
        <v>47</v>
      </c>
      <c r="B234" s="10"/>
      <c r="C234" s="14"/>
      <c r="D234" s="11"/>
      <c r="E234" s="11"/>
      <c r="F234" s="12">
        <f t="shared" si="6"/>
        <v>0</v>
      </c>
      <c r="G234" s="20"/>
      <c r="H234" s="20"/>
      <c r="I234" s="9"/>
      <c r="J234" s="9"/>
      <c r="K234" s="9"/>
    </row>
    <row r="235" spans="1:11" s="7" customFormat="1" ht="30" customHeight="1" thickBot="1" x14ac:dyDescent="0.25">
      <c r="A235" s="19" t="s">
        <v>47</v>
      </c>
      <c r="B235" s="10"/>
      <c r="C235" s="14"/>
      <c r="D235" s="11"/>
      <c r="E235" s="11"/>
      <c r="F235" s="12">
        <f t="shared" si="6"/>
        <v>0</v>
      </c>
      <c r="G235" s="20"/>
      <c r="H235" s="20"/>
      <c r="I235" s="9"/>
      <c r="J235" s="9"/>
      <c r="K235" s="9"/>
    </row>
    <row r="236" spans="1:11" s="7" customFormat="1" ht="30" customHeight="1" thickBot="1" x14ac:dyDescent="0.25">
      <c r="A236" s="19" t="s">
        <v>47</v>
      </c>
      <c r="B236" s="10"/>
      <c r="C236" s="14"/>
      <c r="D236" s="11"/>
      <c r="E236" s="11"/>
      <c r="F236" s="12">
        <f t="shared" si="6"/>
        <v>0</v>
      </c>
      <c r="G236" s="20"/>
      <c r="H236" s="20"/>
      <c r="I236" s="9"/>
      <c r="J236" s="9"/>
      <c r="K236" s="9"/>
    </row>
    <row r="237" spans="1:11" s="7" customFormat="1" ht="30" customHeight="1" thickBot="1" x14ac:dyDescent="0.25">
      <c r="A237" s="19" t="s">
        <v>47</v>
      </c>
      <c r="B237" s="10"/>
      <c r="C237" s="14"/>
      <c r="D237" s="11"/>
      <c r="E237" s="11"/>
      <c r="F237" s="12">
        <f t="shared" si="6"/>
        <v>0</v>
      </c>
      <c r="G237" s="20"/>
      <c r="H237" s="20"/>
      <c r="I237" s="9"/>
      <c r="J237" s="9"/>
      <c r="K237" s="9"/>
    </row>
    <row r="238" spans="1:11" s="7" customFormat="1" ht="30" customHeight="1" thickBot="1" x14ac:dyDescent="0.25">
      <c r="A238" s="19" t="s">
        <v>47</v>
      </c>
      <c r="B238" s="10"/>
      <c r="C238" s="14"/>
      <c r="D238" s="11"/>
      <c r="E238" s="11"/>
      <c r="F238" s="12">
        <f t="shared" si="6"/>
        <v>0</v>
      </c>
      <c r="G238" s="20"/>
      <c r="H238" s="20"/>
      <c r="I238" s="9"/>
      <c r="J238" s="9"/>
      <c r="K238" s="9"/>
    </row>
    <row r="239" spans="1:11" s="7" customFormat="1" ht="30" customHeight="1" thickBot="1" x14ac:dyDescent="0.25">
      <c r="A239" s="19" t="s">
        <v>47</v>
      </c>
      <c r="B239" s="10"/>
      <c r="C239" s="14"/>
      <c r="D239" s="11"/>
      <c r="E239" s="11"/>
      <c r="F239" s="12">
        <f t="shared" si="6"/>
        <v>0</v>
      </c>
      <c r="G239" s="20"/>
      <c r="H239" s="20"/>
      <c r="I239" s="9"/>
      <c r="J239" s="9"/>
      <c r="K239" s="9"/>
    </row>
    <row r="240" spans="1:11" s="7" customFormat="1" ht="30" customHeight="1" thickBot="1" x14ac:dyDescent="0.25">
      <c r="A240" s="19" t="s">
        <v>47</v>
      </c>
      <c r="B240" s="10"/>
      <c r="C240" s="14"/>
      <c r="D240" s="11"/>
      <c r="E240" s="11"/>
      <c r="F240" s="12">
        <f t="shared" si="6"/>
        <v>0</v>
      </c>
      <c r="G240" s="20"/>
      <c r="H240" s="20"/>
      <c r="I240" s="9"/>
      <c r="J240" s="9"/>
      <c r="K240" s="9"/>
    </row>
    <row r="241" spans="1:11" s="7" customFormat="1" ht="30" customHeight="1" thickBot="1" x14ac:dyDescent="0.25">
      <c r="A241" s="19" t="s">
        <v>47</v>
      </c>
      <c r="B241" s="10"/>
      <c r="C241" s="14"/>
      <c r="D241" s="11"/>
      <c r="E241" s="11"/>
      <c r="F241" s="12">
        <f t="shared" si="6"/>
        <v>0</v>
      </c>
      <c r="G241" s="20"/>
      <c r="H241" s="20"/>
      <c r="I241" s="9"/>
      <c r="J241" s="9"/>
      <c r="K241" s="9"/>
    </row>
    <row r="242" spans="1:11" s="7" customFormat="1" ht="30" customHeight="1" thickBot="1" x14ac:dyDescent="0.25">
      <c r="A242" s="19" t="s">
        <v>47</v>
      </c>
      <c r="B242" s="10"/>
      <c r="C242" s="14"/>
      <c r="D242" s="11"/>
      <c r="E242" s="11"/>
      <c r="F242" s="12">
        <f t="shared" si="6"/>
        <v>0</v>
      </c>
      <c r="G242" s="20"/>
      <c r="H242" s="20"/>
      <c r="I242" s="9"/>
      <c r="J242" s="9"/>
      <c r="K242" s="9"/>
    </row>
    <row r="243" spans="1:11" s="7" customFormat="1" ht="30" customHeight="1" thickBot="1" x14ac:dyDescent="0.25">
      <c r="A243" s="19" t="s">
        <v>47</v>
      </c>
      <c r="B243" s="10"/>
      <c r="C243" s="14"/>
      <c r="D243" s="11"/>
      <c r="E243" s="11"/>
      <c r="F243" s="12">
        <f t="shared" si="6"/>
        <v>0</v>
      </c>
      <c r="G243" s="20"/>
      <c r="H243" s="20"/>
      <c r="I243" s="9"/>
      <c r="J243" s="9"/>
      <c r="K243" s="9"/>
    </row>
    <row r="244" spans="1:11" s="7" customFormat="1" ht="30" customHeight="1" thickBot="1" x14ac:dyDescent="0.25">
      <c r="A244" s="19" t="s">
        <v>47</v>
      </c>
      <c r="B244" s="10"/>
      <c r="C244" s="14"/>
      <c r="D244" s="11"/>
      <c r="E244" s="11"/>
      <c r="F244" s="12">
        <f t="shared" si="6"/>
        <v>0</v>
      </c>
      <c r="G244" s="20"/>
      <c r="H244" s="20"/>
      <c r="I244" s="9"/>
      <c r="J244" s="9"/>
      <c r="K244" s="9"/>
    </row>
    <row r="245" spans="1:11" s="7" customFormat="1" ht="30" customHeight="1" thickBot="1" x14ac:dyDescent="0.25">
      <c r="A245" s="19" t="s">
        <v>47</v>
      </c>
      <c r="B245" s="10"/>
      <c r="C245" s="14"/>
      <c r="D245" s="11"/>
      <c r="E245" s="11"/>
      <c r="F245" s="12">
        <f t="shared" si="6"/>
        <v>0</v>
      </c>
      <c r="G245" s="20"/>
      <c r="H245" s="20"/>
      <c r="I245" s="9"/>
      <c r="J245" s="9"/>
      <c r="K245" s="9"/>
    </row>
    <row r="246" spans="1:11" s="7" customFormat="1" ht="30" customHeight="1" thickBot="1" x14ac:dyDescent="0.25">
      <c r="A246" s="19" t="s">
        <v>47</v>
      </c>
      <c r="B246" s="10"/>
      <c r="C246" s="14"/>
      <c r="D246" s="11"/>
      <c r="E246" s="11"/>
      <c r="F246" s="12">
        <f t="shared" si="6"/>
        <v>0</v>
      </c>
      <c r="G246" s="20"/>
      <c r="H246" s="20"/>
      <c r="I246" s="9"/>
      <c r="J246" s="9"/>
      <c r="K246" s="9"/>
    </row>
    <row r="247" spans="1:11" s="7" customFormat="1" ht="30" customHeight="1" thickBot="1" x14ac:dyDescent="0.25">
      <c r="A247" s="19" t="s">
        <v>47</v>
      </c>
      <c r="B247" s="10"/>
      <c r="C247" s="14"/>
      <c r="D247" s="11"/>
      <c r="E247" s="11"/>
      <c r="F247" s="12">
        <f t="shared" si="6"/>
        <v>0</v>
      </c>
      <c r="G247" s="20"/>
      <c r="H247" s="20"/>
      <c r="I247" s="9"/>
      <c r="J247" s="9"/>
      <c r="K247" s="9"/>
    </row>
    <row r="248" spans="1:11" s="7" customFormat="1" ht="30" customHeight="1" thickBot="1" x14ac:dyDescent="0.25">
      <c r="A248" s="19" t="s">
        <v>47</v>
      </c>
      <c r="B248" s="10"/>
      <c r="C248" s="14"/>
      <c r="D248" s="11"/>
      <c r="E248" s="11"/>
      <c r="F248" s="12">
        <f t="shared" si="6"/>
        <v>0</v>
      </c>
      <c r="G248" s="20"/>
      <c r="H248" s="20"/>
      <c r="I248" s="9"/>
      <c r="J248" s="9"/>
      <c r="K248" s="9"/>
    </row>
    <row r="249" spans="1:11" s="7" customFormat="1" ht="30" customHeight="1" thickBot="1" x14ac:dyDescent="0.25">
      <c r="A249" s="19" t="s">
        <v>47</v>
      </c>
      <c r="B249" s="10"/>
      <c r="C249" s="14"/>
      <c r="D249" s="11"/>
      <c r="E249" s="11"/>
      <c r="F249" s="12">
        <f t="shared" si="6"/>
        <v>0</v>
      </c>
      <c r="G249" s="20"/>
      <c r="H249" s="20"/>
      <c r="I249" s="9"/>
      <c r="J249" s="9"/>
      <c r="K249" s="9"/>
    </row>
    <row r="250" spans="1:11" s="7" customFormat="1" ht="30" customHeight="1" thickBot="1" x14ac:dyDescent="0.25">
      <c r="A250" s="19" t="s">
        <v>47</v>
      </c>
      <c r="B250" s="10"/>
      <c r="C250" s="14"/>
      <c r="D250" s="11"/>
      <c r="E250" s="11"/>
      <c r="F250" s="12">
        <f t="shared" si="6"/>
        <v>0</v>
      </c>
      <c r="G250" s="20"/>
      <c r="H250" s="20"/>
      <c r="I250" s="9"/>
      <c r="J250" s="9"/>
      <c r="K250" s="9"/>
    </row>
    <row r="251" spans="1:11" s="7" customFormat="1" ht="30" customHeight="1" thickBot="1" x14ac:dyDescent="0.25">
      <c r="A251" s="19" t="s">
        <v>47</v>
      </c>
      <c r="B251" s="10"/>
      <c r="C251" s="14"/>
      <c r="D251" s="11"/>
      <c r="E251" s="11"/>
      <c r="F251" s="12">
        <f t="shared" si="6"/>
        <v>0</v>
      </c>
      <c r="G251" s="20"/>
      <c r="H251" s="20"/>
      <c r="I251" s="9"/>
      <c r="J251" s="9"/>
      <c r="K251" s="9"/>
    </row>
    <row r="252" spans="1:11" s="7" customFormat="1" ht="30" customHeight="1" thickBot="1" x14ac:dyDescent="0.25">
      <c r="A252" s="19" t="s">
        <v>47</v>
      </c>
      <c r="B252" s="10"/>
      <c r="C252" s="14"/>
      <c r="D252" s="11"/>
      <c r="E252" s="11"/>
      <c r="F252" s="12">
        <f t="shared" si="6"/>
        <v>0</v>
      </c>
      <c r="G252" s="20"/>
      <c r="H252" s="20"/>
      <c r="I252" s="9"/>
      <c r="J252" s="9"/>
      <c r="K252" s="9"/>
    </row>
    <row r="253" spans="1:11" s="7" customFormat="1" ht="30" customHeight="1" thickBot="1" x14ac:dyDescent="0.25">
      <c r="A253" s="19" t="s">
        <v>47</v>
      </c>
      <c r="B253" s="10"/>
      <c r="C253" s="14"/>
      <c r="D253" s="11"/>
      <c r="E253" s="11"/>
      <c r="F253" s="12">
        <f t="shared" si="6"/>
        <v>0</v>
      </c>
      <c r="G253" s="20"/>
      <c r="H253" s="20"/>
      <c r="I253" s="9"/>
      <c r="J253" s="9"/>
      <c r="K253" s="9"/>
    </row>
    <row r="254" spans="1:11" s="7" customFormat="1" ht="30" customHeight="1" thickBot="1" x14ac:dyDescent="0.25">
      <c r="A254" s="19" t="s">
        <v>47</v>
      </c>
      <c r="B254" s="10"/>
      <c r="C254" s="14"/>
      <c r="D254" s="11"/>
      <c r="E254" s="11"/>
      <c r="F254" s="12">
        <f t="shared" si="6"/>
        <v>0</v>
      </c>
      <c r="G254" s="20"/>
      <c r="H254" s="20"/>
      <c r="I254" s="9"/>
      <c r="J254" s="9"/>
      <c r="K254" s="9"/>
    </row>
    <row r="255" spans="1:11" s="7" customFormat="1" ht="30" customHeight="1" thickBot="1" x14ac:dyDescent="0.25">
      <c r="A255" s="19" t="s">
        <v>47</v>
      </c>
      <c r="B255" s="10"/>
      <c r="C255" s="14"/>
      <c r="D255" s="11"/>
      <c r="E255" s="11"/>
      <c r="F255" s="12">
        <f t="shared" si="6"/>
        <v>0</v>
      </c>
      <c r="G255" s="20"/>
      <c r="H255" s="20"/>
      <c r="I255" s="9"/>
      <c r="J255" s="9"/>
      <c r="K255" s="9"/>
    </row>
    <row r="256" spans="1:11" s="7" customFormat="1" ht="30" customHeight="1" thickBot="1" x14ac:dyDescent="0.25">
      <c r="A256" s="19" t="s">
        <v>47</v>
      </c>
      <c r="B256" s="10"/>
      <c r="C256" s="14"/>
      <c r="D256" s="11"/>
      <c r="E256" s="11"/>
      <c r="F256" s="12">
        <f t="shared" si="6"/>
        <v>0</v>
      </c>
      <c r="G256" s="20"/>
      <c r="H256" s="20"/>
      <c r="I256" s="9"/>
      <c r="J256" s="9"/>
      <c r="K256" s="9"/>
    </row>
    <row r="257" spans="1:11" s="7" customFormat="1" ht="30" customHeight="1" thickBot="1" x14ac:dyDescent="0.25">
      <c r="A257" s="19" t="s">
        <v>47</v>
      </c>
      <c r="B257" s="10"/>
      <c r="C257" s="14"/>
      <c r="D257" s="11"/>
      <c r="E257" s="11"/>
      <c r="F257" s="12">
        <f t="shared" si="6"/>
        <v>0</v>
      </c>
      <c r="G257" s="20"/>
      <c r="H257" s="20"/>
      <c r="I257" s="9"/>
      <c r="J257" s="9"/>
      <c r="K257" s="9"/>
    </row>
    <row r="258" spans="1:11" s="7" customFormat="1" ht="30" customHeight="1" thickBot="1" x14ac:dyDescent="0.25">
      <c r="A258" s="19" t="s">
        <v>47</v>
      </c>
      <c r="B258" s="10"/>
      <c r="C258" s="14"/>
      <c r="D258" s="11"/>
      <c r="E258" s="11"/>
      <c r="F258" s="12">
        <f t="shared" si="6"/>
        <v>0</v>
      </c>
      <c r="G258" s="20"/>
      <c r="H258" s="20"/>
      <c r="I258" s="9"/>
      <c r="J258" s="9"/>
      <c r="K258" s="9"/>
    </row>
    <row r="259" spans="1:11" s="7" customFormat="1" ht="30" customHeight="1" thickBot="1" x14ac:dyDescent="0.25">
      <c r="A259" s="19" t="s">
        <v>47</v>
      </c>
      <c r="B259" s="10"/>
      <c r="C259" s="14"/>
      <c r="D259" s="11"/>
      <c r="E259" s="11"/>
      <c r="F259" s="12">
        <f t="shared" si="6"/>
        <v>0</v>
      </c>
      <c r="G259" s="20"/>
      <c r="H259" s="20"/>
      <c r="I259" s="9"/>
      <c r="J259" s="9"/>
      <c r="K259" s="9"/>
    </row>
    <row r="260" spans="1:11" s="7" customFormat="1" ht="30" customHeight="1" thickBot="1" x14ac:dyDescent="0.25">
      <c r="A260" s="19" t="s">
        <v>47</v>
      </c>
      <c r="B260" s="10"/>
      <c r="C260" s="14"/>
      <c r="D260" s="11"/>
      <c r="E260" s="11"/>
      <c r="F260" s="12">
        <f t="shared" si="6"/>
        <v>0</v>
      </c>
      <c r="G260" s="20"/>
      <c r="H260" s="20"/>
      <c r="I260" s="9"/>
      <c r="J260" s="9"/>
      <c r="K260" s="9"/>
    </row>
    <row r="261" spans="1:11" s="7" customFormat="1" ht="30" customHeight="1" thickBot="1" x14ac:dyDescent="0.25">
      <c r="A261" s="19" t="s">
        <v>47</v>
      </c>
      <c r="B261" s="10"/>
      <c r="C261" s="14"/>
      <c r="D261" s="11"/>
      <c r="E261" s="11"/>
      <c r="F261" s="12">
        <f t="shared" si="6"/>
        <v>0</v>
      </c>
      <c r="G261" s="20"/>
      <c r="H261" s="20"/>
      <c r="I261" s="9"/>
      <c r="J261" s="9"/>
      <c r="K261" s="9"/>
    </row>
    <row r="262" spans="1:11" s="7" customFormat="1" ht="30" customHeight="1" thickBot="1" x14ac:dyDescent="0.25">
      <c r="A262" s="19" t="s">
        <v>47</v>
      </c>
      <c r="B262" s="10"/>
      <c r="C262" s="14"/>
      <c r="D262" s="11"/>
      <c r="E262" s="11"/>
      <c r="F262" s="12">
        <f t="shared" si="6"/>
        <v>0</v>
      </c>
      <c r="G262" s="20"/>
      <c r="H262" s="20"/>
      <c r="I262" s="9"/>
      <c r="J262" s="9"/>
      <c r="K262" s="9"/>
    </row>
    <row r="263" spans="1:11" s="7" customFormat="1" ht="30" customHeight="1" thickBot="1" x14ac:dyDescent="0.25">
      <c r="A263" s="19" t="s">
        <v>47</v>
      </c>
      <c r="B263" s="10"/>
      <c r="C263" s="14"/>
      <c r="D263" s="11"/>
      <c r="E263" s="11"/>
      <c r="F263" s="12">
        <f t="shared" si="6"/>
        <v>0</v>
      </c>
      <c r="G263" s="20"/>
      <c r="H263" s="20"/>
      <c r="I263" s="9"/>
      <c r="J263" s="9"/>
      <c r="K263" s="9"/>
    </row>
    <row r="264" spans="1:11" s="7" customFormat="1" ht="30" customHeight="1" thickBot="1" x14ac:dyDescent="0.25">
      <c r="A264" s="19" t="s">
        <v>47</v>
      </c>
      <c r="B264" s="10"/>
      <c r="C264" s="14"/>
      <c r="D264" s="11"/>
      <c r="E264" s="11"/>
      <c r="F264" s="12">
        <f t="shared" si="6"/>
        <v>0</v>
      </c>
      <c r="G264" s="20"/>
      <c r="H264" s="20"/>
      <c r="I264" s="9"/>
      <c r="J264" s="9"/>
      <c r="K264" s="9"/>
    </row>
    <row r="265" spans="1:11" s="7" customFormat="1" ht="30" customHeight="1" thickBot="1" x14ac:dyDescent="0.25">
      <c r="A265" s="19" t="s">
        <v>47</v>
      </c>
      <c r="B265" s="10"/>
      <c r="C265" s="14"/>
      <c r="D265" s="11"/>
      <c r="E265" s="11"/>
      <c r="F265" s="12">
        <f t="shared" si="6"/>
        <v>0</v>
      </c>
      <c r="G265" s="20"/>
      <c r="H265" s="20"/>
      <c r="I265" s="9"/>
      <c r="J265" s="9"/>
      <c r="K265" s="9"/>
    </row>
    <row r="266" spans="1:11" s="7" customFormat="1" ht="30" customHeight="1" thickBot="1" x14ac:dyDescent="0.25">
      <c r="A266" s="19" t="s">
        <v>47</v>
      </c>
      <c r="B266" s="10"/>
      <c r="C266" s="14"/>
      <c r="D266" s="11"/>
      <c r="E266" s="11"/>
      <c r="F266" s="12">
        <f t="shared" si="6"/>
        <v>0</v>
      </c>
      <c r="G266" s="20"/>
      <c r="H266" s="20"/>
      <c r="I266" s="9"/>
      <c r="J266" s="9"/>
      <c r="K266" s="9"/>
    </row>
    <row r="267" spans="1:11" s="7" customFormat="1" ht="30" customHeight="1" thickBot="1" x14ac:dyDescent="0.25">
      <c r="A267" s="19"/>
      <c r="B267" s="10"/>
      <c r="C267" s="14"/>
      <c r="D267" s="11"/>
      <c r="E267" s="11"/>
      <c r="F267" s="12"/>
      <c r="G267" s="9"/>
      <c r="H267" s="20"/>
      <c r="I267" s="9"/>
      <c r="J267" s="9"/>
      <c r="K267" s="9"/>
    </row>
    <row r="268" spans="1:11" s="7" customFormat="1" ht="30" customHeight="1" thickBot="1" x14ac:dyDescent="0.25">
      <c r="A268" s="9"/>
      <c r="B268" s="9"/>
      <c r="C268" s="9"/>
      <c r="D268" s="9"/>
      <c r="E268" s="9"/>
      <c r="F268" s="9">
        <f>SUBTOTAL(9,$F$2:$F$267)</f>
        <v>177.13333333333335</v>
      </c>
      <c r="G268" s="9" t="s">
        <v>11</v>
      </c>
      <c r="H268" s="9"/>
      <c r="I268" s="9"/>
      <c r="J268" s="9"/>
      <c r="K268" s="9"/>
    </row>
    <row r="269" spans="1:11" s="7" customFormat="1" ht="30" customHeight="1" thickBot="1" x14ac:dyDescent="0.25">
      <c r="A269" s="9"/>
      <c r="B269" s="9"/>
      <c r="C269" s="9"/>
      <c r="D269" s="9"/>
      <c r="E269" s="9"/>
      <c r="F269" s="9">
        <v>0</v>
      </c>
      <c r="G269" s="9" t="s">
        <v>19</v>
      </c>
      <c r="H269" s="9"/>
      <c r="I269" s="9"/>
      <c r="J269" s="9"/>
      <c r="K269" s="9"/>
    </row>
    <row r="270" spans="1:11" s="7" customFormat="1" ht="30" customHeight="1" thickBot="1" x14ac:dyDescent="0.25">
      <c r="A270" s="9"/>
      <c r="B270" s="9"/>
      <c r="C270" s="9"/>
      <c r="D270" s="9"/>
      <c r="E270" s="9"/>
      <c r="F270" s="9">
        <v>0</v>
      </c>
      <c r="G270" s="9" t="s">
        <v>20</v>
      </c>
      <c r="H270" s="9"/>
      <c r="I270" s="9"/>
      <c r="J270" s="9"/>
      <c r="K270" s="9"/>
    </row>
    <row r="271" spans="1:11" s="7" customFormat="1" ht="30" customHeight="1" thickBot="1" x14ac:dyDescent="0.25">
      <c r="A271" s="9"/>
      <c r="B271" s="9"/>
      <c r="C271" s="9"/>
      <c r="D271" s="9"/>
      <c r="E271" s="9"/>
      <c r="F271" s="9">
        <v>0</v>
      </c>
      <c r="G271" s="9" t="s">
        <v>22</v>
      </c>
      <c r="H271" s="9"/>
      <c r="I271" s="9"/>
      <c r="J271" s="9"/>
      <c r="K271" s="9"/>
    </row>
    <row r="272" spans="1:11" s="7" customFormat="1" ht="30" customHeight="1" thickBot="1" x14ac:dyDescent="0.25">
      <c r="A272" s="9"/>
      <c r="B272" s="9"/>
      <c r="C272" s="9"/>
      <c r="D272" s="9"/>
      <c r="E272" s="9"/>
      <c r="F272" s="9">
        <v>0</v>
      </c>
      <c r="G272" s="9" t="s">
        <v>45</v>
      </c>
      <c r="H272" s="9"/>
      <c r="I272" s="9"/>
      <c r="J272" s="9"/>
      <c r="K272" s="9"/>
    </row>
    <row r="273" spans="1:11" s="7" customFormat="1" ht="30" customHeight="1" thickBo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1:11" s="7" customFormat="1" ht="30" customHeight="1" thickBot="1" x14ac:dyDescent="0.25">
      <c r="A274" s="9"/>
      <c r="B274" s="9"/>
      <c r="C274" s="9"/>
      <c r="D274" s="9"/>
      <c r="E274" s="9"/>
      <c r="F274" s="9">
        <f>SUBTOTAL(9,F269:F272)</f>
        <v>0</v>
      </c>
      <c r="G274" s="9" t="s">
        <v>12</v>
      </c>
      <c r="H274" s="9"/>
      <c r="I274" s="9"/>
      <c r="J274" s="9"/>
      <c r="K274" s="9"/>
    </row>
    <row r="275" spans="1:11" s="7" customFormat="1" ht="30" customHeight="1" thickBot="1" x14ac:dyDescent="0.25">
      <c r="A275" s="9"/>
      <c r="B275" s="9"/>
      <c r="C275" s="9"/>
      <c r="D275" s="9"/>
      <c r="E275" s="9"/>
      <c r="F275" s="9">
        <f>F274/8</f>
        <v>0</v>
      </c>
      <c r="G275" s="9" t="s">
        <v>13</v>
      </c>
      <c r="H275" s="9"/>
      <c r="I275" s="9"/>
      <c r="J275" s="9"/>
      <c r="K275" s="9"/>
    </row>
    <row r="276" spans="1:11" s="7" customFormat="1" ht="30" customHeight="1" thickBo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spans="1:11" s="7" customFormat="1" ht="30" customHeight="1" thickBo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1:11" s="7" customFormat="1" ht="30" customHeight="1" thickBot="1" x14ac:dyDescent="0.25">
      <c r="A278" s="9"/>
      <c r="B278" s="9"/>
      <c r="C278" s="9"/>
      <c r="D278" s="9"/>
      <c r="E278" s="9"/>
      <c r="F278" s="9">
        <v>0</v>
      </c>
      <c r="G278" s="9" t="s">
        <v>74</v>
      </c>
      <c r="H278" s="9"/>
      <c r="I278" s="9"/>
      <c r="J278" s="9"/>
      <c r="K278" s="9"/>
    </row>
    <row r="279" spans="1:11" s="7" customFormat="1" ht="30" customHeight="1" thickBo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1:11" s="7" customFormat="1" ht="30" customHeight="1" thickBo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spans="1:11" s="7" customFormat="1" ht="30" customHeight="1" thickBo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1:11" s="7" customFormat="1" ht="30" customHeight="1" thickBo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spans="1:11" s="7" customFormat="1" ht="30" customHeight="1" thickBo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1:11" s="7" customFormat="1" ht="30" customHeight="1" thickBo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spans="1:11" s="7" customFormat="1" ht="30" customHeight="1" thickBo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1:11" s="7" customFormat="1" ht="30" customHeight="1" thickBo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spans="1:11" s="7" customFormat="1" ht="30" customHeight="1" thickBo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spans="1:11" s="7" customFormat="1" ht="30" customHeight="1" thickBo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spans="1:11" s="7" customFormat="1" ht="30" customHeight="1" thickBo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spans="1:11" s="7" customFormat="1" ht="30" customHeight="1" thickBo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spans="1:11" s="7" customFormat="1" ht="30" customHeight="1" thickBo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1:11" s="7" customFormat="1" ht="30" customHeight="1" thickBo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spans="1:11" s="7" customFormat="1" ht="30" customHeight="1" thickBo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1:11" s="7" customFormat="1" ht="30" customHeight="1" thickBo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spans="1:11" s="7" customFormat="1" ht="30" customHeight="1" thickBo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spans="1:11" s="7" customFormat="1" ht="30" customHeight="1" thickBo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spans="1:11" s="7" customFormat="1" ht="30" customHeight="1" thickBo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spans="1:11" s="7" customFormat="1" ht="30" customHeight="1" thickBo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spans="1:11" s="7" customFormat="1" ht="30" customHeight="1" thickBo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s="7" customFormat="1" ht="30" customHeight="1" thickBo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s="7" customFormat="1" ht="30" customHeight="1" thickBo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s="7" customFormat="1" ht="30" customHeight="1" thickBo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s="7" customFormat="1" ht="30" customHeight="1" thickBo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s="7" customFormat="1" ht="30" customHeight="1" thickBo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s="7" customFormat="1" ht="30" customHeight="1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s="7" customFormat="1" ht="30" customHeight="1" thickBo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s="7" customFormat="1" ht="30" customHeight="1" thickBo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spans="1:11" s="7" customFormat="1" ht="30" customHeight="1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s="7" customFormat="1" ht="30" customHeight="1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s="7" customFormat="1" ht="30" customHeight="1" thickBo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spans="1:11" s="7" customFormat="1" ht="30" customHeight="1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s="7" customFormat="1" ht="30" customHeight="1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s="7" customFormat="1" ht="30" customHeight="1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s="7" customFormat="1" ht="30" customHeight="1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s="7" customFormat="1" ht="30" customHeight="1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s="7" customFormat="1" ht="30" customHeight="1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s="7" customFormat="1" ht="30" customHeight="1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s="7" customFormat="1" ht="30" customHeight="1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s="7" customFormat="1" ht="30" customHeight="1" x14ac:dyDescent="0.2">
      <c r="B319" s="5"/>
      <c r="C319" s="5"/>
      <c r="D319" s="5"/>
      <c r="E319" s="5"/>
      <c r="F319" s="5"/>
      <c r="I319" s="5"/>
      <c r="J319" s="5"/>
    </row>
    <row r="320" spans="1:11" s="7" customFormat="1" ht="30" customHeight="1" x14ac:dyDescent="0.2">
      <c r="B320" s="5"/>
      <c r="C320" s="5"/>
      <c r="D320" s="5"/>
      <c r="E320" s="5"/>
      <c r="F320" s="5"/>
      <c r="I320" s="5"/>
      <c r="J320" s="5"/>
    </row>
    <row r="321" spans="2:10" s="7" customFormat="1" ht="30" customHeight="1" x14ac:dyDescent="0.2">
      <c r="B321" s="5"/>
      <c r="C321" s="5"/>
      <c r="D321" s="5"/>
      <c r="E321" s="5"/>
      <c r="F321" s="5"/>
      <c r="I321" s="5"/>
      <c r="J321" s="5"/>
    </row>
    <row r="322" spans="2:10" s="7" customFormat="1" ht="30" customHeight="1" x14ac:dyDescent="0.2">
      <c r="B322" s="5"/>
      <c r="C322" s="5"/>
      <c r="D322" s="5"/>
      <c r="E322" s="5"/>
      <c r="F322" s="5"/>
      <c r="I322" s="5"/>
      <c r="J322" s="5"/>
    </row>
    <row r="323" spans="2:10" s="7" customFormat="1" ht="30" customHeight="1" x14ac:dyDescent="0.2">
      <c r="B323" s="5"/>
      <c r="C323" s="5"/>
      <c r="D323" s="5"/>
      <c r="E323" s="5"/>
      <c r="F323" s="5"/>
      <c r="I323" s="5"/>
      <c r="J323" s="5"/>
    </row>
    <row r="324" spans="2:10" s="7" customFormat="1" ht="30" customHeight="1" x14ac:dyDescent="0.2">
      <c r="B324" s="5"/>
      <c r="C324" s="5"/>
      <c r="D324" s="5"/>
      <c r="E324" s="5"/>
      <c r="F324" s="5"/>
      <c r="I324" s="5"/>
      <c r="J324" s="5"/>
    </row>
    <row r="325" spans="2:10" s="7" customFormat="1" ht="30" customHeight="1" x14ac:dyDescent="0.2">
      <c r="B325" s="5"/>
      <c r="C325" s="5"/>
      <c r="D325" s="5"/>
      <c r="E325" s="5"/>
      <c r="F325" s="5"/>
      <c r="I325" s="5"/>
      <c r="J325" s="5"/>
    </row>
    <row r="326" spans="2:10" s="7" customFormat="1" ht="30" customHeight="1" x14ac:dyDescent="0.2">
      <c r="B326" s="5"/>
      <c r="C326" s="5"/>
      <c r="D326" s="5"/>
      <c r="E326" s="5"/>
      <c r="F326" s="5"/>
      <c r="I326" s="5"/>
      <c r="J326" s="5"/>
    </row>
    <row r="327" spans="2:10" s="7" customFormat="1" ht="30" customHeight="1" x14ac:dyDescent="0.2">
      <c r="B327" s="5"/>
      <c r="C327" s="5"/>
      <c r="D327" s="5"/>
      <c r="E327" s="5"/>
      <c r="F327" s="5"/>
      <c r="I327" s="5"/>
      <c r="J327" s="5"/>
    </row>
    <row r="328" spans="2:10" s="7" customFormat="1" ht="30" customHeight="1" x14ac:dyDescent="0.2">
      <c r="B328" s="5"/>
      <c r="C328" s="5"/>
      <c r="D328" s="5"/>
      <c r="E328" s="5"/>
      <c r="F328" s="5"/>
      <c r="I328" s="5"/>
      <c r="J328" s="5"/>
    </row>
    <row r="329" spans="2:10" s="7" customFormat="1" ht="30" customHeight="1" x14ac:dyDescent="0.2">
      <c r="B329" s="5"/>
      <c r="C329" s="5"/>
      <c r="D329" s="5"/>
      <c r="E329" s="5"/>
      <c r="F329" s="5"/>
      <c r="I329" s="5"/>
      <c r="J329" s="5"/>
    </row>
    <row r="330" spans="2:10" s="7" customFormat="1" ht="30" customHeight="1" x14ac:dyDescent="0.2">
      <c r="B330" s="5"/>
      <c r="C330" s="5"/>
      <c r="D330" s="5"/>
      <c r="E330" s="5"/>
      <c r="F330" s="5"/>
      <c r="I330" s="5"/>
      <c r="J330" s="5"/>
    </row>
    <row r="331" spans="2:10" s="7" customFormat="1" ht="30" customHeight="1" x14ac:dyDescent="0.2">
      <c r="B331" s="5"/>
      <c r="C331" s="5"/>
      <c r="D331" s="5"/>
      <c r="E331" s="5"/>
      <c r="F331" s="5"/>
      <c r="I331" s="5"/>
      <c r="J331" s="5"/>
    </row>
    <row r="332" spans="2:10" s="7" customFormat="1" ht="30" customHeight="1" x14ac:dyDescent="0.2">
      <c r="B332" s="5"/>
      <c r="C332" s="5"/>
      <c r="D332" s="5"/>
      <c r="E332" s="5"/>
      <c r="F332" s="5"/>
      <c r="I332" s="5"/>
      <c r="J332" s="5"/>
    </row>
    <row r="333" spans="2:10" s="7" customFormat="1" ht="30" customHeight="1" x14ac:dyDescent="0.2">
      <c r="B333" s="5"/>
      <c r="C333" s="5"/>
      <c r="D333" s="5"/>
      <c r="E333" s="5"/>
      <c r="F333" s="5"/>
      <c r="I333" s="5"/>
      <c r="J333" s="5"/>
    </row>
    <row r="334" spans="2:10" s="7" customFormat="1" ht="30" customHeight="1" x14ac:dyDescent="0.2">
      <c r="B334" s="5"/>
      <c r="C334" s="5"/>
      <c r="D334" s="5"/>
      <c r="E334" s="5"/>
      <c r="F334" s="5"/>
      <c r="I334" s="5"/>
      <c r="J334" s="5"/>
    </row>
    <row r="335" spans="2:10" s="7" customFormat="1" ht="30" customHeight="1" x14ac:dyDescent="0.2">
      <c r="B335" s="5"/>
      <c r="C335" s="5"/>
      <c r="D335" s="5"/>
      <c r="E335" s="5"/>
      <c r="F335" s="5"/>
      <c r="I335" s="5"/>
      <c r="J335" s="5"/>
    </row>
    <row r="336" spans="2:10" s="7" customFormat="1" ht="30" customHeight="1" x14ac:dyDescent="0.2">
      <c r="B336" s="5"/>
      <c r="C336" s="5"/>
      <c r="D336" s="5"/>
      <c r="E336" s="5"/>
      <c r="F336" s="5"/>
      <c r="I336" s="5"/>
      <c r="J336" s="5"/>
    </row>
    <row r="337" spans="2:10" s="7" customFormat="1" ht="30" customHeight="1" x14ac:dyDescent="0.2">
      <c r="B337" s="5"/>
      <c r="C337" s="5"/>
      <c r="D337" s="5"/>
      <c r="E337" s="5"/>
      <c r="F337" s="5"/>
      <c r="I337" s="5"/>
      <c r="J337" s="5"/>
    </row>
    <row r="338" spans="2:10" s="7" customFormat="1" ht="30" customHeight="1" x14ac:dyDescent="0.2">
      <c r="B338" s="5"/>
      <c r="C338" s="5"/>
      <c r="D338" s="5"/>
      <c r="E338" s="5"/>
      <c r="F338" s="5"/>
      <c r="I338" s="5"/>
      <c r="J338" s="5"/>
    </row>
    <row r="339" spans="2:10" s="7" customFormat="1" ht="30" customHeight="1" x14ac:dyDescent="0.2">
      <c r="B339" s="5"/>
      <c r="C339" s="5"/>
      <c r="D339" s="5"/>
      <c r="E339" s="5"/>
      <c r="F339" s="5"/>
      <c r="I339" s="5"/>
      <c r="J339" s="5"/>
    </row>
    <row r="340" spans="2:10" s="7" customFormat="1" ht="30" customHeight="1" x14ac:dyDescent="0.2">
      <c r="B340" s="5"/>
      <c r="C340" s="5"/>
      <c r="D340" s="5"/>
      <c r="E340" s="5"/>
      <c r="F340" s="5"/>
      <c r="I340" s="5"/>
      <c r="J340" s="5"/>
    </row>
    <row r="341" spans="2:10" s="7" customFormat="1" ht="30" customHeight="1" x14ac:dyDescent="0.2">
      <c r="B341" s="5"/>
      <c r="C341" s="5"/>
      <c r="D341" s="5"/>
      <c r="E341" s="5"/>
      <c r="F341" s="5"/>
      <c r="I341" s="5"/>
      <c r="J341" s="5"/>
    </row>
    <row r="342" spans="2:10" s="7" customFormat="1" ht="30" customHeight="1" x14ac:dyDescent="0.2">
      <c r="B342" s="5"/>
      <c r="C342" s="5"/>
      <c r="D342" s="5"/>
      <c r="E342" s="5"/>
      <c r="F342" s="5"/>
      <c r="I342" s="5"/>
      <c r="J342" s="5"/>
    </row>
    <row r="343" spans="2:10" s="7" customFormat="1" ht="30" customHeight="1" x14ac:dyDescent="0.2">
      <c r="B343" s="5"/>
      <c r="C343" s="5"/>
      <c r="D343" s="5"/>
      <c r="E343" s="5"/>
      <c r="F343" s="5"/>
      <c r="I343" s="5"/>
      <c r="J343" s="5"/>
    </row>
    <row r="344" spans="2:10" s="7" customFormat="1" ht="30" customHeight="1" x14ac:dyDescent="0.2">
      <c r="B344" s="5"/>
      <c r="C344" s="5"/>
      <c r="D344" s="5"/>
      <c r="E344" s="5"/>
      <c r="F344" s="5"/>
      <c r="I344" s="5"/>
      <c r="J344" s="5"/>
    </row>
    <row r="345" spans="2:10" s="7" customFormat="1" ht="30" customHeight="1" x14ac:dyDescent="0.2">
      <c r="B345" s="5"/>
      <c r="C345" s="5"/>
      <c r="D345" s="5"/>
      <c r="E345" s="5"/>
      <c r="F345" s="5"/>
      <c r="I345" s="5"/>
      <c r="J345" s="5"/>
    </row>
    <row r="346" spans="2:10" s="7" customFormat="1" ht="30" customHeight="1" x14ac:dyDescent="0.2">
      <c r="B346" s="5"/>
      <c r="C346" s="5"/>
      <c r="D346" s="5"/>
      <c r="E346" s="5"/>
      <c r="F346" s="5"/>
      <c r="I346" s="5"/>
      <c r="J346" s="5"/>
    </row>
    <row r="347" spans="2:10" s="7" customFormat="1" ht="30" customHeight="1" x14ac:dyDescent="0.2">
      <c r="B347" s="5"/>
      <c r="C347" s="5"/>
      <c r="D347" s="5"/>
      <c r="E347" s="5"/>
      <c r="F347" s="5"/>
      <c r="I347" s="5"/>
      <c r="J347" s="5"/>
    </row>
    <row r="348" spans="2:10" s="7" customFormat="1" ht="30" customHeight="1" x14ac:dyDescent="0.2">
      <c r="B348" s="5"/>
      <c r="C348" s="5"/>
      <c r="D348" s="5"/>
      <c r="E348" s="5"/>
      <c r="F348" s="5"/>
      <c r="I348" s="5"/>
      <c r="J348" s="5"/>
    </row>
    <row r="349" spans="2:10" s="7" customFormat="1" ht="30" customHeight="1" x14ac:dyDescent="0.2">
      <c r="B349" s="5"/>
      <c r="C349" s="5"/>
      <c r="D349" s="5"/>
      <c r="E349" s="5"/>
      <c r="F349" s="5"/>
      <c r="I349" s="5"/>
      <c r="J349" s="5"/>
    </row>
    <row r="350" spans="2:10" s="7" customFormat="1" ht="30" customHeight="1" x14ac:dyDescent="0.2">
      <c r="B350" s="5"/>
      <c r="C350" s="5"/>
      <c r="D350" s="5"/>
      <c r="E350" s="5"/>
      <c r="F350" s="5"/>
      <c r="I350" s="5"/>
      <c r="J350" s="5"/>
    </row>
    <row r="351" spans="2:10" s="7" customFormat="1" ht="30" customHeight="1" x14ac:dyDescent="0.2">
      <c r="B351" s="5"/>
      <c r="C351" s="5"/>
      <c r="D351" s="5"/>
      <c r="E351" s="5"/>
      <c r="F351" s="5"/>
      <c r="I351" s="5"/>
      <c r="J351" s="5"/>
    </row>
    <row r="352" spans="2:10" s="7" customFormat="1" ht="30" customHeight="1" x14ac:dyDescent="0.2">
      <c r="B352" s="5"/>
      <c r="C352" s="5"/>
      <c r="D352" s="5"/>
      <c r="E352" s="5"/>
      <c r="F352" s="5"/>
      <c r="I352" s="5"/>
      <c r="J352" s="5"/>
    </row>
    <row r="353" spans="2:10" s="7" customFormat="1" ht="30" customHeight="1" x14ac:dyDescent="0.2">
      <c r="B353" s="5"/>
      <c r="C353" s="5"/>
      <c r="D353" s="5"/>
      <c r="E353" s="5"/>
      <c r="F353" s="5"/>
      <c r="I353" s="5"/>
      <c r="J353" s="5"/>
    </row>
    <row r="354" spans="2:10" s="7" customFormat="1" ht="30" customHeight="1" x14ac:dyDescent="0.2">
      <c r="B354" s="5"/>
      <c r="C354" s="5"/>
      <c r="D354" s="5"/>
      <c r="E354" s="5"/>
      <c r="F354" s="5"/>
      <c r="I354" s="5"/>
      <c r="J354" s="5"/>
    </row>
    <row r="355" spans="2:10" s="7" customFormat="1" ht="30" customHeight="1" x14ac:dyDescent="0.2">
      <c r="B355" s="5"/>
      <c r="C355" s="5"/>
      <c r="D355" s="5"/>
      <c r="E355" s="5"/>
      <c r="F355" s="5"/>
      <c r="I355" s="5"/>
      <c r="J355" s="5"/>
    </row>
    <row r="356" spans="2:10" s="7" customFormat="1" ht="30" customHeight="1" x14ac:dyDescent="0.2">
      <c r="B356" s="5"/>
      <c r="C356" s="5"/>
      <c r="D356" s="5"/>
      <c r="E356" s="5"/>
      <c r="F356" s="5"/>
      <c r="I356" s="5"/>
      <c r="J356" s="5"/>
    </row>
    <row r="357" spans="2:10" s="7" customFormat="1" ht="30" customHeight="1" x14ac:dyDescent="0.2">
      <c r="B357" s="5"/>
      <c r="C357" s="5"/>
      <c r="D357" s="5"/>
      <c r="E357" s="5"/>
      <c r="F357" s="5"/>
      <c r="I357" s="5"/>
      <c r="J357" s="5"/>
    </row>
    <row r="358" spans="2:10" s="7" customFormat="1" ht="30" customHeight="1" x14ac:dyDescent="0.2">
      <c r="B358" s="5"/>
      <c r="C358" s="5"/>
      <c r="D358" s="5"/>
      <c r="E358" s="5"/>
      <c r="F358" s="5"/>
      <c r="I358" s="5"/>
      <c r="J358" s="5"/>
    </row>
    <row r="359" spans="2:10" s="7" customFormat="1" ht="30" customHeight="1" x14ac:dyDescent="0.2">
      <c r="B359" s="5"/>
      <c r="C359" s="5"/>
      <c r="D359" s="5"/>
      <c r="E359" s="5"/>
      <c r="F359" s="5"/>
      <c r="I359" s="5"/>
      <c r="J359" s="5"/>
    </row>
    <row r="360" spans="2:10" s="7" customFormat="1" ht="30" customHeight="1" x14ac:dyDescent="0.2">
      <c r="B360" s="5"/>
      <c r="C360" s="5"/>
      <c r="D360" s="5"/>
      <c r="E360" s="5"/>
      <c r="F360" s="5"/>
      <c r="I360" s="5"/>
      <c r="J360" s="5"/>
    </row>
    <row r="361" spans="2:10" s="7" customFormat="1" ht="30" customHeight="1" x14ac:dyDescent="0.2">
      <c r="B361" s="5"/>
      <c r="C361" s="5"/>
      <c r="D361" s="5"/>
      <c r="E361" s="5"/>
      <c r="F361" s="5"/>
      <c r="I361" s="5"/>
      <c r="J361" s="5"/>
    </row>
    <row r="362" spans="2:10" s="7" customFormat="1" ht="30" customHeight="1" x14ac:dyDescent="0.2">
      <c r="B362" s="5"/>
      <c r="C362" s="5"/>
      <c r="D362" s="5"/>
      <c r="E362" s="5"/>
      <c r="F362" s="5"/>
      <c r="I362" s="5"/>
      <c r="J362" s="5"/>
    </row>
    <row r="363" spans="2:10" s="7" customFormat="1" ht="30" customHeight="1" x14ac:dyDescent="0.2">
      <c r="B363" s="5"/>
      <c r="C363" s="5"/>
      <c r="D363" s="5"/>
      <c r="E363" s="5"/>
      <c r="F363" s="5"/>
      <c r="I363" s="5"/>
      <c r="J363" s="5"/>
    </row>
    <row r="364" spans="2:10" s="7" customFormat="1" ht="30" customHeight="1" x14ac:dyDescent="0.2">
      <c r="B364" s="5"/>
      <c r="C364" s="5"/>
      <c r="D364" s="5"/>
      <c r="E364" s="5"/>
      <c r="F364" s="5"/>
      <c r="I364" s="5"/>
      <c r="J364" s="5"/>
    </row>
    <row r="365" spans="2:10" s="7" customFormat="1" ht="30" customHeight="1" x14ac:dyDescent="0.2">
      <c r="B365" s="5"/>
      <c r="C365" s="5"/>
      <c r="D365" s="5"/>
      <c r="E365" s="5"/>
      <c r="F365" s="5"/>
      <c r="I365" s="5"/>
      <c r="J365" s="5"/>
    </row>
    <row r="366" spans="2:10" s="7" customFormat="1" ht="30" customHeight="1" x14ac:dyDescent="0.2">
      <c r="B366" s="5"/>
      <c r="C366" s="5"/>
      <c r="D366" s="5"/>
      <c r="E366" s="5"/>
      <c r="F366" s="5"/>
      <c r="I366" s="5"/>
      <c r="J366" s="5"/>
    </row>
    <row r="367" spans="2:10" s="7" customFormat="1" ht="30" customHeight="1" x14ac:dyDescent="0.2">
      <c r="B367" s="5"/>
      <c r="C367" s="5"/>
      <c r="D367" s="5"/>
      <c r="E367" s="5"/>
      <c r="F367" s="5"/>
      <c r="I367" s="5"/>
      <c r="J367" s="5"/>
    </row>
    <row r="368" spans="2:10" s="7" customFormat="1" ht="30" customHeight="1" x14ac:dyDescent="0.2">
      <c r="B368" s="5"/>
      <c r="C368" s="5"/>
      <c r="D368" s="5"/>
      <c r="E368" s="5"/>
      <c r="F368" s="5"/>
      <c r="I368" s="5"/>
      <c r="J368" s="5"/>
    </row>
    <row r="369" spans="2:10" s="7" customFormat="1" ht="30" customHeight="1" x14ac:dyDescent="0.2">
      <c r="B369" s="5"/>
      <c r="C369" s="5"/>
      <c r="D369" s="5"/>
      <c r="E369" s="5"/>
      <c r="F369" s="5"/>
      <c r="I369" s="5"/>
      <c r="J369" s="5"/>
    </row>
    <row r="370" spans="2:10" s="7" customFormat="1" ht="30" customHeight="1" x14ac:dyDescent="0.2">
      <c r="B370" s="5"/>
      <c r="C370" s="5"/>
      <c r="D370" s="5"/>
      <c r="E370" s="5"/>
      <c r="F370" s="5"/>
      <c r="I370" s="5"/>
      <c r="J370" s="5"/>
    </row>
    <row r="371" spans="2:10" s="7" customFormat="1" ht="30" customHeight="1" x14ac:dyDescent="0.2">
      <c r="B371" s="5"/>
      <c r="C371" s="5"/>
      <c r="D371" s="5"/>
      <c r="E371" s="5"/>
      <c r="F371" s="5"/>
      <c r="I371" s="5"/>
      <c r="J371" s="5"/>
    </row>
    <row r="372" spans="2:10" s="7" customFormat="1" ht="30" customHeight="1" x14ac:dyDescent="0.2">
      <c r="B372" s="5"/>
      <c r="C372" s="5"/>
      <c r="D372" s="5"/>
      <c r="E372" s="5"/>
      <c r="F372" s="5"/>
      <c r="I372" s="5"/>
      <c r="J372" s="5"/>
    </row>
    <row r="373" spans="2:10" s="7" customFormat="1" ht="30" customHeight="1" x14ac:dyDescent="0.2">
      <c r="B373" s="5"/>
      <c r="C373" s="5"/>
      <c r="D373" s="5"/>
      <c r="E373" s="5"/>
      <c r="F373" s="5"/>
      <c r="I373" s="5"/>
      <c r="J373" s="5"/>
    </row>
    <row r="374" spans="2:10" s="7" customFormat="1" ht="30" customHeight="1" x14ac:dyDescent="0.2">
      <c r="B374" s="5"/>
      <c r="C374" s="5"/>
      <c r="D374" s="5"/>
      <c r="E374" s="5"/>
      <c r="F374" s="5"/>
      <c r="I374" s="5"/>
      <c r="J374" s="5"/>
    </row>
    <row r="375" spans="2:10" s="7" customFormat="1" ht="30" customHeight="1" x14ac:dyDescent="0.2">
      <c r="B375" s="5"/>
      <c r="C375" s="5"/>
      <c r="D375" s="5"/>
      <c r="E375" s="5"/>
      <c r="F375" s="5"/>
      <c r="I375" s="5"/>
      <c r="J375" s="5"/>
    </row>
    <row r="376" spans="2:10" s="7" customFormat="1" ht="30" customHeight="1" x14ac:dyDescent="0.2">
      <c r="B376" s="5"/>
      <c r="C376" s="5"/>
      <c r="D376" s="5"/>
      <c r="E376" s="5"/>
      <c r="F376" s="5"/>
      <c r="I376" s="5"/>
      <c r="J376" s="5"/>
    </row>
    <row r="377" spans="2:10" s="7" customFormat="1" ht="30" customHeight="1" x14ac:dyDescent="0.2">
      <c r="B377" s="5"/>
      <c r="C377" s="5"/>
      <c r="D377" s="5"/>
      <c r="E377" s="5"/>
      <c r="F377" s="5"/>
      <c r="I377" s="5"/>
      <c r="J377" s="5"/>
    </row>
    <row r="378" spans="2:10" s="7" customFormat="1" ht="30" customHeight="1" x14ac:dyDescent="0.2">
      <c r="B378" s="5"/>
      <c r="C378" s="5"/>
      <c r="D378" s="5"/>
      <c r="E378" s="5"/>
      <c r="F378" s="5"/>
      <c r="I378" s="5"/>
      <c r="J378" s="5"/>
    </row>
    <row r="379" spans="2:10" s="7" customFormat="1" ht="30" customHeight="1" x14ac:dyDescent="0.2">
      <c r="B379" s="5"/>
      <c r="C379" s="5"/>
      <c r="D379" s="5"/>
      <c r="E379" s="5"/>
      <c r="F379" s="5"/>
      <c r="I379" s="5"/>
      <c r="J379" s="5"/>
    </row>
    <row r="380" spans="2:10" s="7" customFormat="1" ht="30" customHeight="1" x14ac:dyDescent="0.2">
      <c r="B380" s="5"/>
      <c r="C380" s="5"/>
      <c r="D380" s="5"/>
      <c r="E380" s="5"/>
      <c r="F380" s="5"/>
      <c r="I380" s="5"/>
      <c r="J380" s="5"/>
    </row>
    <row r="381" spans="2:10" s="7" customFormat="1" ht="30" customHeight="1" x14ac:dyDescent="0.2">
      <c r="B381" s="5"/>
      <c r="C381" s="5"/>
      <c r="D381" s="5"/>
      <c r="E381" s="5"/>
      <c r="F381" s="5"/>
      <c r="I381" s="5"/>
      <c r="J381" s="5"/>
    </row>
    <row r="382" spans="2:10" s="7" customFormat="1" ht="30" customHeight="1" x14ac:dyDescent="0.2">
      <c r="B382" s="5"/>
      <c r="C382" s="5"/>
      <c r="D382" s="5"/>
      <c r="E382" s="5"/>
      <c r="F382" s="5"/>
      <c r="I382" s="5"/>
      <c r="J382" s="5"/>
    </row>
    <row r="383" spans="2:10" s="7" customFormat="1" ht="30" customHeight="1" x14ac:dyDescent="0.2">
      <c r="B383" s="5"/>
      <c r="C383" s="5"/>
      <c r="D383" s="5"/>
      <c r="E383" s="5"/>
      <c r="F383" s="5"/>
      <c r="I383" s="5"/>
      <c r="J383" s="5"/>
    </row>
    <row r="384" spans="2:10" s="7" customFormat="1" ht="30" customHeight="1" x14ac:dyDescent="0.2">
      <c r="B384" s="5"/>
      <c r="C384" s="5"/>
      <c r="D384" s="5"/>
      <c r="E384" s="5"/>
      <c r="F384" s="5"/>
      <c r="I384" s="5"/>
      <c r="J384" s="5"/>
    </row>
    <row r="385" spans="2:10" s="7" customFormat="1" ht="30" customHeight="1" x14ac:dyDescent="0.2">
      <c r="B385" s="5"/>
      <c r="C385" s="5"/>
      <c r="D385" s="5"/>
      <c r="E385" s="5"/>
      <c r="F385" s="5"/>
      <c r="I385" s="5"/>
      <c r="J385" s="5"/>
    </row>
    <row r="386" spans="2:10" s="7" customFormat="1" ht="30" customHeight="1" x14ac:dyDescent="0.2">
      <c r="B386" s="5"/>
      <c r="C386" s="5"/>
      <c r="D386" s="5"/>
      <c r="E386" s="5"/>
      <c r="F386" s="5"/>
      <c r="I386" s="5"/>
      <c r="J386" s="5"/>
    </row>
    <row r="387" spans="2:10" s="7" customFormat="1" ht="30" customHeight="1" x14ac:dyDescent="0.2">
      <c r="B387" s="5"/>
      <c r="C387" s="5"/>
      <c r="D387" s="5"/>
      <c r="E387" s="5"/>
      <c r="F387" s="5"/>
      <c r="I387" s="5"/>
      <c r="J387" s="5"/>
    </row>
    <row r="388" spans="2:10" s="7" customFormat="1" ht="30" customHeight="1" x14ac:dyDescent="0.2">
      <c r="B388" s="5"/>
      <c r="C388" s="5"/>
      <c r="D388" s="5"/>
      <c r="E388" s="5"/>
      <c r="F388" s="5"/>
      <c r="I388" s="5"/>
      <c r="J388" s="5"/>
    </row>
    <row r="389" spans="2:10" s="7" customFormat="1" ht="30" customHeight="1" x14ac:dyDescent="0.2">
      <c r="B389" s="5"/>
      <c r="C389" s="5"/>
      <c r="D389" s="5"/>
      <c r="E389" s="5"/>
      <c r="F389" s="5"/>
      <c r="I389" s="5"/>
      <c r="J389" s="5"/>
    </row>
    <row r="390" spans="2:10" s="7" customFormat="1" ht="30" customHeight="1" x14ac:dyDescent="0.2">
      <c r="B390" s="5"/>
      <c r="C390" s="5"/>
      <c r="D390" s="5"/>
      <c r="E390" s="5"/>
      <c r="F390" s="5"/>
      <c r="I390" s="5"/>
      <c r="J390" s="5"/>
    </row>
    <row r="391" spans="2:10" s="7" customFormat="1" ht="30" customHeight="1" x14ac:dyDescent="0.2">
      <c r="B391" s="5"/>
      <c r="C391" s="5"/>
      <c r="D391" s="5"/>
      <c r="E391" s="5"/>
      <c r="F391" s="5"/>
      <c r="I391" s="5"/>
      <c r="J391" s="5"/>
    </row>
    <row r="392" spans="2:10" s="7" customFormat="1" ht="30" customHeight="1" x14ac:dyDescent="0.2">
      <c r="B392" s="5"/>
      <c r="C392" s="5"/>
      <c r="D392" s="5"/>
      <c r="E392" s="5"/>
      <c r="F392" s="5"/>
      <c r="I392" s="5"/>
      <c r="J392" s="5"/>
    </row>
    <row r="393" spans="2:10" s="7" customFormat="1" ht="30" customHeight="1" x14ac:dyDescent="0.2">
      <c r="B393" s="5"/>
      <c r="C393" s="5"/>
      <c r="D393" s="5"/>
      <c r="E393" s="5"/>
      <c r="F393" s="5"/>
      <c r="I393" s="5"/>
      <c r="J393" s="5"/>
    </row>
    <row r="394" spans="2:10" s="7" customFormat="1" ht="30" customHeight="1" x14ac:dyDescent="0.2">
      <c r="B394" s="5"/>
      <c r="C394" s="5"/>
      <c r="D394" s="5"/>
      <c r="E394" s="5"/>
      <c r="F394" s="5"/>
      <c r="I394" s="5"/>
      <c r="J394" s="5"/>
    </row>
    <row r="395" spans="2:10" s="7" customFormat="1" ht="30" customHeight="1" x14ac:dyDescent="0.2">
      <c r="B395" s="5"/>
      <c r="C395" s="5"/>
      <c r="D395" s="5"/>
      <c r="E395" s="5"/>
      <c r="F395" s="5"/>
      <c r="I395" s="5"/>
      <c r="J395" s="5"/>
    </row>
    <row r="396" spans="2:10" s="7" customFormat="1" ht="30" customHeight="1" x14ac:dyDescent="0.2">
      <c r="B396" s="5"/>
      <c r="C396" s="5"/>
      <c r="D396" s="5"/>
      <c r="E396" s="5"/>
      <c r="F396" s="5"/>
      <c r="I396" s="5"/>
      <c r="J396" s="5"/>
    </row>
    <row r="397" spans="2:10" s="7" customFormat="1" ht="30" customHeight="1" x14ac:dyDescent="0.2">
      <c r="B397" s="5"/>
      <c r="C397" s="5"/>
      <c r="D397" s="5"/>
      <c r="E397" s="5"/>
      <c r="F397" s="5"/>
      <c r="I397" s="5"/>
      <c r="J397" s="5"/>
    </row>
    <row r="398" spans="2:10" s="7" customFormat="1" ht="30" customHeight="1" x14ac:dyDescent="0.2">
      <c r="B398" s="5"/>
      <c r="C398" s="5"/>
      <c r="D398" s="5"/>
      <c r="E398" s="5"/>
      <c r="F398" s="5"/>
      <c r="I398" s="5"/>
      <c r="J398" s="5"/>
    </row>
    <row r="399" spans="2:10" s="7" customFormat="1" ht="30" customHeight="1" x14ac:dyDescent="0.2">
      <c r="B399" s="5"/>
      <c r="C399" s="5"/>
      <c r="D399" s="5"/>
      <c r="E399" s="5"/>
      <c r="F399" s="5"/>
      <c r="I399" s="5"/>
      <c r="J399" s="5"/>
    </row>
    <row r="400" spans="2:10" s="7" customFormat="1" ht="30" customHeight="1" x14ac:dyDescent="0.2">
      <c r="B400" s="5"/>
      <c r="C400" s="5"/>
      <c r="D400" s="5"/>
      <c r="E400" s="5"/>
      <c r="F400" s="5"/>
      <c r="I400" s="5"/>
      <c r="J400" s="5"/>
    </row>
    <row r="401" spans="2:10" s="7" customFormat="1" ht="30" customHeight="1" x14ac:dyDescent="0.2">
      <c r="B401" s="5"/>
      <c r="C401" s="5"/>
      <c r="D401" s="5"/>
      <c r="E401" s="5"/>
      <c r="F401" s="5"/>
      <c r="I401" s="5"/>
      <c r="J401" s="5"/>
    </row>
    <row r="402" spans="2:10" s="7" customFormat="1" ht="30" customHeight="1" x14ac:dyDescent="0.2">
      <c r="B402" s="5"/>
      <c r="C402" s="5"/>
      <c r="D402" s="5"/>
      <c r="E402" s="5"/>
      <c r="F402" s="5"/>
      <c r="I402" s="5"/>
      <c r="J402" s="5"/>
    </row>
    <row r="403" spans="2:10" s="7" customFormat="1" ht="30" customHeight="1" x14ac:dyDescent="0.2">
      <c r="B403" s="5"/>
      <c r="C403" s="5"/>
      <c r="D403" s="5"/>
      <c r="E403" s="5"/>
      <c r="F403" s="5"/>
      <c r="I403" s="5"/>
      <c r="J403" s="5"/>
    </row>
    <row r="404" spans="2:10" s="7" customFormat="1" ht="30" customHeight="1" x14ac:dyDescent="0.2">
      <c r="B404" s="5"/>
      <c r="C404" s="5"/>
      <c r="D404" s="5"/>
      <c r="E404" s="5"/>
      <c r="F404" s="5"/>
      <c r="I404" s="5"/>
      <c r="J404" s="5"/>
    </row>
    <row r="405" spans="2:10" s="7" customFormat="1" ht="30" customHeight="1" x14ac:dyDescent="0.2">
      <c r="B405" s="5"/>
      <c r="C405" s="5"/>
      <c r="D405" s="5"/>
      <c r="E405" s="5"/>
      <c r="F405" s="5"/>
      <c r="I405" s="5"/>
      <c r="J405" s="5"/>
    </row>
    <row r="406" spans="2:10" s="7" customFormat="1" ht="30" customHeight="1" x14ac:dyDescent="0.2">
      <c r="B406" s="5"/>
      <c r="C406" s="5"/>
      <c r="D406" s="5"/>
      <c r="E406" s="5"/>
      <c r="F406" s="5"/>
      <c r="I406" s="5"/>
      <c r="J406" s="5"/>
    </row>
    <row r="407" spans="2:10" s="7" customFormat="1" ht="30" customHeight="1" x14ac:dyDescent="0.2">
      <c r="B407" s="5"/>
      <c r="C407" s="5"/>
      <c r="D407" s="5"/>
      <c r="E407" s="5"/>
      <c r="F407" s="5"/>
      <c r="I407" s="5"/>
      <c r="J407" s="5"/>
    </row>
    <row r="408" spans="2:10" s="7" customFormat="1" ht="30" customHeight="1" x14ac:dyDescent="0.2">
      <c r="B408" s="5"/>
      <c r="C408" s="5"/>
      <c r="D408" s="5"/>
      <c r="E408" s="5"/>
      <c r="F408" s="5"/>
      <c r="I408" s="5"/>
      <c r="J408" s="5"/>
    </row>
    <row r="409" spans="2:10" s="7" customFormat="1" ht="30" customHeight="1" x14ac:dyDescent="0.2">
      <c r="B409" s="5"/>
      <c r="C409" s="5"/>
      <c r="D409" s="5"/>
      <c r="E409" s="5"/>
      <c r="F409" s="5"/>
      <c r="I409" s="5"/>
      <c r="J409" s="5"/>
    </row>
    <row r="410" spans="2:10" s="7" customFormat="1" ht="30" customHeight="1" x14ac:dyDescent="0.2">
      <c r="B410" s="5"/>
      <c r="C410" s="5"/>
      <c r="D410" s="5"/>
      <c r="E410" s="5"/>
      <c r="F410" s="5"/>
      <c r="I410" s="5"/>
      <c r="J410" s="5"/>
    </row>
    <row r="411" spans="2:10" s="7" customFormat="1" ht="30" customHeight="1" x14ac:dyDescent="0.2">
      <c r="B411" s="5"/>
      <c r="C411" s="5"/>
      <c r="D411" s="5"/>
      <c r="E411" s="5"/>
      <c r="F411" s="5"/>
      <c r="I411" s="5"/>
      <c r="J411" s="5"/>
    </row>
    <row r="412" spans="2:10" s="7" customFormat="1" ht="30" customHeight="1" x14ac:dyDescent="0.2">
      <c r="B412" s="5"/>
      <c r="C412" s="5"/>
      <c r="D412" s="5"/>
      <c r="E412" s="5"/>
      <c r="F412" s="5"/>
      <c r="I412" s="5"/>
      <c r="J412" s="5"/>
    </row>
    <row r="413" spans="2:10" s="7" customFormat="1" ht="30" customHeight="1" x14ac:dyDescent="0.2">
      <c r="B413" s="5"/>
      <c r="C413" s="5"/>
      <c r="D413" s="5"/>
      <c r="E413" s="5"/>
      <c r="F413" s="5"/>
      <c r="I413" s="5"/>
      <c r="J413" s="5"/>
    </row>
    <row r="414" spans="2:10" s="7" customFormat="1" ht="30" customHeight="1" x14ac:dyDescent="0.2">
      <c r="B414" s="5"/>
      <c r="C414" s="5"/>
      <c r="D414" s="5"/>
      <c r="E414" s="5"/>
      <c r="F414" s="5"/>
      <c r="I414" s="5"/>
      <c r="J414" s="5"/>
    </row>
    <row r="415" spans="2:10" s="7" customFormat="1" ht="30" customHeight="1" x14ac:dyDescent="0.2">
      <c r="B415" s="5"/>
      <c r="C415" s="5"/>
      <c r="D415" s="5"/>
      <c r="E415" s="5"/>
      <c r="F415" s="5"/>
      <c r="I415" s="5"/>
      <c r="J415" s="5"/>
    </row>
    <row r="416" spans="2:10" s="7" customFormat="1" ht="30" customHeight="1" x14ac:dyDescent="0.2">
      <c r="B416" s="5"/>
      <c r="C416" s="5"/>
      <c r="D416" s="5"/>
      <c r="E416" s="5"/>
      <c r="F416" s="5"/>
      <c r="I416" s="5"/>
      <c r="J416" s="5"/>
    </row>
    <row r="417" spans="2:10" s="7" customFormat="1" ht="30" customHeight="1" x14ac:dyDescent="0.2">
      <c r="B417" s="5"/>
      <c r="C417" s="5"/>
      <c r="D417" s="5"/>
      <c r="E417" s="5"/>
      <c r="F417" s="5"/>
      <c r="I417" s="5"/>
      <c r="J417" s="5"/>
    </row>
  </sheetData>
  <autoFilter ref="A1:M214" xr:uid="{DAD00364-664A-470B-8B0C-3CB3FB80AFDB}"/>
  <mergeCells count="7">
    <mergeCell ref="C48:C53"/>
    <mergeCell ref="C42:C47"/>
    <mergeCell ref="C3:C8"/>
    <mergeCell ref="C9:C18"/>
    <mergeCell ref="C19:C24"/>
    <mergeCell ref="C25:C31"/>
    <mergeCell ref="C32:C37"/>
  </mergeCells>
  <dataValidations count="1">
    <dataValidation type="time" allowBlank="1" showInputMessage="1" showErrorMessage="1" sqref="D31 D26:E30 F33:F37 D41:E41 F55:F59 D60:F64 F96:F102 D94:E102 D93 D88:E92 D103:F105 D130:E134 D135 D136:E136 D2:E3 F2 D38:F40 D137:F267 D32:E37 D49:E59" xr:uid="{C2228086-3895-42F1-926A-B43FE25B6DE0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5E77438-532E-49A1-9EBA-D60A4942E17B}">
          <x14:formula1>
            <xm:f>Metadata!$H$2:$H$5</xm:f>
          </x14:formula1>
          <xm:sqref>A2:A267</xm:sqref>
        </x14:dataValidation>
        <x14:dataValidation type="list" allowBlank="1" showInputMessage="1" showErrorMessage="1" xr:uid="{083F116D-1680-4216-A058-FE6DCE690418}">
          <x14:formula1>
            <xm:f>Metadata!$A$2:$A$15</xm:f>
          </x14:formula1>
          <xm:sqref>G2:G266</xm:sqref>
        </x14:dataValidation>
        <x14:dataValidation type="list" allowBlank="1" showInputMessage="1" showErrorMessage="1" xr:uid="{7E728EFD-125A-43DE-B1B8-259E9BABC482}">
          <x14:formula1>
            <xm:f>Metadata!$C$2:$C$15</xm:f>
          </x14:formula1>
          <xm:sqref>H2:H267</xm:sqref>
        </x14:dataValidation>
        <x14:dataValidation type="list" allowBlank="1" showInputMessage="1" showErrorMessage="1" xr:uid="{EE9006B9-5435-4CD7-950A-FA7AC670B3FD}">
          <x14:formula1>
            <xm:f>Metadata!$C$3:$C$14</xm:f>
          </x14:formula1>
          <xm:sqref>B2:B267</xm:sqref>
        </x14:dataValidation>
        <x14:dataValidation type="list" allowBlank="1" showInputMessage="1" showErrorMessage="1" xr:uid="{BA1414DD-014E-424A-AC14-9735B9FBAFA6}">
          <x14:formula1>
            <xm:f>Metadata!$F$2:$F$15</xm:f>
          </x14:formula1>
          <xm:sqref>I2:I267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8BA3-2754-4FA2-A954-412178D9DF76}">
  <sheetPr codeName="Tabelle3">
    <pageSetUpPr fitToPage="1"/>
  </sheetPr>
  <dimension ref="A1:K449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11" sqref="A11"/>
      <selection pane="bottomRight" activeCell="C2" sqref="C2"/>
    </sheetView>
  </sheetViews>
  <sheetFormatPr baseColWidth="10" defaultColWidth="11.42578125" defaultRowHeight="14.25" x14ac:dyDescent="0.2"/>
  <cols>
    <col min="1" max="1" width="21.28515625" style="7" hidden="1" customWidth="1"/>
    <col min="2" max="2" width="15.8554687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7.710937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2" width="11.42578125" style="5"/>
    <col min="13" max="13" width="15.42578125" style="5" customWidth="1"/>
    <col min="14" max="16384" width="11.42578125" style="5"/>
  </cols>
  <sheetData>
    <row r="1" spans="1:11" s="18" customFormat="1" ht="60.75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1" s="13" customFormat="1" ht="29.25" thickBot="1" x14ac:dyDescent="0.3">
      <c r="A2" s="19" t="s">
        <v>47</v>
      </c>
      <c r="B2" s="10" t="s">
        <v>1</v>
      </c>
      <c r="C2" s="14">
        <v>46082</v>
      </c>
      <c r="D2" s="11">
        <v>0.35416666666666669</v>
      </c>
      <c r="E2" s="11">
        <v>0.6875</v>
      </c>
      <c r="F2" s="12">
        <f>+(E2-D2)*24</f>
        <v>8</v>
      </c>
      <c r="G2" s="20" t="s">
        <v>21</v>
      </c>
      <c r="H2" s="20" t="s">
        <v>30</v>
      </c>
      <c r="I2" s="9"/>
      <c r="J2" s="9" t="s">
        <v>71</v>
      </c>
      <c r="K2" s="9"/>
    </row>
    <row r="3" spans="1:11" s="13" customFormat="1" ht="29.25" thickBot="1" x14ac:dyDescent="0.3">
      <c r="A3" s="19" t="s">
        <v>47</v>
      </c>
      <c r="B3" s="10" t="s">
        <v>1</v>
      </c>
      <c r="C3" s="14">
        <v>46083</v>
      </c>
      <c r="D3" s="11"/>
      <c r="E3" s="11"/>
      <c r="F3" s="12">
        <f>+(E3-D3)*24</f>
        <v>0</v>
      </c>
      <c r="G3" s="20"/>
      <c r="H3" s="20"/>
      <c r="I3" s="9"/>
      <c r="J3" s="9"/>
      <c r="K3" s="9"/>
    </row>
    <row r="4" spans="1:11" s="13" customFormat="1" ht="29.25" thickBot="1" x14ac:dyDescent="0.3">
      <c r="A4" s="19" t="s">
        <v>47</v>
      </c>
      <c r="B4" s="10" t="s">
        <v>1</v>
      </c>
      <c r="C4" s="14">
        <v>46083</v>
      </c>
      <c r="D4" s="11"/>
      <c r="E4" s="11"/>
      <c r="F4" s="12">
        <f>+(E4-D4)*24</f>
        <v>0</v>
      </c>
      <c r="G4" s="20"/>
      <c r="H4" s="20"/>
      <c r="I4" s="9"/>
      <c r="J4" s="9"/>
      <c r="K4" s="9"/>
    </row>
    <row r="5" spans="1:11" s="13" customFormat="1" ht="29.25" thickBot="1" x14ac:dyDescent="0.3">
      <c r="A5" s="19" t="s">
        <v>47</v>
      </c>
      <c r="B5" s="10" t="s">
        <v>1</v>
      </c>
      <c r="C5" s="14">
        <v>46083</v>
      </c>
      <c r="D5" s="11"/>
      <c r="E5" s="11"/>
      <c r="F5" s="12">
        <f>+(E5-D5)*24</f>
        <v>0</v>
      </c>
      <c r="G5" s="20"/>
      <c r="H5" s="20"/>
      <c r="I5" s="9"/>
      <c r="J5" s="9"/>
      <c r="K5" s="9"/>
    </row>
    <row r="6" spans="1:11" s="13" customFormat="1" ht="29.25" thickBot="1" x14ac:dyDescent="0.3">
      <c r="A6" s="19" t="s">
        <v>47</v>
      </c>
      <c r="B6" s="10" t="s">
        <v>1</v>
      </c>
      <c r="C6" s="14">
        <v>46083</v>
      </c>
      <c r="D6" s="11"/>
      <c r="E6" s="11"/>
      <c r="F6" s="12">
        <f t="shared" ref="F6:F44" si="0">+(E6-D6)*24</f>
        <v>0</v>
      </c>
      <c r="G6" s="20"/>
      <c r="H6" s="20"/>
      <c r="I6" s="9"/>
      <c r="J6" s="9"/>
      <c r="K6" s="9"/>
    </row>
    <row r="7" spans="1:11" s="13" customFormat="1" ht="29.25" thickBot="1" x14ac:dyDescent="0.3">
      <c r="A7" s="19" t="s">
        <v>47</v>
      </c>
      <c r="B7" s="10" t="s">
        <v>1</v>
      </c>
      <c r="C7" s="14">
        <v>46083</v>
      </c>
      <c r="D7" s="11"/>
      <c r="E7" s="11"/>
      <c r="F7" s="12">
        <f t="shared" si="0"/>
        <v>0</v>
      </c>
      <c r="G7" s="20"/>
      <c r="H7" s="20"/>
      <c r="I7" s="9"/>
      <c r="J7" s="9"/>
      <c r="K7" s="9"/>
    </row>
    <row r="8" spans="1:11" s="13" customFormat="1" ht="13.9" customHeight="1" thickBot="1" x14ac:dyDescent="0.3">
      <c r="A8" s="19" t="s">
        <v>47</v>
      </c>
      <c r="B8" s="10" t="s">
        <v>1</v>
      </c>
      <c r="C8" s="14">
        <v>46083</v>
      </c>
      <c r="D8" s="11"/>
      <c r="E8" s="11"/>
      <c r="F8" s="12">
        <f t="shared" si="0"/>
        <v>0</v>
      </c>
      <c r="G8" s="20"/>
      <c r="H8" s="20"/>
      <c r="I8" s="9"/>
      <c r="J8" s="9"/>
      <c r="K8" s="9"/>
    </row>
    <row r="9" spans="1:11" s="13" customFormat="1" ht="29.25" thickBot="1" x14ac:dyDescent="0.3">
      <c r="A9" s="19" t="s">
        <v>47</v>
      </c>
      <c r="B9" s="10"/>
      <c r="C9" s="14">
        <v>46083</v>
      </c>
      <c r="D9" s="11"/>
      <c r="E9" s="11"/>
      <c r="F9" s="12">
        <f t="shared" si="0"/>
        <v>0</v>
      </c>
      <c r="G9" s="20"/>
      <c r="H9" s="20"/>
      <c r="I9" s="9"/>
      <c r="J9" s="9"/>
      <c r="K9" s="9"/>
    </row>
    <row r="10" spans="1:11" s="13" customFormat="1" ht="29.25" thickBot="1" x14ac:dyDescent="0.3">
      <c r="A10" s="19" t="s">
        <v>47</v>
      </c>
      <c r="B10" s="10" t="s">
        <v>1</v>
      </c>
      <c r="C10" s="14">
        <v>46083</v>
      </c>
      <c r="D10" s="11"/>
      <c r="E10" s="11"/>
      <c r="F10" s="12">
        <f t="shared" si="0"/>
        <v>0</v>
      </c>
      <c r="G10" s="20"/>
      <c r="H10" s="20"/>
      <c r="I10" s="9"/>
      <c r="J10" s="24"/>
      <c r="K10" s="9"/>
    </row>
    <row r="11" spans="1:11" s="13" customFormat="1" ht="29.25" thickBot="1" x14ac:dyDescent="0.3">
      <c r="A11" s="19" t="s">
        <v>47</v>
      </c>
      <c r="B11" s="10" t="s">
        <v>1</v>
      </c>
      <c r="C11" s="14">
        <v>46084</v>
      </c>
      <c r="D11" s="11"/>
      <c r="E11" s="11"/>
      <c r="F11" s="12">
        <f t="shared" si="0"/>
        <v>0</v>
      </c>
      <c r="G11" s="20"/>
      <c r="H11" s="20"/>
      <c r="I11" s="9"/>
      <c r="J11" s="24"/>
      <c r="K11" s="9"/>
    </row>
    <row r="12" spans="1:11" s="13" customFormat="1" ht="29.25" thickBot="1" x14ac:dyDescent="0.3">
      <c r="A12" s="19" t="s">
        <v>47</v>
      </c>
      <c r="B12" s="10" t="s">
        <v>1</v>
      </c>
      <c r="C12" s="14">
        <v>46084</v>
      </c>
      <c r="D12" s="11"/>
      <c r="E12" s="11"/>
      <c r="F12" s="12">
        <f t="shared" si="0"/>
        <v>0</v>
      </c>
      <c r="G12" s="20"/>
      <c r="H12" s="20"/>
      <c r="I12" s="9"/>
      <c r="J12" s="9"/>
      <c r="K12" s="9"/>
    </row>
    <row r="13" spans="1:11" s="13" customFormat="1" ht="29.25" thickBot="1" x14ac:dyDescent="0.3">
      <c r="A13" s="19" t="s">
        <v>47</v>
      </c>
      <c r="B13" s="10" t="s">
        <v>1</v>
      </c>
      <c r="C13" s="14">
        <v>46084</v>
      </c>
      <c r="D13" s="11"/>
      <c r="E13" s="11"/>
      <c r="F13" s="12">
        <f t="shared" si="0"/>
        <v>0</v>
      </c>
      <c r="G13" s="20"/>
      <c r="H13" s="20"/>
      <c r="I13" s="9"/>
      <c r="J13" s="9"/>
      <c r="K13" s="9"/>
    </row>
    <row r="14" spans="1:11" s="13" customFormat="1" ht="29.25" thickBot="1" x14ac:dyDescent="0.3">
      <c r="A14" s="19" t="s">
        <v>47</v>
      </c>
      <c r="B14" s="10" t="s">
        <v>1</v>
      </c>
      <c r="C14" s="14">
        <v>46084</v>
      </c>
      <c r="D14" s="11"/>
      <c r="E14" s="11"/>
      <c r="F14" s="12">
        <f t="shared" si="0"/>
        <v>0</v>
      </c>
      <c r="G14" s="20"/>
      <c r="H14" s="20"/>
      <c r="I14" s="9"/>
      <c r="J14" s="9"/>
      <c r="K14" s="9"/>
    </row>
    <row r="15" spans="1:11" s="13" customFormat="1" ht="29.25" thickBot="1" x14ac:dyDescent="0.3">
      <c r="A15" s="19" t="s">
        <v>47</v>
      </c>
      <c r="B15" s="10" t="s">
        <v>1</v>
      </c>
      <c r="C15" s="14">
        <v>46084</v>
      </c>
      <c r="D15" s="11"/>
      <c r="E15" s="11"/>
      <c r="F15" s="12">
        <f t="shared" si="0"/>
        <v>0</v>
      </c>
      <c r="G15" s="20"/>
      <c r="H15" s="20"/>
      <c r="I15" s="9"/>
      <c r="J15" s="9"/>
      <c r="K15" s="9"/>
    </row>
    <row r="16" spans="1:11" s="13" customFormat="1" ht="29.25" thickBot="1" x14ac:dyDescent="0.3">
      <c r="A16" s="19" t="s">
        <v>47</v>
      </c>
      <c r="B16" s="10" t="s">
        <v>1</v>
      </c>
      <c r="C16" s="14">
        <v>46084</v>
      </c>
      <c r="D16" s="11"/>
      <c r="E16" s="11"/>
      <c r="F16" s="12">
        <f t="shared" si="0"/>
        <v>0</v>
      </c>
      <c r="G16" s="20"/>
      <c r="H16" s="20"/>
      <c r="I16" s="9"/>
      <c r="J16" s="9"/>
      <c r="K16" s="9"/>
    </row>
    <row r="17" spans="1:11" s="13" customFormat="1" ht="29.25" thickBot="1" x14ac:dyDescent="0.3">
      <c r="A17" s="19" t="s">
        <v>47</v>
      </c>
      <c r="B17" s="10" t="s">
        <v>1</v>
      </c>
      <c r="C17" s="14">
        <v>46084</v>
      </c>
      <c r="D17" s="11"/>
      <c r="E17" s="11"/>
      <c r="F17" s="12">
        <f t="shared" si="0"/>
        <v>0</v>
      </c>
      <c r="G17" s="20"/>
      <c r="H17" s="20"/>
      <c r="I17" s="9"/>
      <c r="J17" s="9"/>
      <c r="K17" s="9"/>
    </row>
    <row r="18" spans="1:11" s="13" customFormat="1" ht="15.75" customHeight="1" thickBot="1" x14ac:dyDescent="0.3">
      <c r="A18" s="19" t="s">
        <v>47</v>
      </c>
      <c r="B18" s="10" t="s">
        <v>1</v>
      </c>
      <c r="C18" s="14">
        <v>46084</v>
      </c>
      <c r="D18" s="11"/>
      <c r="E18" s="11"/>
      <c r="F18" s="12">
        <f t="shared" si="0"/>
        <v>0</v>
      </c>
      <c r="G18" s="20"/>
      <c r="H18" s="20"/>
      <c r="I18" s="9"/>
      <c r="J18" s="9"/>
      <c r="K18" s="9"/>
    </row>
    <row r="19" spans="1:11" s="13" customFormat="1" ht="29.25" thickBot="1" x14ac:dyDescent="0.3">
      <c r="A19" s="19" t="s">
        <v>47</v>
      </c>
      <c r="B19" s="10" t="s">
        <v>1</v>
      </c>
      <c r="C19" s="14">
        <v>46085</v>
      </c>
      <c r="D19" s="11"/>
      <c r="E19" s="11"/>
      <c r="F19" s="12">
        <f t="shared" si="0"/>
        <v>0</v>
      </c>
      <c r="G19" s="20"/>
      <c r="H19" s="20"/>
      <c r="I19" s="9"/>
      <c r="J19" s="9"/>
      <c r="K19" s="9"/>
    </row>
    <row r="20" spans="1:11" s="13" customFormat="1" ht="29.25" thickBot="1" x14ac:dyDescent="0.3">
      <c r="A20" s="19" t="s">
        <v>47</v>
      </c>
      <c r="B20" s="10" t="s">
        <v>1</v>
      </c>
      <c r="C20" s="14">
        <v>46085</v>
      </c>
      <c r="D20" s="11"/>
      <c r="E20" s="11"/>
      <c r="F20" s="12">
        <f t="shared" si="0"/>
        <v>0</v>
      </c>
      <c r="G20" s="20"/>
      <c r="H20" s="20"/>
      <c r="I20" s="9"/>
      <c r="J20" s="9"/>
      <c r="K20" s="9"/>
    </row>
    <row r="21" spans="1:11" s="13" customFormat="1" ht="29.25" thickBot="1" x14ac:dyDescent="0.3">
      <c r="A21" s="19" t="s">
        <v>47</v>
      </c>
      <c r="B21" s="10" t="s">
        <v>1</v>
      </c>
      <c r="C21" s="14">
        <v>46085</v>
      </c>
      <c r="D21" s="11"/>
      <c r="E21" s="11"/>
      <c r="F21" s="12">
        <f t="shared" si="0"/>
        <v>0</v>
      </c>
      <c r="G21" s="20"/>
      <c r="H21" s="20"/>
      <c r="I21" s="9"/>
      <c r="J21" s="9"/>
      <c r="K21" s="9"/>
    </row>
    <row r="22" spans="1:11" s="13" customFormat="1" ht="29.25" thickBot="1" x14ac:dyDescent="0.3">
      <c r="A22" s="19" t="s">
        <v>47</v>
      </c>
      <c r="B22" s="10" t="s">
        <v>1</v>
      </c>
      <c r="C22" s="14">
        <v>46085</v>
      </c>
      <c r="D22" s="11"/>
      <c r="E22" s="11"/>
      <c r="F22" s="12">
        <f t="shared" si="0"/>
        <v>0</v>
      </c>
      <c r="G22" s="20"/>
      <c r="H22" s="20"/>
      <c r="I22" s="9"/>
      <c r="J22" s="9"/>
      <c r="K22" s="9"/>
    </row>
    <row r="23" spans="1:11" s="13" customFormat="1" ht="29.25" thickBot="1" x14ac:dyDescent="0.3">
      <c r="A23" s="19" t="s">
        <v>47</v>
      </c>
      <c r="B23" s="10" t="s">
        <v>1</v>
      </c>
      <c r="C23" s="14">
        <v>46085</v>
      </c>
      <c r="D23" s="11"/>
      <c r="E23" s="11"/>
      <c r="F23" s="12">
        <f t="shared" si="0"/>
        <v>0</v>
      </c>
      <c r="G23" s="20"/>
      <c r="H23" s="20"/>
      <c r="I23" s="9"/>
      <c r="J23" s="9"/>
      <c r="K23" s="9"/>
    </row>
    <row r="24" spans="1:11" s="13" customFormat="1" ht="29.25" thickBot="1" x14ac:dyDescent="0.3">
      <c r="A24" s="19" t="s">
        <v>47</v>
      </c>
      <c r="B24" s="10" t="s">
        <v>1</v>
      </c>
      <c r="C24" s="14">
        <v>46085</v>
      </c>
      <c r="D24" s="11"/>
      <c r="E24" s="11"/>
      <c r="F24" s="12">
        <f t="shared" si="0"/>
        <v>0</v>
      </c>
      <c r="G24" s="20"/>
      <c r="H24" s="20"/>
      <c r="I24" s="9"/>
      <c r="J24" s="9"/>
      <c r="K24" s="9"/>
    </row>
    <row r="25" spans="1:11" s="13" customFormat="1" ht="29.25" thickBot="1" x14ac:dyDescent="0.3">
      <c r="A25" s="19" t="s">
        <v>47</v>
      </c>
      <c r="B25" s="10" t="s">
        <v>1</v>
      </c>
      <c r="C25" s="14">
        <v>46085</v>
      </c>
      <c r="D25" s="11"/>
      <c r="E25" s="11"/>
      <c r="F25" s="12">
        <f t="shared" si="0"/>
        <v>0</v>
      </c>
      <c r="G25" s="20"/>
      <c r="H25" s="20"/>
      <c r="I25" s="9"/>
      <c r="J25" s="9"/>
      <c r="K25" s="9"/>
    </row>
    <row r="26" spans="1:11" s="13" customFormat="1" ht="29.25" thickBot="1" x14ac:dyDescent="0.3">
      <c r="A26" s="19" t="s">
        <v>47</v>
      </c>
      <c r="B26" s="10" t="s">
        <v>1</v>
      </c>
      <c r="C26" s="14">
        <v>46085</v>
      </c>
      <c r="D26" s="11"/>
      <c r="E26" s="11"/>
      <c r="F26" s="12">
        <f t="shared" si="0"/>
        <v>0</v>
      </c>
      <c r="G26" s="20"/>
      <c r="H26" s="20"/>
      <c r="I26" s="9"/>
      <c r="J26" s="9"/>
      <c r="K26" s="9"/>
    </row>
    <row r="27" spans="1:11" s="13" customFormat="1" ht="29.25" thickBot="1" x14ac:dyDescent="0.3">
      <c r="A27" s="19" t="s">
        <v>47</v>
      </c>
      <c r="B27" s="10" t="s">
        <v>1</v>
      </c>
      <c r="C27" s="14">
        <v>46086</v>
      </c>
      <c r="D27" s="11"/>
      <c r="E27" s="11"/>
      <c r="F27" s="12">
        <f t="shared" si="0"/>
        <v>0</v>
      </c>
      <c r="G27" s="20"/>
      <c r="H27" s="20"/>
      <c r="I27" s="9"/>
      <c r="J27" s="9"/>
      <c r="K27" s="9"/>
    </row>
    <row r="28" spans="1:11" s="13" customFormat="1" ht="29.25" thickBot="1" x14ac:dyDescent="0.3">
      <c r="A28" s="19" t="s">
        <v>47</v>
      </c>
      <c r="B28" s="10" t="s">
        <v>1</v>
      </c>
      <c r="C28" s="14">
        <v>46086</v>
      </c>
      <c r="D28" s="11"/>
      <c r="E28" s="11"/>
      <c r="F28" s="12">
        <f t="shared" si="0"/>
        <v>0</v>
      </c>
      <c r="G28" s="20"/>
      <c r="H28" s="20"/>
      <c r="I28" s="9"/>
      <c r="J28" s="9"/>
      <c r="K28" s="9"/>
    </row>
    <row r="29" spans="1:11" s="13" customFormat="1" ht="29.25" thickBot="1" x14ac:dyDescent="0.3">
      <c r="A29" s="19" t="s">
        <v>47</v>
      </c>
      <c r="B29" s="10" t="s">
        <v>1</v>
      </c>
      <c r="C29" s="14">
        <v>46086</v>
      </c>
      <c r="D29" s="11"/>
      <c r="E29" s="11"/>
      <c r="F29" s="12">
        <f t="shared" si="0"/>
        <v>0</v>
      </c>
      <c r="G29" s="20"/>
      <c r="H29" s="20"/>
      <c r="I29" s="9"/>
      <c r="J29" s="9"/>
      <c r="K29" s="9"/>
    </row>
    <row r="30" spans="1:11" s="13" customFormat="1" ht="29.25" thickBot="1" x14ac:dyDescent="0.3">
      <c r="A30" s="19" t="s">
        <v>47</v>
      </c>
      <c r="B30" s="10" t="s">
        <v>1</v>
      </c>
      <c r="C30" s="14">
        <v>46086</v>
      </c>
      <c r="D30" s="11"/>
      <c r="E30" s="11"/>
      <c r="F30" s="12">
        <f t="shared" si="0"/>
        <v>0</v>
      </c>
      <c r="G30" s="20"/>
      <c r="H30" s="20"/>
      <c r="I30" s="9"/>
      <c r="J30" s="9"/>
      <c r="K30" s="9"/>
    </row>
    <row r="31" spans="1:11" s="13" customFormat="1" ht="29.25" thickBot="1" x14ac:dyDescent="0.3">
      <c r="A31" s="19" t="s">
        <v>47</v>
      </c>
      <c r="B31" s="10" t="s">
        <v>1</v>
      </c>
      <c r="C31" s="14">
        <v>46086</v>
      </c>
      <c r="D31" s="11"/>
      <c r="E31" s="11"/>
      <c r="F31" s="12">
        <f t="shared" si="0"/>
        <v>0</v>
      </c>
      <c r="G31" s="20"/>
      <c r="H31" s="20"/>
      <c r="I31" s="9"/>
      <c r="J31" s="9"/>
      <c r="K31" s="9"/>
    </row>
    <row r="32" spans="1:11" s="13" customFormat="1" ht="29.25" thickBot="1" x14ac:dyDescent="0.3">
      <c r="A32" s="19" t="s">
        <v>47</v>
      </c>
      <c r="B32" s="10" t="s">
        <v>1</v>
      </c>
      <c r="C32" s="14">
        <v>46086</v>
      </c>
      <c r="D32" s="11"/>
      <c r="E32" s="11"/>
      <c r="F32" s="12">
        <f t="shared" si="0"/>
        <v>0</v>
      </c>
      <c r="G32" s="20"/>
      <c r="H32" s="20"/>
      <c r="I32" s="9"/>
      <c r="J32" s="9"/>
      <c r="K32" s="9"/>
    </row>
    <row r="33" spans="1:11" s="13" customFormat="1" ht="29.25" thickBot="1" x14ac:dyDescent="0.3">
      <c r="A33" s="19" t="s">
        <v>47</v>
      </c>
      <c r="B33" s="10" t="s">
        <v>1</v>
      </c>
      <c r="C33" s="14">
        <v>46086</v>
      </c>
      <c r="D33" s="11"/>
      <c r="E33" s="11"/>
      <c r="F33" s="12">
        <f t="shared" si="0"/>
        <v>0</v>
      </c>
      <c r="G33" s="20"/>
      <c r="H33" s="20"/>
      <c r="I33" s="9"/>
      <c r="J33" s="9"/>
      <c r="K33" s="9"/>
    </row>
    <row r="34" spans="1:11" s="13" customFormat="1" ht="29.25" thickBot="1" x14ac:dyDescent="0.3">
      <c r="A34" s="19" t="s">
        <v>47</v>
      </c>
      <c r="B34" s="10" t="s">
        <v>1</v>
      </c>
      <c r="C34" s="14">
        <v>46086</v>
      </c>
      <c r="D34" s="11"/>
      <c r="E34" s="11"/>
      <c r="F34" s="12">
        <f t="shared" si="0"/>
        <v>0</v>
      </c>
      <c r="G34" s="20"/>
      <c r="H34" s="20"/>
      <c r="I34" s="9"/>
      <c r="J34" s="9"/>
      <c r="K34" s="9"/>
    </row>
    <row r="35" spans="1:11" s="13" customFormat="1" ht="29.25" thickBot="1" x14ac:dyDescent="0.3">
      <c r="A35" s="19" t="s">
        <v>47</v>
      </c>
      <c r="B35" s="10" t="s">
        <v>1</v>
      </c>
      <c r="C35" s="14">
        <v>46087</v>
      </c>
      <c r="D35" s="11"/>
      <c r="E35" s="11"/>
      <c r="F35" s="12">
        <f t="shared" si="0"/>
        <v>0</v>
      </c>
      <c r="G35" s="20"/>
      <c r="H35" s="20"/>
      <c r="I35" s="9"/>
      <c r="J35" s="9"/>
      <c r="K35" s="9"/>
    </row>
    <row r="36" spans="1:11" s="13" customFormat="1" ht="29.25" thickBot="1" x14ac:dyDescent="0.3">
      <c r="A36" s="19" t="s">
        <v>47</v>
      </c>
      <c r="B36" s="10" t="s">
        <v>1</v>
      </c>
      <c r="C36" s="14">
        <v>46087</v>
      </c>
      <c r="D36" s="11"/>
      <c r="E36" s="11"/>
      <c r="F36" s="12">
        <f t="shared" si="0"/>
        <v>0</v>
      </c>
      <c r="G36" s="20"/>
      <c r="H36" s="20"/>
      <c r="I36" s="9"/>
      <c r="J36" s="9"/>
      <c r="K36" s="9"/>
    </row>
    <row r="37" spans="1:11" s="13" customFormat="1" ht="29.25" thickBot="1" x14ac:dyDescent="0.3">
      <c r="A37" s="19" t="s">
        <v>47</v>
      </c>
      <c r="B37" s="10" t="s">
        <v>1</v>
      </c>
      <c r="C37" s="14">
        <v>46087</v>
      </c>
      <c r="D37" s="11"/>
      <c r="E37" s="11"/>
      <c r="F37" s="12">
        <f t="shared" si="0"/>
        <v>0</v>
      </c>
      <c r="G37" s="20"/>
      <c r="H37" s="20"/>
      <c r="I37" s="9"/>
      <c r="J37" s="9"/>
      <c r="K37" s="9"/>
    </row>
    <row r="38" spans="1:11" s="13" customFormat="1" ht="29.25" thickBot="1" x14ac:dyDescent="0.3">
      <c r="A38" s="19" t="s">
        <v>47</v>
      </c>
      <c r="B38" s="10" t="s">
        <v>1</v>
      </c>
      <c r="C38" s="14">
        <v>46087</v>
      </c>
      <c r="D38" s="11"/>
      <c r="E38" s="11"/>
      <c r="F38" s="12">
        <f t="shared" si="0"/>
        <v>0</v>
      </c>
      <c r="G38" s="20"/>
      <c r="H38" s="20"/>
      <c r="I38" s="9"/>
      <c r="J38" s="9"/>
      <c r="K38" s="9"/>
    </row>
    <row r="39" spans="1:11" s="13" customFormat="1" ht="29.25" thickBot="1" x14ac:dyDescent="0.3">
      <c r="A39" s="19" t="s">
        <v>47</v>
      </c>
      <c r="B39" s="10" t="s">
        <v>1</v>
      </c>
      <c r="C39" s="14">
        <v>46087</v>
      </c>
      <c r="D39" s="11"/>
      <c r="E39" s="11"/>
      <c r="F39" s="12">
        <f t="shared" si="0"/>
        <v>0</v>
      </c>
      <c r="G39" s="20"/>
      <c r="H39" s="20"/>
      <c r="I39" s="9"/>
      <c r="J39" s="9"/>
      <c r="K39" s="9"/>
    </row>
    <row r="40" spans="1:11" s="13" customFormat="1" ht="29.25" thickBot="1" x14ac:dyDescent="0.3">
      <c r="A40" s="19" t="s">
        <v>47</v>
      </c>
      <c r="B40" s="10" t="s">
        <v>1</v>
      </c>
      <c r="C40" s="14">
        <v>46087</v>
      </c>
      <c r="D40" s="11"/>
      <c r="E40" s="11"/>
      <c r="F40" s="12">
        <f t="shared" si="0"/>
        <v>0</v>
      </c>
      <c r="G40" s="20"/>
      <c r="H40" s="20"/>
      <c r="I40" s="9"/>
      <c r="J40" s="9"/>
      <c r="K40" s="9"/>
    </row>
    <row r="41" spans="1:11" s="13" customFormat="1" ht="29.25" thickBot="1" x14ac:dyDescent="0.3">
      <c r="A41" s="19" t="s">
        <v>47</v>
      </c>
      <c r="B41" s="10" t="s">
        <v>1</v>
      </c>
      <c r="C41" s="14">
        <v>46087</v>
      </c>
      <c r="D41" s="11"/>
      <c r="E41" s="11"/>
      <c r="F41" s="12">
        <f t="shared" si="0"/>
        <v>0</v>
      </c>
      <c r="G41" s="20"/>
      <c r="H41" s="20"/>
      <c r="I41" s="9"/>
      <c r="J41" s="9"/>
      <c r="K41" s="9"/>
    </row>
    <row r="42" spans="1:11" s="13" customFormat="1" ht="29.25" thickBot="1" x14ac:dyDescent="0.3">
      <c r="A42" s="19" t="s">
        <v>47</v>
      </c>
      <c r="B42" s="10" t="s">
        <v>1</v>
      </c>
      <c r="C42" s="14">
        <v>46087</v>
      </c>
      <c r="D42" s="11"/>
      <c r="E42" s="11"/>
      <c r="F42" s="12">
        <f t="shared" si="0"/>
        <v>0</v>
      </c>
      <c r="G42" s="20"/>
      <c r="H42" s="20"/>
      <c r="I42" s="9"/>
      <c r="J42" s="9"/>
      <c r="K42" s="9"/>
    </row>
    <row r="43" spans="1:11" s="13" customFormat="1" ht="29.25" thickBot="1" x14ac:dyDescent="0.3">
      <c r="A43" s="19" t="s">
        <v>47</v>
      </c>
      <c r="B43" s="10" t="s">
        <v>1</v>
      </c>
      <c r="C43" s="14">
        <v>46088</v>
      </c>
      <c r="D43" s="11">
        <v>0.35416666666666669</v>
      </c>
      <c r="E43" s="11">
        <v>0.6875</v>
      </c>
      <c r="F43" s="12">
        <f t="shared" si="0"/>
        <v>8</v>
      </c>
      <c r="G43" s="20" t="s">
        <v>21</v>
      </c>
      <c r="H43" s="20" t="s">
        <v>30</v>
      </c>
      <c r="I43" s="9"/>
      <c r="J43" s="9" t="s">
        <v>71</v>
      </c>
      <c r="K43" s="9"/>
    </row>
    <row r="44" spans="1:11" s="13" customFormat="1" ht="29.25" thickBot="1" x14ac:dyDescent="0.3">
      <c r="A44" s="19" t="s">
        <v>47</v>
      </c>
      <c r="B44" s="10" t="s">
        <v>1</v>
      </c>
      <c r="C44" s="14">
        <v>46089</v>
      </c>
      <c r="D44" s="11">
        <v>0.35416666666666669</v>
      </c>
      <c r="E44" s="11">
        <v>0.6875</v>
      </c>
      <c r="F44" s="12">
        <f t="shared" si="0"/>
        <v>8</v>
      </c>
      <c r="G44" s="20" t="s">
        <v>21</v>
      </c>
      <c r="H44" s="20" t="s">
        <v>30</v>
      </c>
      <c r="I44" s="9"/>
      <c r="J44" s="9" t="s">
        <v>71</v>
      </c>
      <c r="K44" s="9"/>
    </row>
    <row r="45" spans="1:11" s="13" customFormat="1" ht="29.25" thickBot="1" x14ac:dyDescent="0.3">
      <c r="A45" s="19" t="s">
        <v>47</v>
      </c>
      <c r="B45" s="10" t="s">
        <v>1</v>
      </c>
      <c r="C45" s="14">
        <v>46090</v>
      </c>
      <c r="D45" s="11"/>
      <c r="E45" s="11"/>
      <c r="F45" s="12">
        <f>+(E45-D45)*24</f>
        <v>0</v>
      </c>
      <c r="G45" s="20"/>
      <c r="H45" s="20"/>
      <c r="I45" s="9"/>
      <c r="J45" s="9"/>
      <c r="K45" s="9"/>
    </row>
    <row r="46" spans="1:11" s="13" customFormat="1" ht="29.25" thickBot="1" x14ac:dyDescent="0.3">
      <c r="A46" s="19" t="s">
        <v>47</v>
      </c>
      <c r="B46" s="10" t="s">
        <v>1</v>
      </c>
      <c r="C46" s="14">
        <v>46090</v>
      </c>
      <c r="D46" s="11"/>
      <c r="E46" s="11"/>
      <c r="F46" s="12">
        <f>+(E46-D46)*24</f>
        <v>0</v>
      </c>
      <c r="G46" s="20"/>
      <c r="H46" s="20"/>
      <c r="I46" s="9"/>
      <c r="J46" s="9"/>
      <c r="K46" s="9"/>
    </row>
    <row r="47" spans="1:11" s="13" customFormat="1" ht="29.25" thickBot="1" x14ac:dyDescent="0.3">
      <c r="A47" s="19" t="s">
        <v>47</v>
      </c>
      <c r="B47" s="10" t="s">
        <v>1</v>
      </c>
      <c r="C47" s="14">
        <v>46090</v>
      </c>
      <c r="D47" s="11"/>
      <c r="E47" s="11"/>
      <c r="F47" s="12">
        <f>+(E47-D47)*24</f>
        <v>0</v>
      </c>
      <c r="G47" s="20"/>
      <c r="H47" s="20"/>
      <c r="I47" s="9"/>
      <c r="J47" s="9"/>
      <c r="K47" s="9"/>
    </row>
    <row r="48" spans="1:11" s="13" customFormat="1" ht="29.25" thickBot="1" x14ac:dyDescent="0.3">
      <c r="A48" s="19" t="s">
        <v>47</v>
      </c>
      <c r="B48" s="10" t="s">
        <v>1</v>
      </c>
      <c r="C48" s="14">
        <v>46090</v>
      </c>
      <c r="D48" s="11"/>
      <c r="E48" s="11"/>
      <c r="F48" s="12">
        <f t="shared" ref="F48:F86" si="1">+(E48-D48)*24</f>
        <v>0</v>
      </c>
      <c r="G48" s="20"/>
      <c r="H48" s="20"/>
      <c r="I48" s="9"/>
      <c r="J48" s="9"/>
      <c r="K48" s="9"/>
    </row>
    <row r="49" spans="1:11" s="13" customFormat="1" ht="13.9" customHeight="1" thickBot="1" x14ac:dyDescent="0.3">
      <c r="A49" s="19" t="s">
        <v>47</v>
      </c>
      <c r="B49" s="10" t="s">
        <v>1</v>
      </c>
      <c r="C49" s="14">
        <v>46090</v>
      </c>
      <c r="D49" s="11"/>
      <c r="E49" s="11"/>
      <c r="F49" s="12">
        <f t="shared" si="1"/>
        <v>0</v>
      </c>
      <c r="G49" s="20"/>
      <c r="H49" s="20"/>
      <c r="I49" s="9"/>
      <c r="J49" s="9"/>
      <c r="K49" s="9"/>
    </row>
    <row r="50" spans="1:11" s="13" customFormat="1" ht="29.25" thickBot="1" x14ac:dyDescent="0.3">
      <c r="A50" s="19" t="s">
        <v>47</v>
      </c>
      <c r="B50" s="10" t="s">
        <v>1</v>
      </c>
      <c r="C50" s="14">
        <v>46090</v>
      </c>
      <c r="D50" s="11"/>
      <c r="E50" s="11"/>
      <c r="F50" s="12">
        <f t="shared" si="1"/>
        <v>0</v>
      </c>
      <c r="G50" s="20"/>
      <c r="H50" s="20"/>
      <c r="I50" s="9"/>
      <c r="J50" s="9"/>
      <c r="K50" s="9"/>
    </row>
    <row r="51" spans="1:11" s="13" customFormat="1" ht="29.25" thickBot="1" x14ac:dyDescent="0.3">
      <c r="A51" s="19" t="s">
        <v>47</v>
      </c>
      <c r="B51" s="10" t="s">
        <v>1</v>
      </c>
      <c r="C51" s="14">
        <v>46090</v>
      </c>
      <c r="D51" s="11"/>
      <c r="E51" s="11"/>
      <c r="F51" s="12">
        <f t="shared" si="1"/>
        <v>0</v>
      </c>
      <c r="G51" s="20"/>
      <c r="H51" s="20"/>
      <c r="I51" s="9"/>
      <c r="J51" s="9"/>
      <c r="K51" s="9"/>
    </row>
    <row r="52" spans="1:11" s="13" customFormat="1" ht="29.25" thickBot="1" x14ac:dyDescent="0.3">
      <c r="A52" s="19" t="s">
        <v>47</v>
      </c>
      <c r="B52" s="10" t="s">
        <v>1</v>
      </c>
      <c r="C52" s="14">
        <v>46090</v>
      </c>
      <c r="D52" s="11"/>
      <c r="E52" s="11"/>
      <c r="F52" s="12">
        <f t="shared" si="1"/>
        <v>0</v>
      </c>
      <c r="G52" s="20"/>
      <c r="H52" s="20"/>
      <c r="I52" s="9"/>
      <c r="J52" s="24"/>
      <c r="K52" s="9"/>
    </row>
    <row r="53" spans="1:11" s="13" customFormat="1" ht="29.25" thickBot="1" x14ac:dyDescent="0.3">
      <c r="A53" s="19" t="s">
        <v>47</v>
      </c>
      <c r="B53" s="10"/>
      <c r="C53" s="14">
        <v>46091</v>
      </c>
      <c r="D53" s="11"/>
      <c r="E53" s="11"/>
      <c r="F53" s="12">
        <f t="shared" si="1"/>
        <v>0</v>
      </c>
      <c r="G53" s="20"/>
      <c r="H53" s="20"/>
      <c r="I53" s="9"/>
      <c r="J53" s="24"/>
      <c r="K53" s="9"/>
    </row>
    <row r="54" spans="1:11" s="13" customFormat="1" ht="29.25" thickBot="1" x14ac:dyDescent="0.3">
      <c r="A54" s="19" t="s">
        <v>47</v>
      </c>
      <c r="B54" s="10"/>
      <c r="C54" s="14">
        <v>46091</v>
      </c>
      <c r="D54" s="11"/>
      <c r="E54" s="11"/>
      <c r="F54" s="12">
        <f t="shared" si="1"/>
        <v>0</v>
      </c>
      <c r="G54" s="20"/>
      <c r="H54" s="20"/>
      <c r="I54" s="9"/>
      <c r="J54" s="9"/>
      <c r="K54" s="9"/>
    </row>
    <row r="55" spans="1:11" s="13" customFormat="1" ht="29.25" thickBot="1" x14ac:dyDescent="0.3">
      <c r="A55" s="19" t="s">
        <v>47</v>
      </c>
      <c r="B55" s="10"/>
      <c r="C55" s="14">
        <v>46091</v>
      </c>
      <c r="D55" s="11"/>
      <c r="E55" s="11"/>
      <c r="F55" s="12">
        <f t="shared" si="1"/>
        <v>0</v>
      </c>
      <c r="G55" s="20"/>
      <c r="H55" s="20"/>
      <c r="I55" s="9"/>
      <c r="J55" s="9"/>
      <c r="K55" s="9"/>
    </row>
    <row r="56" spans="1:11" s="13" customFormat="1" ht="29.25" thickBot="1" x14ac:dyDescent="0.3">
      <c r="A56" s="19" t="s">
        <v>47</v>
      </c>
      <c r="B56" s="10"/>
      <c r="C56" s="14">
        <v>46091</v>
      </c>
      <c r="D56" s="11"/>
      <c r="E56" s="11"/>
      <c r="F56" s="12">
        <f t="shared" si="1"/>
        <v>0</v>
      </c>
      <c r="G56" s="20"/>
      <c r="H56" s="20"/>
      <c r="I56" s="9"/>
      <c r="J56" s="9"/>
      <c r="K56" s="9"/>
    </row>
    <row r="57" spans="1:11" s="13" customFormat="1" ht="29.25" thickBot="1" x14ac:dyDescent="0.3">
      <c r="A57" s="19" t="s">
        <v>47</v>
      </c>
      <c r="B57" s="10"/>
      <c r="C57" s="14">
        <v>46091</v>
      </c>
      <c r="D57" s="11"/>
      <c r="E57" s="11"/>
      <c r="F57" s="12">
        <f t="shared" si="1"/>
        <v>0</v>
      </c>
      <c r="G57" s="20"/>
      <c r="H57" s="20"/>
      <c r="I57" s="9"/>
      <c r="J57" s="9"/>
      <c r="K57" s="9"/>
    </row>
    <row r="58" spans="1:11" s="13" customFormat="1" ht="29.25" thickBot="1" x14ac:dyDescent="0.3">
      <c r="A58" s="19" t="s">
        <v>47</v>
      </c>
      <c r="B58" s="10"/>
      <c r="C58" s="14">
        <v>46091</v>
      </c>
      <c r="D58" s="11"/>
      <c r="E58" s="11"/>
      <c r="F58" s="12">
        <f t="shared" si="1"/>
        <v>0</v>
      </c>
      <c r="G58" s="20"/>
      <c r="H58" s="20"/>
      <c r="I58" s="9"/>
      <c r="J58" s="9"/>
      <c r="K58" s="9"/>
    </row>
    <row r="59" spans="1:11" s="13" customFormat="1" ht="29.25" thickBot="1" x14ac:dyDescent="0.3">
      <c r="A59" s="19" t="s">
        <v>47</v>
      </c>
      <c r="B59" s="10"/>
      <c r="C59" s="14">
        <v>46091</v>
      </c>
      <c r="D59" s="11"/>
      <c r="E59" s="11"/>
      <c r="F59" s="12">
        <f t="shared" si="1"/>
        <v>0</v>
      </c>
      <c r="G59" s="20"/>
      <c r="H59" s="20"/>
      <c r="I59" s="9"/>
      <c r="J59" s="9"/>
      <c r="K59" s="9"/>
    </row>
    <row r="60" spans="1:11" s="13" customFormat="1" ht="29.25" thickBot="1" x14ac:dyDescent="0.3">
      <c r="A60" s="19" t="s">
        <v>47</v>
      </c>
      <c r="B60" s="10"/>
      <c r="C60" s="14">
        <v>46091</v>
      </c>
      <c r="D60" s="11"/>
      <c r="E60" s="11"/>
      <c r="F60" s="12">
        <f t="shared" si="1"/>
        <v>0</v>
      </c>
      <c r="G60" s="20"/>
      <c r="H60" s="20"/>
      <c r="I60" s="9"/>
      <c r="J60" s="9"/>
      <c r="K60" s="9"/>
    </row>
    <row r="61" spans="1:11" s="13" customFormat="1" ht="29.25" thickBot="1" x14ac:dyDescent="0.3">
      <c r="A61" s="19" t="s">
        <v>47</v>
      </c>
      <c r="B61" s="10"/>
      <c r="C61" s="14">
        <v>46092</v>
      </c>
      <c r="D61" s="11"/>
      <c r="E61" s="11"/>
      <c r="F61" s="12">
        <f t="shared" si="1"/>
        <v>0</v>
      </c>
      <c r="G61" s="20"/>
      <c r="H61" s="20"/>
      <c r="I61" s="9"/>
      <c r="J61" s="9"/>
      <c r="K61" s="9"/>
    </row>
    <row r="62" spans="1:11" s="13" customFormat="1" ht="29.25" thickBot="1" x14ac:dyDescent="0.3">
      <c r="A62" s="19" t="s">
        <v>47</v>
      </c>
      <c r="B62" s="10"/>
      <c r="C62" s="14">
        <v>46092</v>
      </c>
      <c r="D62" s="11"/>
      <c r="E62" s="11"/>
      <c r="F62" s="12">
        <f t="shared" si="1"/>
        <v>0</v>
      </c>
      <c r="G62" s="20"/>
      <c r="H62" s="20"/>
      <c r="I62" s="9"/>
      <c r="J62" s="9"/>
      <c r="K62" s="9"/>
    </row>
    <row r="63" spans="1:11" s="13" customFormat="1" ht="29.25" thickBot="1" x14ac:dyDescent="0.3">
      <c r="A63" s="19" t="s">
        <v>47</v>
      </c>
      <c r="B63" s="10"/>
      <c r="C63" s="14">
        <v>46092</v>
      </c>
      <c r="D63" s="11"/>
      <c r="E63" s="11"/>
      <c r="F63" s="12">
        <f t="shared" si="1"/>
        <v>0</v>
      </c>
      <c r="G63" s="20"/>
      <c r="H63" s="20"/>
      <c r="I63" s="9"/>
      <c r="J63" s="9"/>
      <c r="K63" s="9"/>
    </row>
    <row r="64" spans="1:11" s="13" customFormat="1" ht="29.25" thickBot="1" x14ac:dyDescent="0.3">
      <c r="A64" s="19" t="s">
        <v>47</v>
      </c>
      <c r="B64" s="10"/>
      <c r="C64" s="14">
        <v>46092</v>
      </c>
      <c r="D64" s="11"/>
      <c r="E64" s="11"/>
      <c r="F64" s="12">
        <f t="shared" si="1"/>
        <v>0</v>
      </c>
      <c r="G64" s="20"/>
      <c r="H64" s="20"/>
      <c r="I64" s="9"/>
      <c r="J64" s="9"/>
      <c r="K64" s="9"/>
    </row>
    <row r="65" spans="1:11" s="13" customFormat="1" ht="29.25" thickBot="1" x14ac:dyDescent="0.3">
      <c r="A65" s="19" t="s">
        <v>47</v>
      </c>
      <c r="B65" s="10"/>
      <c r="C65" s="14">
        <v>46092</v>
      </c>
      <c r="D65" s="11"/>
      <c r="E65" s="11"/>
      <c r="F65" s="12">
        <f t="shared" si="1"/>
        <v>0</v>
      </c>
      <c r="G65" s="20"/>
      <c r="H65" s="20"/>
      <c r="I65" s="9"/>
      <c r="J65" s="9"/>
      <c r="K65" s="9"/>
    </row>
    <row r="66" spans="1:11" s="13" customFormat="1" ht="29.25" thickBot="1" x14ac:dyDescent="0.3">
      <c r="A66" s="19" t="s">
        <v>47</v>
      </c>
      <c r="B66" s="10"/>
      <c r="C66" s="14">
        <v>46092</v>
      </c>
      <c r="D66" s="11"/>
      <c r="E66" s="11"/>
      <c r="F66" s="12">
        <f t="shared" si="1"/>
        <v>0</v>
      </c>
      <c r="G66" s="20"/>
      <c r="H66" s="20"/>
      <c r="I66" s="9"/>
      <c r="J66" s="9"/>
      <c r="K66" s="9"/>
    </row>
    <row r="67" spans="1:11" s="13" customFormat="1" ht="29.25" thickBot="1" x14ac:dyDescent="0.3">
      <c r="A67" s="19" t="s">
        <v>47</v>
      </c>
      <c r="B67" s="10"/>
      <c r="C67" s="14">
        <v>46092</v>
      </c>
      <c r="D67" s="11"/>
      <c r="E67" s="11"/>
      <c r="F67" s="12">
        <f t="shared" si="1"/>
        <v>0</v>
      </c>
      <c r="G67" s="20"/>
      <c r="H67" s="20"/>
      <c r="I67" s="9"/>
      <c r="J67" s="9"/>
      <c r="K67" s="9"/>
    </row>
    <row r="68" spans="1:11" s="13" customFormat="1" ht="29.25" thickBot="1" x14ac:dyDescent="0.3">
      <c r="A68" s="19" t="s">
        <v>47</v>
      </c>
      <c r="B68" s="10"/>
      <c r="C68" s="14">
        <v>46092</v>
      </c>
      <c r="D68" s="11"/>
      <c r="E68" s="11"/>
      <c r="F68" s="12">
        <f t="shared" si="1"/>
        <v>0</v>
      </c>
      <c r="G68" s="20"/>
      <c r="H68" s="20"/>
      <c r="I68" s="9"/>
      <c r="J68" s="9"/>
      <c r="K68" s="9"/>
    </row>
    <row r="69" spans="1:11" s="13" customFormat="1" ht="29.25" thickBot="1" x14ac:dyDescent="0.3">
      <c r="A69" s="19" t="s">
        <v>47</v>
      </c>
      <c r="B69" s="10"/>
      <c r="C69" s="14">
        <v>46093</v>
      </c>
      <c r="D69" s="11"/>
      <c r="E69" s="11"/>
      <c r="F69" s="12">
        <f t="shared" si="1"/>
        <v>0</v>
      </c>
      <c r="G69" s="20"/>
      <c r="H69" s="20"/>
      <c r="I69" s="9"/>
      <c r="J69" s="9"/>
      <c r="K69" s="9"/>
    </row>
    <row r="70" spans="1:11" s="13" customFormat="1" ht="29.25" thickBot="1" x14ac:dyDescent="0.3">
      <c r="A70" s="19" t="s">
        <v>47</v>
      </c>
      <c r="B70" s="10"/>
      <c r="C70" s="14">
        <v>46093</v>
      </c>
      <c r="D70" s="11"/>
      <c r="E70" s="11"/>
      <c r="F70" s="12">
        <f t="shared" si="1"/>
        <v>0</v>
      </c>
      <c r="G70" s="20"/>
      <c r="H70" s="20"/>
      <c r="I70" s="9"/>
      <c r="J70" s="9"/>
      <c r="K70" s="9"/>
    </row>
    <row r="71" spans="1:11" s="13" customFormat="1" ht="29.25" thickBot="1" x14ac:dyDescent="0.3">
      <c r="A71" s="19" t="s">
        <v>47</v>
      </c>
      <c r="B71" s="10"/>
      <c r="C71" s="14">
        <v>46093</v>
      </c>
      <c r="D71" s="11"/>
      <c r="E71" s="11"/>
      <c r="F71" s="12">
        <f t="shared" si="1"/>
        <v>0</v>
      </c>
      <c r="G71" s="20"/>
      <c r="H71" s="20"/>
      <c r="I71" s="9"/>
      <c r="J71" s="9"/>
      <c r="K71" s="9"/>
    </row>
    <row r="72" spans="1:11" s="13" customFormat="1" ht="29.25" thickBot="1" x14ac:dyDescent="0.3">
      <c r="A72" s="19" t="s">
        <v>47</v>
      </c>
      <c r="B72" s="10"/>
      <c r="C72" s="14">
        <v>46093</v>
      </c>
      <c r="D72" s="11"/>
      <c r="E72" s="11"/>
      <c r="F72" s="12">
        <f t="shared" si="1"/>
        <v>0</v>
      </c>
      <c r="G72" s="20"/>
      <c r="H72" s="20"/>
      <c r="I72" s="9"/>
      <c r="J72" s="9"/>
      <c r="K72" s="9"/>
    </row>
    <row r="73" spans="1:11" s="13" customFormat="1" ht="29.25" thickBot="1" x14ac:dyDescent="0.3">
      <c r="A73" s="19" t="s">
        <v>47</v>
      </c>
      <c r="B73" s="10"/>
      <c r="C73" s="14">
        <v>46093</v>
      </c>
      <c r="D73" s="11"/>
      <c r="E73" s="11"/>
      <c r="F73" s="12">
        <f t="shared" si="1"/>
        <v>0</v>
      </c>
      <c r="G73" s="20"/>
      <c r="H73" s="20"/>
      <c r="I73" s="9"/>
      <c r="J73" s="9"/>
      <c r="K73" s="9"/>
    </row>
    <row r="74" spans="1:11" s="13" customFormat="1" ht="29.25" thickBot="1" x14ac:dyDescent="0.3">
      <c r="A74" s="19" t="s">
        <v>47</v>
      </c>
      <c r="B74" s="10"/>
      <c r="C74" s="14">
        <v>46093</v>
      </c>
      <c r="D74" s="11"/>
      <c r="E74" s="11"/>
      <c r="F74" s="12">
        <f t="shared" si="1"/>
        <v>0</v>
      </c>
      <c r="G74" s="20"/>
      <c r="H74" s="20"/>
      <c r="I74" s="9"/>
      <c r="J74" s="9"/>
      <c r="K74" s="9"/>
    </row>
    <row r="75" spans="1:11" s="13" customFormat="1" ht="29.25" thickBot="1" x14ac:dyDescent="0.3">
      <c r="A75" s="19" t="s">
        <v>47</v>
      </c>
      <c r="B75" s="10"/>
      <c r="C75" s="14">
        <v>46093</v>
      </c>
      <c r="D75" s="11"/>
      <c r="E75" s="11"/>
      <c r="F75" s="12">
        <f t="shared" si="1"/>
        <v>0</v>
      </c>
      <c r="G75" s="20"/>
      <c r="H75" s="20"/>
      <c r="I75" s="9"/>
      <c r="J75" s="9"/>
      <c r="K75" s="9"/>
    </row>
    <row r="76" spans="1:11" s="13" customFormat="1" ht="29.25" thickBot="1" x14ac:dyDescent="0.3">
      <c r="A76" s="19" t="s">
        <v>47</v>
      </c>
      <c r="B76" s="10"/>
      <c r="C76" s="14">
        <v>46093</v>
      </c>
      <c r="D76" s="11"/>
      <c r="E76" s="11"/>
      <c r="F76" s="12">
        <f t="shared" si="1"/>
        <v>0</v>
      </c>
      <c r="G76" s="20"/>
      <c r="H76" s="20"/>
      <c r="I76" s="9"/>
      <c r="J76" s="9"/>
      <c r="K76" s="9"/>
    </row>
    <row r="77" spans="1:11" s="13" customFormat="1" ht="29.25" thickBot="1" x14ac:dyDescent="0.3">
      <c r="A77" s="19" t="s">
        <v>47</v>
      </c>
      <c r="B77" s="10"/>
      <c r="C77" s="14">
        <v>46094</v>
      </c>
      <c r="D77" s="11"/>
      <c r="E77" s="11"/>
      <c r="F77" s="12">
        <f t="shared" si="1"/>
        <v>0</v>
      </c>
      <c r="G77" s="20"/>
      <c r="H77" s="20"/>
      <c r="I77" s="9"/>
      <c r="J77" s="9"/>
      <c r="K77" s="9"/>
    </row>
    <row r="78" spans="1:11" s="13" customFormat="1" ht="29.25" thickBot="1" x14ac:dyDescent="0.3">
      <c r="A78" s="19" t="s">
        <v>47</v>
      </c>
      <c r="B78" s="10"/>
      <c r="C78" s="14">
        <v>46094</v>
      </c>
      <c r="D78" s="11"/>
      <c r="E78" s="11"/>
      <c r="F78" s="12">
        <f t="shared" si="1"/>
        <v>0</v>
      </c>
      <c r="G78" s="20"/>
      <c r="H78" s="20"/>
      <c r="I78" s="9"/>
      <c r="J78" s="9"/>
      <c r="K78" s="9"/>
    </row>
    <row r="79" spans="1:11" s="13" customFormat="1" ht="29.25" thickBot="1" x14ac:dyDescent="0.3">
      <c r="A79" s="19" t="s">
        <v>47</v>
      </c>
      <c r="B79" s="10"/>
      <c r="C79" s="14">
        <v>46094</v>
      </c>
      <c r="D79" s="11"/>
      <c r="E79" s="11"/>
      <c r="F79" s="12">
        <f t="shared" si="1"/>
        <v>0</v>
      </c>
      <c r="G79" s="20"/>
      <c r="H79" s="20"/>
      <c r="I79" s="9"/>
      <c r="J79" s="9"/>
      <c r="K79" s="9"/>
    </row>
    <row r="80" spans="1:11" s="13" customFormat="1" ht="29.25" thickBot="1" x14ac:dyDescent="0.3">
      <c r="A80" s="19" t="s">
        <v>47</v>
      </c>
      <c r="B80" s="10"/>
      <c r="C80" s="14">
        <v>46094</v>
      </c>
      <c r="D80" s="11"/>
      <c r="E80" s="11"/>
      <c r="F80" s="12">
        <f t="shared" si="1"/>
        <v>0</v>
      </c>
      <c r="G80" s="20"/>
      <c r="H80" s="20"/>
      <c r="I80" s="9"/>
      <c r="J80" s="9"/>
      <c r="K80" s="9"/>
    </row>
    <row r="81" spans="1:11" s="13" customFormat="1" ht="29.25" thickBot="1" x14ac:dyDescent="0.3">
      <c r="A81" s="19" t="s">
        <v>47</v>
      </c>
      <c r="B81" s="10"/>
      <c r="C81" s="14">
        <v>46094</v>
      </c>
      <c r="D81" s="11"/>
      <c r="E81" s="11"/>
      <c r="F81" s="12">
        <f t="shared" si="1"/>
        <v>0</v>
      </c>
      <c r="G81" s="20"/>
      <c r="H81" s="20"/>
      <c r="I81" s="9"/>
      <c r="J81" s="9"/>
      <c r="K81" s="9"/>
    </row>
    <row r="82" spans="1:11" s="13" customFormat="1" ht="29.25" thickBot="1" x14ac:dyDescent="0.3">
      <c r="A82" s="19" t="s">
        <v>47</v>
      </c>
      <c r="B82" s="10"/>
      <c r="C82" s="14">
        <v>46094</v>
      </c>
      <c r="D82" s="11"/>
      <c r="E82" s="11"/>
      <c r="F82" s="12">
        <f t="shared" si="1"/>
        <v>0</v>
      </c>
      <c r="G82" s="20"/>
      <c r="H82" s="20"/>
      <c r="I82" s="9"/>
      <c r="J82" s="9"/>
      <c r="K82" s="9"/>
    </row>
    <row r="83" spans="1:11" s="13" customFormat="1" ht="29.25" thickBot="1" x14ac:dyDescent="0.3">
      <c r="A83" s="19" t="s">
        <v>47</v>
      </c>
      <c r="B83" s="10"/>
      <c r="C83" s="14">
        <v>46094</v>
      </c>
      <c r="D83" s="11"/>
      <c r="E83" s="11"/>
      <c r="F83" s="12">
        <f t="shared" si="1"/>
        <v>0</v>
      </c>
      <c r="G83" s="20"/>
      <c r="H83" s="20"/>
      <c r="I83" s="9"/>
      <c r="J83" s="9"/>
      <c r="K83" s="9"/>
    </row>
    <row r="84" spans="1:11" s="13" customFormat="1" ht="29.25" thickBot="1" x14ac:dyDescent="0.3">
      <c r="A84" s="19" t="s">
        <v>47</v>
      </c>
      <c r="B84" s="10"/>
      <c r="C84" s="14">
        <v>46094</v>
      </c>
      <c r="D84" s="11"/>
      <c r="E84" s="11"/>
      <c r="F84" s="12">
        <f t="shared" si="1"/>
        <v>0</v>
      </c>
      <c r="G84" s="20"/>
      <c r="H84" s="20"/>
      <c r="I84" s="9"/>
      <c r="J84" s="9"/>
      <c r="K84" s="9"/>
    </row>
    <row r="85" spans="1:11" s="13" customFormat="1" ht="29.25" thickBot="1" x14ac:dyDescent="0.3">
      <c r="A85" s="19" t="s">
        <v>47</v>
      </c>
      <c r="B85" s="10"/>
      <c r="C85" s="14">
        <v>46095</v>
      </c>
      <c r="D85" s="11">
        <v>0.35416666666666669</v>
      </c>
      <c r="E85" s="11">
        <v>0.6875</v>
      </c>
      <c r="F85" s="12">
        <f t="shared" si="1"/>
        <v>8</v>
      </c>
      <c r="G85" s="20" t="s">
        <v>21</v>
      </c>
      <c r="H85" s="20" t="s">
        <v>30</v>
      </c>
      <c r="I85" s="9"/>
      <c r="J85" s="9" t="s">
        <v>71</v>
      </c>
      <c r="K85" s="9"/>
    </row>
    <row r="86" spans="1:11" s="13" customFormat="1" ht="29.25" thickBot="1" x14ac:dyDescent="0.3">
      <c r="A86" s="19" t="s">
        <v>47</v>
      </c>
      <c r="B86" s="10"/>
      <c r="C86" s="14">
        <v>46096</v>
      </c>
      <c r="D86" s="11">
        <v>0.35416666666666669</v>
      </c>
      <c r="E86" s="11">
        <v>0.6875</v>
      </c>
      <c r="F86" s="12">
        <f t="shared" si="1"/>
        <v>8</v>
      </c>
      <c r="G86" s="20" t="s">
        <v>21</v>
      </c>
      <c r="H86" s="20" t="s">
        <v>30</v>
      </c>
      <c r="I86" s="9"/>
      <c r="J86" s="9" t="s">
        <v>71</v>
      </c>
      <c r="K86" s="9"/>
    </row>
    <row r="87" spans="1:11" s="13" customFormat="1" ht="29.25" thickBot="1" x14ac:dyDescent="0.3">
      <c r="A87" s="19" t="s">
        <v>47</v>
      </c>
      <c r="B87" s="10"/>
      <c r="C87" s="14">
        <v>46097</v>
      </c>
      <c r="D87" s="11"/>
      <c r="E87" s="11"/>
      <c r="F87" s="12">
        <f>+(E87-D87)*24</f>
        <v>0</v>
      </c>
      <c r="G87" s="20"/>
      <c r="H87" s="20"/>
      <c r="I87" s="9"/>
      <c r="J87" s="9"/>
      <c r="K87" s="9"/>
    </row>
    <row r="88" spans="1:11" s="13" customFormat="1" ht="29.25" thickBot="1" x14ac:dyDescent="0.3">
      <c r="A88" s="19" t="s">
        <v>47</v>
      </c>
      <c r="B88" s="10"/>
      <c r="C88" s="14">
        <v>46097</v>
      </c>
      <c r="D88" s="11"/>
      <c r="E88" s="11"/>
      <c r="F88" s="12">
        <f>+(E88-D88)*24</f>
        <v>0</v>
      </c>
      <c r="G88" s="20"/>
      <c r="H88" s="20"/>
      <c r="I88" s="9"/>
      <c r="J88" s="9"/>
      <c r="K88" s="9"/>
    </row>
    <row r="89" spans="1:11" s="13" customFormat="1" ht="29.25" thickBot="1" x14ac:dyDescent="0.3">
      <c r="A89" s="19" t="s">
        <v>47</v>
      </c>
      <c r="B89" s="10"/>
      <c r="C89" s="14">
        <v>46097</v>
      </c>
      <c r="D89" s="11"/>
      <c r="E89" s="11"/>
      <c r="F89" s="12">
        <f>+(E89-D89)*24</f>
        <v>0</v>
      </c>
      <c r="G89" s="20"/>
      <c r="H89" s="20"/>
      <c r="I89" s="9"/>
      <c r="J89" s="9"/>
      <c r="K89" s="9"/>
    </row>
    <row r="90" spans="1:11" s="13" customFormat="1" ht="29.25" thickBot="1" x14ac:dyDescent="0.3">
      <c r="A90" s="19" t="s">
        <v>47</v>
      </c>
      <c r="B90" s="10"/>
      <c r="C90" s="14">
        <v>46097</v>
      </c>
      <c r="D90" s="11"/>
      <c r="E90" s="11"/>
      <c r="F90" s="12">
        <f t="shared" ref="F90:F128" si="2">+(E90-D90)*24</f>
        <v>0</v>
      </c>
      <c r="G90" s="20"/>
      <c r="H90" s="20"/>
      <c r="I90" s="9"/>
      <c r="J90" s="9"/>
      <c r="K90" s="9"/>
    </row>
    <row r="91" spans="1:11" s="13" customFormat="1" ht="29.25" thickBot="1" x14ac:dyDescent="0.3">
      <c r="A91" s="19" t="s">
        <v>47</v>
      </c>
      <c r="B91" s="10"/>
      <c r="C91" s="14">
        <v>46097</v>
      </c>
      <c r="D91" s="11"/>
      <c r="E91" s="11"/>
      <c r="F91" s="12">
        <f t="shared" si="2"/>
        <v>0</v>
      </c>
      <c r="G91" s="20"/>
      <c r="H91" s="20"/>
      <c r="I91" s="9"/>
      <c r="J91" s="9"/>
      <c r="K91" s="9"/>
    </row>
    <row r="92" spans="1:11" s="13" customFormat="1" ht="29.25" thickBot="1" x14ac:dyDescent="0.3">
      <c r="A92" s="19" t="s">
        <v>47</v>
      </c>
      <c r="B92" s="10"/>
      <c r="C92" s="14">
        <v>46097</v>
      </c>
      <c r="D92" s="11"/>
      <c r="E92" s="11"/>
      <c r="F92" s="12">
        <f t="shared" si="2"/>
        <v>0</v>
      </c>
      <c r="G92" s="20"/>
      <c r="H92" s="20"/>
      <c r="I92" s="9"/>
      <c r="J92" s="9"/>
      <c r="K92" s="9"/>
    </row>
    <row r="93" spans="1:11" s="13" customFormat="1" ht="29.25" thickBot="1" x14ac:dyDescent="0.3">
      <c r="A93" s="19" t="s">
        <v>47</v>
      </c>
      <c r="B93" s="10"/>
      <c r="C93" s="14">
        <v>46097</v>
      </c>
      <c r="D93" s="11"/>
      <c r="E93" s="11"/>
      <c r="F93" s="12">
        <f t="shared" si="2"/>
        <v>0</v>
      </c>
      <c r="G93" s="20"/>
      <c r="H93" s="20"/>
      <c r="I93" s="9"/>
      <c r="J93" s="9"/>
      <c r="K93" s="9"/>
    </row>
    <row r="94" spans="1:11" s="13" customFormat="1" ht="29.25" thickBot="1" x14ac:dyDescent="0.3">
      <c r="A94" s="19" t="s">
        <v>47</v>
      </c>
      <c r="B94" s="10"/>
      <c r="C94" s="14">
        <v>46097</v>
      </c>
      <c r="D94" s="11"/>
      <c r="E94" s="11"/>
      <c r="F94" s="12">
        <f t="shared" si="2"/>
        <v>0</v>
      </c>
      <c r="G94" s="20"/>
      <c r="H94" s="20"/>
      <c r="I94" s="9"/>
      <c r="J94" s="24"/>
      <c r="K94" s="9"/>
    </row>
    <row r="95" spans="1:11" s="13" customFormat="1" ht="29.25" thickBot="1" x14ac:dyDescent="0.3">
      <c r="A95" s="19" t="s">
        <v>47</v>
      </c>
      <c r="B95" s="10"/>
      <c r="C95" s="14">
        <v>46098</v>
      </c>
      <c r="D95" s="11"/>
      <c r="E95" s="11"/>
      <c r="F95" s="12">
        <f t="shared" si="2"/>
        <v>0</v>
      </c>
      <c r="G95" s="20"/>
      <c r="H95" s="20"/>
      <c r="I95" s="9"/>
      <c r="J95" s="24"/>
      <c r="K95" s="9"/>
    </row>
    <row r="96" spans="1:11" s="13" customFormat="1" ht="29.25" thickBot="1" x14ac:dyDescent="0.3">
      <c r="A96" s="19" t="s">
        <v>47</v>
      </c>
      <c r="B96" s="10"/>
      <c r="C96" s="14">
        <v>46098</v>
      </c>
      <c r="D96" s="11"/>
      <c r="E96" s="11"/>
      <c r="F96" s="12">
        <f t="shared" si="2"/>
        <v>0</v>
      </c>
      <c r="G96" s="20"/>
      <c r="H96" s="20"/>
      <c r="I96" s="9"/>
      <c r="J96" s="9"/>
      <c r="K96" s="9"/>
    </row>
    <row r="97" spans="1:11" s="13" customFormat="1" ht="29.25" thickBot="1" x14ac:dyDescent="0.3">
      <c r="A97" s="19" t="s">
        <v>47</v>
      </c>
      <c r="B97" s="10"/>
      <c r="C97" s="14">
        <v>46098</v>
      </c>
      <c r="D97" s="11"/>
      <c r="E97" s="11"/>
      <c r="F97" s="12">
        <f t="shared" si="2"/>
        <v>0</v>
      </c>
      <c r="G97" s="20"/>
      <c r="H97" s="20"/>
      <c r="I97" s="9"/>
      <c r="J97" s="9"/>
      <c r="K97" s="9"/>
    </row>
    <row r="98" spans="1:11" s="13" customFormat="1" ht="29.25" thickBot="1" x14ac:dyDescent="0.3">
      <c r="A98" s="19" t="s">
        <v>47</v>
      </c>
      <c r="B98" s="10"/>
      <c r="C98" s="14">
        <v>46098</v>
      </c>
      <c r="D98" s="11"/>
      <c r="E98" s="11"/>
      <c r="F98" s="12">
        <f t="shared" si="2"/>
        <v>0</v>
      </c>
      <c r="G98" s="20"/>
      <c r="H98" s="20"/>
      <c r="I98" s="9"/>
      <c r="J98" s="9"/>
      <c r="K98" s="9"/>
    </row>
    <row r="99" spans="1:11" s="13" customFormat="1" ht="29.25" thickBot="1" x14ac:dyDescent="0.3">
      <c r="A99" s="19" t="s">
        <v>47</v>
      </c>
      <c r="B99" s="10"/>
      <c r="C99" s="14">
        <v>46098</v>
      </c>
      <c r="D99" s="11"/>
      <c r="E99" s="11"/>
      <c r="F99" s="12">
        <f t="shared" si="2"/>
        <v>0</v>
      </c>
      <c r="G99" s="20"/>
      <c r="H99" s="20"/>
      <c r="I99" s="9"/>
      <c r="J99" s="9"/>
      <c r="K99" s="9"/>
    </row>
    <row r="100" spans="1:11" s="13" customFormat="1" ht="29.25" thickBot="1" x14ac:dyDescent="0.3">
      <c r="A100" s="19" t="s">
        <v>47</v>
      </c>
      <c r="B100" s="10"/>
      <c r="C100" s="14">
        <v>46098</v>
      </c>
      <c r="D100" s="11"/>
      <c r="E100" s="11"/>
      <c r="F100" s="12">
        <f t="shared" si="2"/>
        <v>0</v>
      </c>
      <c r="G100" s="20"/>
      <c r="H100" s="20"/>
      <c r="I100" s="9"/>
      <c r="J100" s="9"/>
      <c r="K100" s="9"/>
    </row>
    <row r="101" spans="1:11" s="13" customFormat="1" ht="29.25" thickBot="1" x14ac:dyDescent="0.3">
      <c r="A101" s="19" t="s">
        <v>47</v>
      </c>
      <c r="B101" s="10"/>
      <c r="C101" s="14">
        <v>46098</v>
      </c>
      <c r="D101" s="11"/>
      <c r="E101" s="11"/>
      <c r="F101" s="12">
        <f t="shared" si="2"/>
        <v>0</v>
      </c>
      <c r="G101" s="20"/>
      <c r="H101" s="20"/>
      <c r="I101" s="9"/>
      <c r="J101" s="9"/>
      <c r="K101" s="9"/>
    </row>
    <row r="102" spans="1:11" s="13" customFormat="1" ht="29.25" thickBot="1" x14ac:dyDescent="0.3">
      <c r="A102" s="19" t="s">
        <v>47</v>
      </c>
      <c r="B102" s="10"/>
      <c r="C102" s="14">
        <v>46098</v>
      </c>
      <c r="D102" s="11"/>
      <c r="E102" s="11"/>
      <c r="F102" s="12">
        <f t="shared" si="2"/>
        <v>0</v>
      </c>
      <c r="G102" s="20"/>
      <c r="H102" s="20"/>
      <c r="I102" s="9"/>
      <c r="J102" s="9"/>
      <c r="K102" s="9"/>
    </row>
    <row r="103" spans="1:11" s="13" customFormat="1" ht="29.25" thickBot="1" x14ac:dyDescent="0.3">
      <c r="A103" s="19" t="s">
        <v>47</v>
      </c>
      <c r="B103" s="10"/>
      <c r="C103" s="14">
        <v>46099</v>
      </c>
      <c r="D103" s="11"/>
      <c r="E103" s="11"/>
      <c r="F103" s="12">
        <f t="shared" si="2"/>
        <v>0</v>
      </c>
      <c r="G103" s="20"/>
      <c r="H103" s="20"/>
      <c r="I103" s="9"/>
      <c r="J103" s="9"/>
      <c r="K103" s="9"/>
    </row>
    <row r="104" spans="1:11" s="13" customFormat="1" ht="29.25" thickBot="1" x14ac:dyDescent="0.3">
      <c r="A104" s="19" t="s">
        <v>47</v>
      </c>
      <c r="B104" s="10"/>
      <c r="C104" s="14">
        <v>46099</v>
      </c>
      <c r="D104" s="11"/>
      <c r="E104" s="11"/>
      <c r="F104" s="12">
        <f t="shared" si="2"/>
        <v>0</v>
      </c>
      <c r="G104" s="20"/>
      <c r="H104" s="20"/>
      <c r="I104" s="9"/>
      <c r="J104" s="9"/>
      <c r="K104" s="9"/>
    </row>
    <row r="105" spans="1:11" s="13" customFormat="1" ht="29.25" thickBot="1" x14ac:dyDescent="0.3">
      <c r="A105" s="19" t="s">
        <v>47</v>
      </c>
      <c r="B105" s="10"/>
      <c r="C105" s="14">
        <v>46099</v>
      </c>
      <c r="D105" s="11"/>
      <c r="E105" s="11"/>
      <c r="F105" s="12">
        <f t="shared" si="2"/>
        <v>0</v>
      </c>
      <c r="G105" s="20"/>
      <c r="H105" s="20"/>
      <c r="I105" s="9"/>
      <c r="J105" s="9"/>
      <c r="K105" s="9"/>
    </row>
    <row r="106" spans="1:11" s="13" customFormat="1" ht="29.25" thickBot="1" x14ac:dyDescent="0.3">
      <c r="A106" s="19" t="s">
        <v>47</v>
      </c>
      <c r="B106" s="10"/>
      <c r="C106" s="14">
        <v>46099</v>
      </c>
      <c r="D106" s="11"/>
      <c r="E106" s="11"/>
      <c r="F106" s="12">
        <f t="shared" si="2"/>
        <v>0</v>
      </c>
      <c r="G106" s="20"/>
      <c r="H106" s="20"/>
      <c r="I106" s="9"/>
      <c r="J106" s="9"/>
      <c r="K106" s="9"/>
    </row>
    <row r="107" spans="1:11" s="13" customFormat="1" ht="29.25" thickBot="1" x14ac:dyDescent="0.3">
      <c r="A107" s="19" t="s">
        <v>47</v>
      </c>
      <c r="B107" s="10"/>
      <c r="C107" s="14">
        <v>46099</v>
      </c>
      <c r="D107" s="11"/>
      <c r="E107" s="11"/>
      <c r="F107" s="12">
        <f t="shared" si="2"/>
        <v>0</v>
      </c>
      <c r="G107" s="20"/>
      <c r="H107" s="20"/>
      <c r="I107" s="9"/>
      <c r="J107" s="9"/>
      <c r="K107" s="9"/>
    </row>
    <row r="108" spans="1:11" s="13" customFormat="1" ht="29.25" thickBot="1" x14ac:dyDescent="0.3">
      <c r="A108" s="19" t="s">
        <v>47</v>
      </c>
      <c r="B108" s="10"/>
      <c r="C108" s="14">
        <v>46099</v>
      </c>
      <c r="D108" s="11"/>
      <c r="E108" s="11"/>
      <c r="F108" s="12">
        <f t="shared" si="2"/>
        <v>0</v>
      </c>
      <c r="G108" s="20"/>
      <c r="H108" s="20"/>
      <c r="I108" s="9"/>
      <c r="J108" s="9"/>
      <c r="K108" s="9"/>
    </row>
    <row r="109" spans="1:11" s="13" customFormat="1" ht="29.25" thickBot="1" x14ac:dyDescent="0.3">
      <c r="A109" s="19" t="s">
        <v>47</v>
      </c>
      <c r="B109" s="10"/>
      <c r="C109" s="14">
        <v>46099</v>
      </c>
      <c r="D109" s="11"/>
      <c r="E109" s="11"/>
      <c r="F109" s="12">
        <f t="shared" si="2"/>
        <v>0</v>
      </c>
      <c r="G109" s="20"/>
      <c r="H109" s="20"/>
      <c r="I109" s="9"/>
      <c r="J109" s="9"/>
      <c r="K109" s="9"/>
    </row>
    <row r="110" spans="1:11" s="13" customFormat="1" ht="29.25" thickBot="1" x14ac:dyDescent="0.3">
      <c r="A110" s="19" t="s">
        <v>47</v>
      </c>
      <c r="B110" s="10"/>
      <c r="C110" s="14">
        <v>46099</v>
      </c>
      <c r="D110" s="11"/>
      <c r="E110" s="11"/>
      <c r="F110" s="12">
        <f t="shared" si="2"/>
        <v>0</v>
      </c>
      <c r="G110" s="20"/>
      <c r="H110" s="20"/>
      <c r="I110" s="9"/>
      <c r="J110" s="9"/>
      <c r="K110" s="9"/>
    </row>
    <row r="111" spans="1:11" s="13" customFormat="1" ht="29.25" thickBot="1" x14ac:dyDescent="0.3">
      <c r="A111" s="19" t="s">
        <v>47</v>
      </c>
      <c r="B111" s="10"/>
      <c r="C111" s="14">
        <v>46100</v>
      </c>
      <c r="D111" s="11"/>
      <c r="E111" s="11"/>
      <c r="F111" s="12">
        <f t="shared" si="2"/>
        <v>0</v>
      </c>
      <c r="G111" s="20"/>
      <c r="H111" s="20"/>
      <c r="I111" s="9"/>
      <c r="J111" s="9"/>
      <c r="K111" s="9"/>
    </row>
    <row r="112" spans="1:11" s="13" customFormat="1" ht="29.25" thickBot="1" x14ac:dyDescent="0.3">
      <c r="A112" s="19" t="s">
        <v>47</v>
      </c>
      <c r="B112" s="10"/>
      <c r="C112" s="14">
        <v>46100</v>
      </c>
      <c r="D112" s="11"/>
      <c r="E112" s="11"/>
      <c r="F112" s="12">
        <f t="shared" si="2"/>
        <v>0</v>
      </c>
      <c r="G112" s="20"/>
      <c r="H112" s="20"/>
      <c r="I112" s="9"/>
      <c r="J112" s="9"/>
      <c r="K112" s="9"/>
    </row>
    <row r="113" spans="1:11" s="13" customFormat="1" ht="29.25" thickBot="1" x14ac:dyDescent="0.3">
      <c r="A113" s="19" t="s">
        <v>47</v>
      </c>
      <c r="B113" s="10"/>
      <c r="C113" s="14">
        <v>46100</v>
      </c>
      <c r="D113" s="11"/>
      <c r="E113" s="11"/>
      <c r="F113" s="12">
        <f t="shared" si="2"/>
        <v>0</v>
      </c>
      <c r="G113" s="20"/>
      <c r="H113" s="20"/>
      <c r="I113" s="9"/>
      <c r="J113" s="9"/>
      <c r="K113" s="9"/>
    </row>
    <row r="114" spans="1:11" s="13" customFormat="1" ht="29.25" thickBot="1" x14ac:dyDescent="0.3">
      <c r="A114" s="19" t="s">
        <v>47</v>
      </c>
      <c r="B114" s="10"/>
      <c r="C114" s="14">
        <v>46100</v>
      </c>
      <c r="D114" s="11"/>
      <c r="E114" s="11"/>
      <c r="F114" s="12">
        <f t="shared" si="2"/>
        <v>0</v>
      </c>
      <c r="G114" s="20"/>
      <c r="H114" s="20"/>
      <c r="I114" s="9"/>
      <c r="J114" s="9"/>
      <c r="K114" s="9"/>
    </row>
    <row r="115" spans="1:11" s="13" customFormat="1" ht="29.25" thickBot="1" x14ac:dyDescent="0.3">
      <c r="A115" s="19" t="s">
        <v>47</v>
      </c>
      <c r="B115" s="10"/>
      <c r="C115" s="14">
        <v>46100</v>
      </c>
      <c r="D115" s="11"/>
      <c r="E115" s="11"/>
      <c r="F115" s="12">
        <f t="shared" si="2"/>
        <v>0</v>
      </c>
      <c r="G115" s="20"/>
      <c r="H115" s="20"/>
      <c r="I115" s="9"/>
      <c r="J115" s="9"/>
      <c r="K115" s="9"/>
    </row>
    <row r="116" spans="1:11" s="13" customFormat="1" ht="29.25" thickBot="1" x14ac:dyDescent="0.3">
      <c r="A116" s="19" t="s">
        <v>47</v>
      </c>
      <c r="B116" s="10"/>
      <c r="C116" s="14">
        <v>46100</v>
      </c>
      <c r="D116" s="11"/>
      <c r="E116" s="11"/>
      <c r="F116" s="12">
        <f t="shared" si="2"/>
        <v>0</v>
      </c>
      <c r="G116" s="20"/>
      <c r="H116" s="20"/>
      <c r="I116" s="9"/>
      <c r="J116" s="9"/>
      <c r="K116" s="9"/>
    </row>
    <row r="117" spans="1:11" s="13" customFormat="1" ht="29.25" thickBot="1" x14ac:dyDescent="0.3">
      <c r="A117" s="19" t="s">
        <v>47</v>
      </c>
      <c r="B117" s="10"/>
      <c r="C117" s="14">
        <v>46100</v>
      </c>
      <c r="D117" s="11"/>
      <c r="E117" s="11"/>
      <c r="F117" s="12">
        <f t="shared" si="2"/>
        <v>0</v>
      </c>
      <c r="G117" s="20"/>
      <c r="H117" s="20"/>
      <c r="I117" s="9"/>
      <c r="J117" s="9"/>
      <c r="K117" s="9"/>
    </row>
    <row r="118" spans="1:11" s="13" customFormat="1" ht="29.25" thickBot="1" x14ac:dyDescent="0.3">
      <c r="A118" s="19" t="s">
        <v>47</v>
      </c>
      <c r="B118" s="10"/>
      <c r="C118" s="14">
        <v>46100</v>
      </c>
      <c r="D118" s="11"/>
      <c r="E118" s="11"/>
      <c r="F118" s="12">
        <f t="shared" si="2"/>
        <v>0</v>
      </c>
      <c r="G118" s="20"/>
      <c r="H118" s="20"/>
      <c r="I118" s="9"/>
      <c r="J118" s="9"/>
      <c r="K118" s="9"/>
    </row>
    <row r="119" spans="1:11" s="13" customFormat="1" ht="29.25" thickBot="1" x14ac:dyDescent="0.3">
      <c r="A119" s="19" t="s">
        <v>47</v>
      </c>
      <c r="B119" s="10"/>
      <c r="C119" s="14">
        <v>46101</v>
      </c>
      <c r="D119" s="11"/>
      <c r="E119" s="11"/>
      <c r="F119" s="12">
        <f t="shared" si="2"/>
        <v>0</v>
      </c>
      <c r="G119" s="20"/>
      <c r="H119" s="20"/>
      <c r="I119" s="9"/>
      <c r="J119" s="9"/>
      <c r="K119" s="9"/>
    </row>
    <row r="120" spans="1:11" s="13" customFormat="1" ht="29.25" thickBot="1" x14ac:dyDescent="0.3">
      <c r="A120" s="19" t="s">
        <v>47</v>
      </c>
      <c r="B120" s="10"/>
      <c r="C120" s="14">
        <v>46101</v>
      </c>
      <c r="D120" s="11"/>
      <c r="E120" s="11"/>
      <c r="F120" s="12">
        <f t="shared" si="2"/>
        <v>0</v>
      </c>
      <c r="G120" s="20"/>
      <c r="H120" s="20"/>
      <c r="I120" s="9"/>
      <c r="J120" s="9"/>
      <c r="K120" s="9"/>
    </row>
    <row r="121" spans="1:11" s="13" customFormat="1" ht="29.25" thickBot="1" x14ac:dyDescent="0.3">
      <c r="A121" s="19" t="s">
        <v>47</v>
      </c>
      <c r="B121" s="10"/>
      <c r="C121" s="14">
        <v>46101</v>
      </c>
      <c r="D121" s="11"/>
      <c r="E121" s="11"/>
      <c r="F121" s="12">
        <f t="shared" si="2"/>
        <v>0</v>
      </c>
      <c r="G121" s="20"/>
      <c r="H121" s="20"/>
      <c r="I121" s="9"/>
      <c r="J121" s="9"/>
      <c r="K121" s="9"/>
    </row>
    <row r="122" spans="1:11" s="13" customFormat="1" ht="29.25" thickBot="1" x14ac:dyDescent="0.3">
      <c r="A122" s="19" t="s">
        <v>47</v>
      </c>
      <c r="B122" s="10"/>
      <c r="C122" s="14">
        <v>46101</v>
      </c>
      <c r="D122" s="11"/>
      <c r="E122" s="11"/>
      <c r="F122" s="12">
        <f t="shared" si="2"/>
        <v>0</v>
      </c>
      <c r="G122" s="20"/>
      <c r="H122" s="20"/>
      <c r="I122" s="9"/>
      <c r="J122" s="9"/>
      <c r="K122" s="9"/>
    </row>
    <row r="123" spans="1:11" s="13" customFormat="1" ht="29.25" thickBot="1" x14ac:dyDescent="0.3">
      <c r="A123" s="19" t="s">
        <v>47</v>
      </c>
      <c r="B123" s="10"/>
      <c r="C123" s="14">
        <v>46101</v>
      </c>
      <c r="D123" s="11"/>
      <c r="E123" s="11"/>
      <c r="F123" s="12">
        <f t="shared" si="2"/>
        <v>0</v>
      </c>
      <c r="G123" s="20"/>
      <c r="H123" s="20"/>
      <c r="I123" s="9"/>
      <c r="J123" s="9"/>
      <c r="K123" s="9"/>
    </row>
    <row r="124" spans="1:11" s="13" customFormat="1" ht="29.25" thickBot="1" x14ac:dyDescent="0.3">
      <c r="A124" s="19" t="s">
        <v>47</v>
      </c>
      <c r="B124" s="10"/>
      <c r="C124" s="14">
        <v>46101</v>
      </c>
      <c r="D124" s="11"/>
      <c r="E124" s="11"/>
      <c r="F124" s="12">
        <f t="shared" si="2"/>
        <v>0</v>
      </c>
      <c r="G124" s="20"/>
      <c r="H124" s="20"/>
      <c r="I124" s="9"/>
      <c r="J124" s="9"/>
      <c r="K124" s="9"/>
    </row>
    <row r="125" spans="1:11" s="13" customFormat="1" ht="29.25" thickBot="1" x14ac:dyDescent="0.3">
      <c r="A125" s="19" t="s">
        <v>47</v>
      </c>
      <c r="B125" s="10"/>
      <c r="C125" s="14">
        <v>46101</v>
      </c>
      <c r="D125" s="11"/>
      <c r="E125" s="11"/>
      <c r="F125" s="12">
        <f t="shared" si="2"/>
        <v>0</v>
      </c>
      <c r="G125" s="20"/>
      <c r="H125" s="20"/>
      <c r="I125" s="9"/>
      <c r="J125" s="9"/>
      <c r="K125" s="9"/>
    </row>
    <row r="126" spans="1:11" s="13" customFormat="1" ht="29.25" thickBot="1" x14ac:dyDescent="0.3">
      <c r="A126" s="19" t="s">
        <v>47</v>
      </c>
      <c r="B126" s="10"/>
      <c r="C126" s="14">
        <v>46101</v>
      </c>
      <c r="D126" s="11"/>
      <c r="E126" s="11"/>
      <c r="F126" s="12">
        <f t="shared" si="2"/>
        <v>0</v>
      </c>
      <c r="G126" s="20"/>
      <c r="H126" s="20"/>
      <c r="I126" s="9"/>
      <c r="J126" s="9"/>
      <c r="K126" s="9"/>
    </row>
    <row r="127" spans="1:11" s="13" customFormat="1" ht="29.25" thickBot="1" x14ac:dyDescent="0.3">
      <c r="A127" s="19" t="s">
        <v>47</v>
      </c>
      <c r="B127" s="10"/>
      <c r="C127" s="14">
        <v>46102</v>
      </c>
      <c r="D127" s="11">
        <v>0.35416666666666669</v>
      </c>
      <c r="E127" s="11">
        <v>0.6875</v>
      </c>
      <c r="F127" s="12">
        <f t="shared" si="2"/>
        <v>8</v>
      </c>
      <c r="G127" s="20" t="s">
        <v>21</v>
      </c>
      <c r="H127" s="20" t="s">
        <v>30</v>
      </c>
      <c r="I127" s="9"/>
      <c r="J127" s="9" t="s">
        <v>71</v>
      </c>
      <c r="K127" s="9"/>
    </row>
    <row r="128" spans="1:11" s="13" customFormat="1" ht="29.25" thickBot="1" x14ac:dyDescent="0.3">
      <c r="A128" s="19" t="s">
        <v>47</v>
      </c>
      <c r="B128" s="10"/>
      <c r="C128" s="14">
        <v>46103</v>
      </c>
      <c r="D128" s="11">
        <v>0.35416666666666669</v>
      </c>
      <c r="E128" s="11">
        <v>0.6875</v>
      </c>
      <c r="F128" s="12">
        <f t="shared" si="2"/>
        <v>8</v>
      </c>
      <c r="G128" s="20" t="s">
        <v>21</v>
      </c>
      <c r="H128" s="20" t="s">
        <v>30</v>
      </c>
      <c r="I128" s="9"/>
      <c r="J128" s="9" t="s">
        <v>71</v>
      </c>
      <c r="K128" s="9"/>
    </row>
    <row r="129" spans="1:11" s="13" customFormat="1" ht="29.25" thickBot="1" x14ac:dyDescent="0.3">
      <c r="A129" s="19" t="s">
        <v>47</v>
      </c>
      <c r="B129" s="10"/>
      <c r="C129" s="14">
        <v>46104</v>
      </c>
      <c r="D129" s="11"/>
      <c r="E129" s="11"/>
      <c r="F129" s="12">
        <f>+(E129-D129)*24</f>
        <v>0</v>
      </c>
      <c r="G129" s="20"/>
      <c r="H129" s="20"/>
      <c r="I129" s="9"/>
      <c r="J129" s="9"/>
      <c r="K129" s="9"/>
    </row>
    <row r="130" spans="1:11" s="13" customFormat="1" ht="29.25" thickBot="1" x14ac:dyDescent="0.3">
      <c r="A130" s="19" t="s">
        <v>47</v>
      </c>
      <c r="B130" s="10"/>
      <c r="C130" s="14">
        <v>46104</v>
      </c>
      <c r="D130" s="11"/>
      <c r="E130" s="11"/>
      <c r="F130" s="12">
        <f>+(E130-D130)*24</f>
        <v>0</v>
      </c>
      <c r="G130" s="20"/>
      <c r="H130" s="20"/>
      <c r="I130" s="9"/>
      <c r="J130" s="9"/>
      <c r="K130" s="9"/>
    </row>
    <row r="131" spans="1:11" s="13" customFormat="1" ht="29.25" thickBot="1" x14ac:dyDescent="0.3">
      <c r="A131" s="19" t="s">
        <v>47</v>
      </c>
      <c r="B131" s="10"/>
      <c r="C131" s="14">
        <v>46104</v>
      </c>
      <c r="D131" s="11"/>
      <c r="E131" s="11"/>
      <c r="F131" s="12">
        <f>+(E131-D131)*24</f>
        <v>0</v>
      </c>
      <c r="G131" s="20"/>
      <c r="H131" s="20"/>
      <c r="I131" s="9"/>
      <c r="J131" s="9"/>
      <c r="K131" s="9"/>
    </row>
    <row r="132" spans="1:11" s="13" customFormat="1" ht="29.25" thickBot="1" x14ac:dyDescent="0.3">
      <c r="A132" s="19" t="s">
        <v>47</v>
      </c>
      <c r="B132" s="10"/>
      <c r="C132" s="14">
        <v>46104</v>
      </c>
      <c r="D132" s="11"/>
      <c r="E132" s="11"/>
      <c r="F132" s="12">
        <f t="shared" ref="F132:F170" si="3">+(E132-D132)*24</f>
        <v>0</v>
      </c>
      <c r="G132" s="20"/>
      <c r="H132" s="20"/>
      <c r="I132" s="9"/>
      <c r="J132" s="9"/>
      <c r="K132" s="9"/>
    </row>
    <row r="133" spans="1:11" s="13" customFormat="1" ht="29.25" thickBot="1" x14ac:dyDescent="0.3">
      <c r="A133" s="19" t="s">
        <v>47</v>
      </c>
      <c r="B133" s="10"/>
      <c r="C133" s="14">
        <v>46104</v>
      </c>
      <c r="D133" s="11"/>
      <c r="E133" s="11"/>
      <c r="F133" s="12">
        <f t="shared" si="3"/>
        <v>0</v>
      </c>
      <c r="G133" s="20"/>
      <c r="H133" s="20"/>
      <c r="I133" s="9"/>
      <c r="J133" s="9"/>
      <c r="K133" s="9"/>
    </row>
    <row r="134" spans="1:11" s="13" customFormat="1" ht="29.25" thickBot="1" x14ac:dyDescent="0.3">
      <c r="A134" s="19" t="s">
        <v>47</v>
      </c>
      <c r="B134" s="10"/>
      <c r="C134" s="14">
        <v>46104</v>
      </c>
      <c r="D134" s="11"/>
      <c r="E134" s="11"/>
      <c r="F134" s="12">
        <f t="shared" si="3"/>
        <v>0</v>
      </c>
      <c r="G134" s="20"/>
      <c r="H134" s="20"/>
      <c r="I134" s="9"/>
      <c r="J134" s="9"/>
      <c r="K134" s="9"/>
    </row>
    <row r="135" spans="1:11" s="13" customFormat="1" ht="29.25" thickBot="1" x14ac:dyDescent="0.3">
      <c r="A135" s="19" t="s">
        <v>47</v>
      </c>
      <c r="B135" s="10"/>
      <c r="C135" s="14">
        <v>46104</v>
      </c>
      <c r="D135" s="11"/>
      <c r="E135" s="11"/>
      <c r="F135" s="12">
        <f t="shared" si="3"/>
        <v>0</v>
      </c>
      <c r="G135" s="20"/>
      <c r="H135" s="20"/>
      <c r="I135" s="9"/>
      <c r="J135" s="9"/>
      <c r="K135" s="9"/>
    </row>
    <row r="136" spans="1:11" s="13" customFormat="1" ht="29.25" thickBot="1" x14ac:dyDescent="0.3">
      <c r="A136" s="19" t="s">
        <v>47</v>
      </c>
      <c r="B136" s="10"/>
      <c r="C136" s="14">
        <v>46104</v>
      </c>
      <c r="D136" s="11"/>
      <c r="E136" s="11"/>
      <c r="F136" s="12">
        <f t="shared" si="3"/>
        <v>0</v>
      </c>
      <c r="G136" s="20"/>
      <c r="H136" s="20"/>
      <c r="I136" s="9"/>
      <c r="J136" s="24"/>
      <c r="K136" s="9"/>
    </row>
    <row r="137" spans="1:11" s="13" customFormat="1" ht="29.25" thickBot="1" x14ac:dyDescent="0.3">
      <c r="A137" s="19" t="s">
        <v>47</v>
      </c>
      <c r="B137" s="10"/>
      <c r="C137" s="14">
        <v>46105</v>
      </c>
      <c r="D137" s="11"/>
      <c r="E137" s="11"/>
      <c r="F137" s="12">
        <f t="shared" si="3"/>
        <v>0</v>
      </c>
      <c r="G137" s="20"/>
      <c r="H137" s="20"/>
      <c r="I137" s="9"/>
      <c r="J137" s="24"/>
      <c r="K137" s="9"/>
    </row>
    <row r="138" spans="1:11" s="13" customFormat="1" ht="29.25" thickBot="1" x14ac:dyDescent="0.3">
      <c r="A138" s="19" t="s">
        <v>47</v>
      </c>
      <c r="B138" s="10"/>
      <c r="C138" s="14">
        <v>46105</v>
      </c>
      <c r="D138" s="11"/>
      <c r="E138" s="11"/>
      <c r="F138" s="12">
        <f t="shared" si="3"/>
        <v>0</v>
      </c>
      <c r="G138" s="20"/>
      <c r="H138" s="20"/>
      <c r="I138" s="9"/>
      <c r="J138" s="9"/>
      <c r="K138" s="9"/>
    </row>
    <row r="139" spans="1:11" s="13" customFormat="1" ht="29.25" thickBot="1" x14ac:dyDescent="0.3">
      <c r="A139" s="19" t="s">
        <v>47</v>
      </c>
      <c r="B139" s="10"/>
      <c r="C139" s="14">
        <v>46105</v>
      </c>
      <c r="D139" s="11"/>
      <c r="E139" s="11"/>
      <c r="F139" s="12">
        <f t="shared" si="3"/>
        <v>0</v>
      </c>
      <c r="G139" s="20"/>
      <c r="H139" s="20"/>
      <c r="I139" s="9"/>
      <c r="J139" s="9"/>
      <c r="K139" s="9"/>
    </row>
    <row r="140" spans="1:11" s="13" customFormat="1" ht="29.25" thickBot="1" x14ac:dyDescent="0.3">
      <c r="A140" s="19" t="s">
        <v>47</v>
      </c>
      <c r="B140" s="10"/>
      <c r="C140" s="14">
        <v>46105</v>
      </c>
      <c r="D140" s="11"/>
      <c r="E140" s="11"/>
      <c r="F140" s="12">
        <f t="shared" si="3"/>
        <v>0</v>
      </c>
      <c r="G140" s="20"/>
      <c r="H140" s="20"/>
      <c r="I140" s="9"/>
      <c r="J140" s="9"/>
      <c r="K140" s="9"/>
    </row>
    <row r="141" spans="1:11" s="13" customFormat="1" ht="29.25" thickBot="1" x14ac:dyDescent="0.3">
      <c r="A141" s="19" t="s">
        <v>47</v>
      </c>
      <c r="B141" s="10"/>
      <c r="C141" s="14">
        <v>46105</v>
      </c>
      <c r="D141" s="11"/>
      <c r="E141" s="11"/>
      <c r="F141" s="12">
        <f t="shared" si="3"/>
        <v>0</v>
      </c>
      <c r="G141" s="20"/>
      <c r="H141" s="20"/>
      <c r="I141" s="9"/>
      <c r="J141" s="9"/>
      <c r="K141" s="9"/>
    </row>
    <row r="142" spans="1:11" s="13" customFormat="1" ht="29.25" thickBot="1" x14ac:dyDescent="0.3">
      <c r="A142" s="19" t="s">
        <v>47</v>
      </c>
      <c r="B142" s="10"/>
      <c r="C142" s="14">
        <v>46105</v>
      </c>
      <c r="D142" s="11"/>
      <c r="E142" s="11"/>
      <c r="F142" s="12">
        <f t="shared" si="3"/>
        <v>0</v>
      </c>
      <c r="G142" s="20"/>
      <c r="H142" s="20"/>
      <c r="I142" s="9"/>
      <c r="J142" s="9"/>
      <c r="K142" s="9"/>
    </row>
    <row r="143" spans="1:11" s="13" customFormat="1" ht="29.25" thickBot="1" x14ac:dyDescent="0.3">
      <c r="A143" s="19" t="s">
        <v>47</v>
      </c>
      <c r="B143" s="10"/>
      <c r="C143" s="14">
        <v>46105</v>
      </c>
      <c r="D143" s="11"/>
      <c r="E143" s="11"/>
      <c r="F143" s="12">
        <f t="shared" si="3"/>
        <v>0</v>
      </c>
      <c r="G143" s="20"/>
      <c r="H143" s="20"/>
      <c r="I143" s="9"/>
      <c r="J143" s="9"/>
      <c r="K143" s="9"/>
    </row>
    <row r="144" spans="1:11" s="13" customFormat="1" ht="29.25" thickBot="1" x14ac:dyDescent="0.3">
      <c r="A144" s="19" t="s">
        <v>47</v>
      </c>
      <c r="B144" s="10"/>
      <c r="C144" s="14">
        <v>46105</v>
      </c>
      <c r="D144" s="11"/>
      <c r="E144" s="11"/>
      <c r="F144" s="12">
        <f t="shared" si="3"/>
        <v>0</v>
      </c>
      <c r="G144" s="20"/>
      <c r="H144" s="20"/>
      <c r="I144" s="9"/>
      <c r="J144" s="9"/>
      <c r="K144" s="9"/>
    </row>
    <row r="145" spans="1:11" s="13" customFormat="1" ht="29.25" thickBot="1" x14ac:dyDescent="0.3">
      <c r="A145" s="19" t="s">
        <v>47</v>
      </c>
      <c r="B145" s="10"/>
      <c r="C145" s="14">
        <v>46106</v>
      </c>
      <c r="D145" s="11"/>
      <c r="E145" s="11"/>
      <c r="F145" s="12">
        <f t="shared" si="3"/>
        <v>0</v>
      </c>
      <c r="G145" s="20"/>
      <c r="H145" s="20"/>
      <c r="I145" s="9"/>
      <c r="J145" s="9"/>
      <c r="K145" s="9"/>
    </row>
    <row r="146" spans="1:11" s="13" customFormat="1" ht="29.25" thickBot="1" x14ac:dyDescent="0.3">
      <c r="A146" s="19" t="s">
        <v>47</v>
      </c>
      <c r="B146" s="10"/>
      <c r="C146" s="14">
        <v>46106</v>
      </c>
      <c r="D146" s="11"/>
      <c r="E146" s="11"/>
      <c r="F146" s="12">
        <f t="shared" si="3"/>
        <v>0</v>
      </c>
      <c r="G146" s="20"/>
      <c r="H146" s="20"/>
      <c r="I146" s="9"/>
      <c r="J146" s="9"/>
      <c r="K146" s="9"/>
    </row>
    <row r="147" spans="1:11" s="13" customFormat="1" ht="29.25" thickBot="1" x14ac:dyDescent="0.3">
      <c r="A147" s="19" t="s">
        <v>47</v>
      </c>
      <c r="B147" s="10"/>
      <c r="C147" s="14">
        <v>46106</v>
      </c>
      <c r="D147" s="11"/>
      <c r="E147" s="11"/>
      <c r="F147" s="12">
        <f t="shared" si="3"/>
        <v>0</v>
      </c>
      <c r="G147" s="20"/>
      <c r="H147" s="20"/>
      <c r="I147" s="9"/>
      <c r="J147" s="9"/>
      <c r="K147" s="9"/>
    </row>
    <row r="148" spans="1:11" s="13" customFormat="1" ht="29.25" thickBot="1" x14ac:dyDescent="0.3">
      <c r="A148" s="19" t="s">
        <v>47</v>
      </c>
      <c r="B148" s="10"/>
      <c r="C148" s="14">
        <v>46106</v>
      </c>
      <c r="D148" s="11"/>
      <c r="E148" s="11"/>
      <c r="F148" s="12">
        <f t="shared" si="3"/>
        <v>0</v>
      </c>
      <c r="G148" s="20"/>
      <c r="H148" s="20"/>
      <c r="I148" s="9"/>
      <c r="J148" s="9"/>
      <c r="K148" s="9"/>
    </row>
    <row r="149" spans="1:11" s="13" customFormat="1" ht="29.25" thickBot="1" x14ac:dyDescent="0.3">
      <c r="A149" s="19" t="s">
        <v>47</v>
      </c>
      <c r="B149" s="10"/>
      <c r="C149" s="14">
        <v>46106</v>
      </c>
      <c r="D149" s="11"/>
      <c r="E149" s="11"/>
      <c r="F149" s="12">
        <f t="shared" si="3"/>
        <v>0</v>
      </c>
      <c r="G149" s="20"/>
      <c r="H149" s="20"/>
      <c r="I149" s="9"/>
      <c r="J149" s="9"/>
      <c r="K149" s="9"/>
    </row>
    <row r="150" spans="1:11" s="13" customFormat="1" ht="29.25" thickBot="1" x14ac:dyDescent="0.3">
      <c r="A150" s="19" t="s">
        <v>47</v>
      </c>
      <c r="B150" s="10"/>
      <c r="C150" s="14">
        <v>46106</v>
      </c>
      <c r="D150" s="11"/>
      <c r="E150" s="11"/>
      <c r="F150" s="12">
        <f t="shared" si="3"/>
        <v>0</v>
      </c>
      <c r="G150" s="20"/>
      <c r="H150" s="20"/>
      <c r="I150" s="9"/>
      <c r="J150" s="9"/>
      <c r="K150" s="9"/>
    </row>
    <row r="151" spans="1:11" s="13" customFormat="1" ht="29.25" thickBot="1" x14ac:dyDescent="0.3">
      <c r="A151" s="19" t="s">
        <v>47</v>
      </c>
      <c r="B151" s="10"/>
      <c r="C151" s="14">
        <v>46106</v>
      </c>
      <c r="D151" s="11"/>
      <c r="E151" s="11"/>
      <c r="F151" s="12">
        <f t="shared" si="3"/>
        <v>0</v>
      </c>
      <c r="G151" s="20"/>
      <c r="H151" s="20"/>
      <c r="I151" s="9"/>
      <c r="J151" s="9"/>
      <c r="K151" s="9"/>
    </row>
    <row r="152" spans="1:11" s="13" customFormat="1" ht="29.25" thickBot="1" x14ac:dyDescent="0.3">
      <c r="A152" s="19" t="s">
        <v>47</v>
      </c>
      <c r="B152" s="10"/>
      <c r="C152" s="14">
        <v>46106</v>
      </c>
      <c r="D152" s="11"/>
      <c r="E152" s="11"/>
      <c r="F152" s="12">
        <f t="shared" si="3"/>
        <v>0</v>
      </c>
      <c r="G152" s="20"/>
      <c r="H152" s="20"/>
      <c r="I152" s="9"/>
      <c r="J152" s="9"/>
      <c r="K152" s="9"/>
    </row>
    <row r="153" spans="1:11" s="13" customFormat="1" ht="29.25" thickBot="1" x14ac:dyDescent="0.3">
      <c r="A153" s="19" t="s">
        <v>47</v>
      </c>
      <c r="B153" s="10"/>
      <c r="C153" s="14">
        <v>46107</v>
      </c>
      <c r="D153" s="11"/>
      <c r="E153" s="11"/>
      <c r="F153" s="12">
        <f t="shared" si="3"/>
        <v>0</v>
      </c>
      <c r="G153" s="20"/>
      <c r="H153" s="20"/>
      <c r="I153" s="9"/>
      <c r="J153" s="9"/>
      <c r="K153" s="9"/>
    </row>
    <row r="154" spans="1:11" s="13" customFormat="1" ht="29.25" thickBot="1" x14ac:dyDescent="0.3">
      <c r="A154" s="19" t="s">
        <v>47</v>
      </c>
      <c r="B154" s="10"/>
      <c r="C154" s="14">
        <v>46107</v>
      </c>
      <c r="D154" s="11"/>
      <c r="E154" s="11"/>
      <c r="F154" s="12">
        <f t="shared" si="3"/>
        <v>0</v>
      </c>
      <c r="G154" s="20"/>
      <c r="H154" s="20"/>
      <c r="I154" s="9"/>
      <c r="J154" s="9"/>
      <c r="K154" s="9"/>
    </row>
    <row r="155" spans="1:11" s="13" customFormat="1" ht="29.25" thickBot="1" x14ac:dyDescent="0.3">
      <c r="A155" s="19" t="s">
        <v>47</v>
      </c>
      <c r="B155" s="10"/>
      <c r="C155" s="14">
        <v>46107</v>
      </c>
      <c r="D155" s="11"/>
      <c r="E155" s="11"/>
      <c r="F155" s="12">
        <f t="shared" si="3"/>
        <v>0</v>
      </c>
      <c r="G155" s="20"/>
      <c r="H155" s="20"/>
      <c r="I155" s="9"/>
      <c r="J155" s="9"/>
      <c r="K155" s="9"/>
    </row>
    <row r="156" spans="1:11" s="13" customFormat="1" ht="29.25" thickBot="1" x14ac:dyDescent="0.3">
      <c r="A156" s="19" t="s">
        <v>47</v>
      </c>
      <c r="B156" s="10"/>
      <c r="C156" s="14">
        <v>46107</v>
      </c>
      <c r="D156" s="11"/>
      <c r="E156" s="11"/>
      <c r="F156" s="12">
        <f t="shared" si="3"/>
        <v>0</v>
      </c>
      <c r="G156" s="20"/>
      <c r="H156" s="20"/>
      <c r="I156" s="9"/>
      <c r="J156" s="9"/>
      <c r="K156" s="9"/>
    </row>
    <row r="157" spans="1:11" s="13" customFormat="1" ht="29.25" thickBot="1" x14ac:dyDescent="0.3">
      <c r="A157" s="19" t="s">
        <v>47</v>
      </c>
      <c r="B157" s="10"/>
      <c r="C157" s="14">
        <v>46107</v>
      </c>
      <c r="D157" s="11"/>
      <c r="E157" s="11"/>
      <c r="F157" s="12">
        <f t="shared" si="3"/>
        <v>0</v>
      </c>
      <c r="G157" s="20"/>
      <c r="H157" s="20"/>
      <c r="I157" s="9"/>
      <c r="J157" s="9"/>
      <c r="K157" s="9"/>
    </row>
    <row r="158" spans="1:11" s="13" customFormat="1" ht="29.25" thickBot="1" x14ac:dyDescent="0.3">
      <c r="A158" s="19" t="s">
        <v>47</v>
      </c>
      <c r="B158" s="10"/>
      <c r="C158" s="14">
        <v>46107</v>
      </c>
      <c r="D158" s="11"/>
      <c r="E158" s="11"/>
      <c r="F158" s="12">
        <f t="shared" si="3"/>
        <v>0</v>
      </c>
      <c r="G158" s="20"/>
      <c r="H158" s="20"/>
      <c r="I158" s="9"/>
      <c r="J158" s="9"/>
      <c r="K158" s="9"/>
    </row>
    <row r="159" spans="1:11" s="13" customFormat="1" ht="29.25" thickBot="1" x14ac:dyDescent="0.3">
      <c r="A159" s="19" t="s">
        <v>47</v>
      </c>
      <c r="B159" s="10"/>
      <c r="C159" s="14">
        <v>46107</v>
      </c>
      <c r="D159" s="11"/>
      <c r="E159" s="11"/>
      <c r="F159" s="12">
        <f t="shared" si="3"/>
        <v>0</v>
      </c>
      <c r="G159" s="20"/>
      <c r="H159" s="20"/>
      <c r="I159" s="9"/>
      <c r="J159" s="9"/>
      <c r="K159" s="9"/>
    </row>
    <row r="160" spans="1:11" s="13" customFormat="1" ht="29.25" thickBot="1" x14ac:dyDescent="0.3">
      <c r="A160" s="19" t="s">
        <v>47</v>
      </c>
      <c r="B160" s="10"/>
      <c r="C160" s="14">
        <v>46107</v>
      </c>
      <c r="D160" s="11"/>
      <c r="E160" s="11"/>
      <c r="F160" s="12">
        <f t="shared" si="3"/>
        <v>0</v>
      </c>
      <c r="G160" s="20"/>
      <c r="H160" s="20"/>
      <c r="I160" s="9"/>
      <c r="J160" s="9"/>
      <c r="K160" s="9"/>
    </row>
    <row r="161" spans="1:11" s="13" customFormat="1" ht="29.25" thickBot="1" x14ac:dyDescent="0.3">
      <c r="A161" s="19" t="s">
        <v>47</v>
      </c>
      <c r="B161" s="10"/>
      <c r="C161" s="14">
        <v>46108</v>
      </c>
      <c r="D161" s="11"/>
      <c r="E161" s="11"/>
      <c r="F161" s="12">
        <f t="shared" si="3"/>
        <v>0</v>
      </c>
      <c r="G161" s="20"/>
      <c r="H161" s="20"/>
      <c r="I161" s="9"/>
      <c r="J161" s="9"/>
      <c r="K161" s="9"/>
    </row>
    <row r="162" spans="1:11" s="13" customFormat="1" ht="29.25" thickBot="1" x14ac:dyDescent="0.3">
      <c r="A162" s="19" t="s">
        <v>47</v>
      </c>
      <c r="B162" s="10"/>
      <c r="C162" s="14">
        <v>46108</v>
      </c>
      <c r="D162" s="11"/>
      <c r="E162" s="11"/>
      <c r="F162" s="12">
        <f t="shared" si="3"/>
        <v>0</v>
      </c>
      <c r="G162" s="20"/>
      <c r="H162" s="20"/>
      <c r="I162" s="9"/>
      <c r="J162" s="9"/>
      <c r="K162" s="9"/>
    </row>
    <row r="163" spans="1:11" s="13" customFormat="1" ht="29.25" thickBot="1" x14ac:dyDescent="0.3">
      <c r="A163" s="19" t="s">
        <v>47</v>
      </c>
      <c r="B163" s="10"/>
      <c r="C163" s="14">
        <v>46108</v>
      </c>
      <c r="D163" s="11"/>
      <c r="E163" s="11"/>
      <c r="F163" s="12">
        <f t="shared" si="3"/>
        <v>0</v>
      </c>
      <c r="G163" s="20"/>
      <c r="H163" s="20"/>
      <c r="I163" s="9"/>
      <c r="J163" s="9"/>
      <c r="K163" s="9"/>
    </row>
    <row r="164" spans="1:11" s="13" customFormat="1" ht="29.25" thickBot="1" x14ac:dyDescent="0.3">
      <c r="A164" s="19" t="s">
        <v>47</v>
      </c>
      <c r="B164" s="10"/>
      <c r="C164" s="14">
        <v>46108</v>
      </c>
      <c r="D164" s="11"/>
      <c r="E164" s="11"/>
      <c r="F164" s="12">
        <f t="shared" si="3"/>
        <v>0</v>
      </c>
      <c r="G164" s="20"/>
      <c r="H164" s="20"/>
      <c r="I164" s="9"/>
      <c r="J164" s="9"/>
      <c r="K164" s="9"/>
    </row>
    <row r="165" spans="1:11" s="13" customFormat="1" ht="29.25" thickBot="1" x14ac:dyDescent="0.3">
      <c r="A165" s="19" t="s">
        <v>47</v>
      </c>
      <c r="B165" s="10"/>
      <c r="C165" s="14">
        <v>46108</v>
      </c>
      <c r="D165" s="11"/>
      <c r="E165" s="11"/>
      <c r="F165" s="12">
        <f t="shared" si="3"/>
        <v>0</v>
      </c>
      <c r="G165" s="20"/>
      <c r="H165" s="20"/>
      <c r="I165" s="9"/>
      <c r="J165" s="9"/>
      <c r="K165" s="9"/>
    </row>
    <row r="166" spans="1:11" s="13" customFormat="1" ht="29.25" thickBot="1" x14ac:dyDescent="0.3">
      <c r="A166" s="19" t="s">
        <v>47</v>
      </c>
      <c r="B166" s="10"/>
      <c r="C166" s="14">
        <v>46108</v>
      </c>
      <c r="D166" s="11"/>
      <c r="E166" s="11"/>
      <c r="F166" s="12">
        <f t="shared" si="3"/>
        <v>0</v>
      </c>
      <c r="G166" s="20"/>
      <c r="H166" s="20"/>
      <c r="I166" s="9"/>
      <c r="J166" s="9"/>
      <c r="K166" s="9"/>
    </row>
    <row r="167" spans="1:11" s="13" customFormat="1" ht="29.25" thickBot="1" x14ac:dyDescent="0.3">
      <c r="A167" s="19" t="s">
        <v>47</v>
      </c>
      <c r="B167" s="10"/>
      <c r="C167" s="14">
        <v>46108</v>
      </c>
      <c r="D167" s="11"/>
      <c r="E167" s="11"/>
      <c r="F167" s="12">
        <f t="shared" si="3"/>
        <v>0</v>
      </c>
      <c r="G167" s="20"/>
      <c r="H167" s="20"/>
      <c r="I167" s="9"/>
      <c r="J167" s="9"/>
      <c r="K167" s="9"/>
    </row>
    <row r="168" spans="1:11" s="13" customFormat="1" ht="29.25" thickBot="1" x14ac:dyDescent="0.3">
      <c r="A168" s="19" t="s">
        <v>47</v>
      </c>
      <c r="B168" s="10"/>
      <c r="C168" s="14">
        <v>46108</v>
      </c>
      <c r="D168" s="11"/>
      <c r="E168" s="11"/>
      <c r="F168" s="12">
        <f t="shared" si="3"/>
        <v>0</v>
      </c>
      <c r="G168" s="20"/>
      <c r="H168" s="20"/>
      <c r="I168" s="9"/>
      <c r="J168" s="9"/>
      <c r="K168" s="9"/>
    </row>
    <row r="169" spans="1:11" s="13" customFormat="1" ht="29.25" thickBot="1" x14ac:dyDescent="0.3">
      <c r="A169" s="19" t="s">
        <v>47</v>
      </c>
      <c r="B169" s="10"/>
      <c r="C169" s="14">
        <v>46109</v>
      </c>
      <c r="D169" s="11">
        <v>0.35416666666666669</v>
      </c>
      <c r="E169" s="11">
        <v>0.6875</v>
      </c>
      <c r="F169" s="12">
        <f t="shared" si="3"/>
        <v>8</v>
      </c>
      <c r="G169" s="20" t="s">
        <v>21</v>
      </c>
      <c r="H169" s="20" t="s">
        <v>30</v>
      </c>
      <c r="I169" s="9"/>
      <c r="J169" s="9" t="s">
        <v>71</v>
      </c>
      <c r="K169" s="9"/>
    </row>
    <row r="170" spans="1:11" s="13" customFormat="1" ht="29.25" thickBot="1" x14ac:dyDescent="0.3">
      <c r="A170" s="19" t="s">
        <v>47</v>
      </c>
      <c r="B170" s="10"/>
      <c r="C170" s="14">
        <v>46109</v>
      </c>
      <c r="D170" s="11">
        <v>0.35416666666666669</v>
      </c>
      <c r="E170" s="11">
        <v>0.6875</v>
      </c>
      <c r="F170" s="12">
        <f t="shared" si="3"/>
        <v>8</v>
      </c>
      <c r="G170" s="20" t="s">
        <v>21</v>
      </c>
      <c r="H170" s="20" t="s">
        <v>30</v>
      </c>
      <c r="I170" s="9"/>
      <c r="J170" s="9" t="s">
        <v>71</v>
      </c>
      <c r="K170" s="9"/>
    </row>
    <row r="171" spans="1:11" s="13" customFormat="1" ht="29.25" thickBot="1" x14ac:dyDescent="0.3">
      <c r="A171" s="19" t="s">
        <v>47</v>
      </c>
      <c r="B171" s="10"/>
      <c r="C171" s="14">
        <v>46110</v>
      </c>
      <c r="D171" s="11"/>
      <c r="E171" s="11"/>
      <c r="F171" s="12">
        <f>+(E171-D171)*24</f>
        <v>0</v>
      </c>
      <c r="G171" s="20"/>
      <c r="H171" s="20"/>
      <c r="I171" s="9"/>
      <c r="J171" s="9"/>
      <c r="K171" s="9"/>
    </row>
    <row r="172" spans="1:11" s="13" customFormat="1" ht="29.25" thickBot="1" x14ac:dyDescent="0.3">
      <c r="A172" s="19" t="s">
        <v>47</v>
      </c>
      <c r="B172" s="10"/>
      <c r="C172" s="14">
        <v>46110</v>
      </c>
      <c r="D172" s="11"/>
      <c r="E172" s="11"/>
      <c r="F172" s="12">
        <f>+(E172-D172)*24</f>
        <v>0</v>
      </c>
      <c r="G172" s="20"/>
      <c r="H172" s="20"/>
      <c r="I172" s="9"/>
      <c r="J172" s="9"/>
      <c r="K172" s="9"/>
    </row>
    <row r="173" spans="1:11" s="13" customFormat="1" ht="29.25" thickBot="1" x14ac:dyDescent="0.3">
      <c r="A173" s="19" t="s">
        <v>47</v>
      </c>
      <c r="B173" s="10"/>
      <c r="C173" s="14">
        <v>46110</v>
      </c>
      <c r="D173" s="11"/>
      <c r="E173" s="11"/>
      <c r="F173" s="12">
        <f>+(E173-D173)*24</f>
        <v>0</v>
      </c>
      <c r="G173" s="20"/>
      <c r="H173" s="20"/>
      <c r="I173" s="9"/>
      <c r="J173" s="9"/>
      <c r="K173" s="9"/>
    </row>
    <row r="174" spans="1:11" s="13" customFormat="1" ht="29.25" thickBot="1" x14ac:dyDescent="0.3">
      <c r="A174" s="19" t="s">
        <v>47</v>
      </c>
      <c r="B174" s="10"/>
      <c r="C174" s="14">
        <v>46110</v>
      </c>
      <c r="D174" s="11"/>
      <c r="E174" s="11"/>
      <c r="F174" s="12">
        <f t="shared" ref="F174:F194" si="4">+(E174-D174)*24</f>
        <v>0</v>
      </c>
      <c r="G174" s="20"/>
      <c r="H174" s="20"/>
      <c r="I174" s="9"/>
      <c r="J174" s="9"/>
      <c r="K174" s="9"/>
    </row>
    <row r="175" spans="1:11" s="13" customFormat="1" ht="29.25" thickBot="1" x14ac:dyDescent="0.3">
      <c r="A175" s="19" t="s">
        <v>47</v>
      </c>
      <c r="B175" s="10"/>
      <c r="C175" s="14">
        <v>46110</v>
      </c>
      <c r="D175" s="11"/>
      <c r="E175" s="11"/>
      <c r="F175" s="12">
        <f t="shared" si="4"/>
        <v>0</v>
      </c>
      <c r="G175" s="20"/>
      <c r="H175" s="20"/>
      <c r="I175" s="9"/>
      <c r="J175" s="9"/>
      <c r="K175" s="9"/>
    </row>
    <row r="176" spans="1:11" s="13" customFormat="1" ht="29.25" thickBot="1" x14ac:dyDescent="0.3">
      <c r="A176" s="19" t="s">
        <v>47</v>
      </c>
      <c r="B176" s="10"/>
      <c r="C176" s="14">
        <v>46110</v>
      </c>
      <c r="D176" s="11"/>
      <c r="E176" s="11"/>
      <c r="F176" s="12">
        <f t="shared" si="4"/>
        <v>0</v>
      </c>
      <c r="G176" s="20"/>
      <c r="H176" s="20"/>
      <c r="I176" s="9"/>
      <c r="J176" s="9"/>
      <c r="K176" s="9"/>
    </row>
    <row r="177" spans="1:11" s="13" customFormat="1" ht="29.25" thickBot="1" x14ac:dyDescent="0.3">
      <c r="A177" s="19" t="s">
        <v>47</v>
      </c>
      <c r="B177" s="10"/>
      <c r="C177" s="14">
        <v>46110</v>
      </c>
      <c r="D177" s="11"/>
      <c r="E177" s="11"/>
      <c r="F177" s="12">
        <f t="shared" si="4"/>
        <v>0</v>
      </c>
      <c r="G177" s="20"/>
      <c r="H177" s="20"/>
      <c r="I177" s="9"/>
      <c r="J177" s="9"/>
      <c r="K177" s="9"/>
    </row>
    <row r="178" spans="1:11" s="13" customFormat="1" ht="29.25" thickBot="1" x14ac:dyDescent="0.3">
      <c r="A178" s="19" t="s">
        <v>47</v>
      </c>
      <c r="B178" s="10"/>
      <c r="C178" s="14">
        <v>46110</v>
      </c>
      <c r="D178" s="11"/>
      <c r="E178" s="11"/>
      <c r="F178" s="12">
        <f t="shared" si="4"/>
        <v>0</v>
      </c>
      <c r="G178" s="20"/>
      <c r="H178" s="20"/>
      <c r="I178" s="9"/>
      <c r="J178" s="24"/>
      <c r="K178" s="9"/>
    </row>
    <row r="179" spans="1:11" s="13" customFormat="1" ht="29.25" thickBot="1" x14ac:dyDescent="0.3">
      <c r="A179" s="19" t="s">
        <v>47</v>
      </c>
      <c r="B179" s="10"/>
      <c r="C179" s="14">
        <v>46111</v>
      </c>
      <c r="D179" s="11"/>
      <c r="E179" s="11"/>
      <c r="F179" s="12">
        <f t="shared" si="4"/>
        <v>0</v>
      </c>
      <c r="G179" s="20"/>
      <c r="H179" s="20"/>
      <c r="I179" s="9"/>
      <c r="J179" s="24"/>
      <c r="K179" s="9"/>
    </row>
    <row r="180" spans="1:11" s="13" customFormat="1" ht="29.25" thickBot="1" x14ac:dyDescent="0.3">
      <c r="A180" s="19" t="s">
        <v>47</v>
      </c>
      <c r="B180" s="10"/>
      <c r="C180" s="14">
        <v>46111</v>
      </c>
      <c r="D180" s="11"/>
      <c r="E180" s="11"/>
      <c r="F180" s="12">
        <f t="shared" si="4"/>
        <v>0</v>
      </c>
      <c r="G180" s="20"/>
      <c r="H180" s="20"/>
      <c r="I180" s="9"/>
      <c r="J180" s="9"/>
      <c r="K180" s="9"/>
    </row>
    <row r="181" spans="1:11" s="13" customFormat="1" ht="29.25" thickBot="1" x14ac:dyDescent="0.3">
      <c r="A181" s="19" t="s">
        <v>47</v>
      </c>
      <c r="B181" s="10"/>
      <c r="C181" s="14">
        <v>46111</v>
      </c>
      <c r="D181" s="11"/>
      <c r="E181" s="11"/>
      <c r="F181" s="12">
        <f t="shared" si="4"/>
        <v>0</v>
      </c>
      <c r="G181" s="20"/>
      <c r="H181" s="20"/>
      <c r="I181" s="9"/>
      <c r="J181" s="9"/>
      <c r="K181" s="9"/>
    </row>
    <row r="182" spans="1:11" s="13" customFormat="1" ht="29.25" thickBot="1" x14ac:dyDescent="0.3">
      <c r="A182" s="19" t="s">
        <v>47</v>
      </c>
      <c r="B182" s="10"/>
      <c r="C182" s="14">
        <v>46111</v>
      </c>
      <c r="D182" s="11"/>
      <c r="E182" s="11"/>
      <c r="F182" s="12">
        <f t="shared" si="4"/>
        <v>0</v>
      </c>
      <c r="G182" s="20"/>
      <c r="H182" s="20"/>
      <c r="I182" s="9"/>
      <c r="J182" s="9"/>
      <c r="K182" s="9"/>
    </row>
    <row r="183" spans="1:11" s="13" customFormat="1" ht="29.25" thickBot="1" x14ac:dyDescent="0.3">
      <c r="A183" s="19" t="s">
        <v>47</v>
      </c>
      <c r="B183" s="10"/>
      <c r="C183" s="14">
        <v>46111</v>
      </c>
      <c r="D183" s="11"/>
      <c r="E183" s="11"/>
      <c r="F183" s="12">
        <f t="shared" si="4"/>
        <v>0</v>
      </c>
      <c r="G183" s="20"/>
      <c r="H183" s="20"/>
      <c r="I183" s="9"/>
      <c r="J183" s="9"/>
      <c r="K183" s="9"/>
    </row>
    <row r="184" spans="1:11" s="13" customFormat="1" ht="29.25" thickBot="1" x14ac:dyDescent="0.3">
      <c r="A184" s="19" t="s">
        <v>47</v>
      </c>
      <c r="B184" s="10"/>
      <c r="C184" s="14">
        <v>46111</v>
      </c>
      <c r="D184" s="11"/>
      <c r="E184" s="11"/>
      <c r="F184" s="12">
        <f t="shared" si="4"/>
        <v>0</v>
      </c>
      <c r="G184" s="20"/>
      <c r="H184" s="20"/>
      <c r="I184" s="9"/>
      <c r="J184" s="9"/>
      <c r="K184" s="9"/>
    </row>
    <row r="185" spans="1:11" s="13" customFormat="1" ht="29.25" thickBot="1" x14ac:dyDescent="0.3">
      <c r="A185" s="19" t="s">
        <v>47</v>
      </c>
      <c r="B185" s="10"/>
      <c r="C185" s="14">
        <v>46111</v>
      </c>
      <c r="D185" s="11"/>
      <c r="E185" s="11"/>
      <c r="F185" s="12">
        <f t="shared" si="4"/>
        <v>0</v>
      </c>
      <c r="G185" s="20"/>
      <c r="H185" s="20"/>
      <c r="I185" s="9"/>
      <c r="J185" s="9"/>
      <c r="K185" s="9"/>
    </row>
    <row r="186" spans="1:11" s="13" customFormat="1" ht="29.25" thickBot="1" x14ac:dyDescent="0.3">
      <c r="A186" s="19" t="s">
        <v>47</v>
      </c>
      <c r="B186" s="10"/>
      <c r="C186" s="14">
        <v>46111</v>
      </c>
      <c r="D186" s="11"/>
      <c r="E186" s="11"/>
      <c r="F186" s="12">
        <f t="shared" si="4"/>
        <v>0</v>
      </c>
      <c r="G186" s="20"/>
      <c r="H186" s="20"/>
      <c r="I186" s="9"/>
      <c r="J186" s="9"/>
      <c r="K186" s="9"/>
    </row>
    <row r="187" spans="1:11" s="13" customFormat="1" ht="29.25" thickBot="1" x14ac:dyDescent="0.3">
      <c r="A187" s="19" t="s">
        <v>47</v>
      </c>
      <c r="B187" s="10"/>
      <c r="C187" s="14">
        <v>46112</v>
      </c>
      <c r="D187" s="11"/>
      <c r="E187" s="11"/>
      <c r="F187" s="12">
        <f t="shared" si="4"/>
        <v>0</v>
      </c>
      <c r="G187" s="20"/>
      <c r="H187" s="20"/>
      <c r="I187" s="9"/>
      <c r="J187" s="9"/>
      <c r="K187" s="9"/>
    </row>
    <row r="188" spans="1:11" s="13" customFormat="1" ht="29.25" thickBot="1" x14ac:dyDescent="0.3">
      <c r="A188" s="19" t="s">
        <v>47</v>
      </c>
      <c r="B188" s="10"/>
      <c r="C188" s="14">
        <v>46112</v>
      </c>
      <c r="D188" s="11"/>
      <c r="E188" s="11"/>
      <c r="F188" s="12">
        <f t="shared" si="4"/>
        <v>0</v>
      </c>
      <c r="G188" s="20"/>
      <c r="H188" s="20"/>
      <c r="I188" s="9"/>
      <c r="J188" s="9"/>
      <c r="K188" s="9"/>
    </row>
    <row r="189" spans="1:11" s="13" customFormat="1" ht="29.25" thickBot="1" x14ac:dyDescent="0.3">
      <c r="A189" s="19" t="s">
        <v>47</v>
      </c>
      <c r="B189" s="10"/>
      <c r="C189" s="14">
        <v>46112</v>
      </c>
      <c r="D189" s="11"/>
      <c r="E189" s="11"/>
      <c r="F189" s="12">
        <f t="shared" si="4"/>
        <v>0</v>
      </c>
      <c r="G189" s="20"/>
      <c r="H189" s="20"/>
      <c r="I189" s="9"/>
      <c r="J189" s="9"/>
      <c r="K189" s="9"/>
    </row>
    <row r="190" spans="1:11" s="13" customFormat="1" ht="29.25" thickBot="1" x14ac:dyDescent="0.3">
      <c r="A190" s="19" t="s">
        <v>47</v>
      </c>
      <c r="B190" s="10"/>
      <c r="C190" s="14">
        <v>46112</v>
      </c>
      <c r="D190" s="11"/>
      <c r="E190" s="11"/>
      <c r="F190" s="12">
        <f t="shared" si="4"/>
        <v>0</v>
      </c>
      <c r="G190" s="20"/>
      <c r="H190" s="20"/>
      <c r="I190" s="9"/>
      <c r="J190" s="9"/>
      <c r="K190" s="9"/>
    </row>
    <row r="191" spans="1:11" s="13" customFormat="1" ht="29.25" thickBot="1" x14ac:dyDescent="0.3">
      <c r="A191" s="19" t="s">
        <v>47</v>
      </c>
      <c r="B191" s="10"/>
      <c r="C191" s="14">
        <v>46112</v>
      </c>
      <c r="D191" s="11"/>
      <c r="E191" s="11"/>
      <c r="F191" s="12">
        <f t="shared" si="4"/>
        <v>0</v>
      </c>
      <c r="G191" s="20"/>
      <c r="H191" s="20"/>
      <c r="I191" s="9"/>
      <c r="J191" s="9"/>
      <c r="K191" s="9"/>
    </row>
    <row r="192" spans="1:11" s="13" customFormat="1" ht="29.25" thickBot="1" x14ac:dyDescent="0.3">
      <c r="A192" s="19" t="s">
        <v>47</v>
      </c>
      <c r="B192" s="10"/>
      <c r="C192" s="14">
        <v>46112</v>
      </c>
      <c r="D192" s="11"/>
      <c r="E192" s="11"/>
      <c r="F192" s="12">
        <f t="shared" si="4"/>
        <v>0</v>
      </c>
      <c r="G192" s="20"/>
      <c r="H192" s="20"/>
      <c r="I192" s="9"/>
      <c r="J192" s="9"/>
      <c r="K192" s="9"/>
    </row>
    <row r="193" spans="1:11" s="13" customFormat="1" ht="29.25" thickBot="1" x14ac:dyDescent="0.3">
      <c r="A193" s="19" t="s">
        <v>47</v>
      </c>
      <c r="B193" s="10"/>
      <c r="C193" s="14">
        <v>46112</v>
      </c>
      <c r="D193" s="11"/>
      <c r="E193" s="11"/>
      <c r="F193" s="12">
        <f t="shared" si="4"/>
        <v>0</v>
      </c>
      <c r="G193" s="20"/>
      <c r="H193" s="20"/>
      <c r="I193" s="9"/>
      <c r="J193" s="9"/>
      <c r="K193" s="9"/>
    </row>
    <row r="194" spans="1:11" s="13" customFormat="1" ht="29.25" thickBot="1" x14ac:dyDescent="0.3">
      <c r="A194" s="19" t="s">
        <v>47</v>
      </c>
      <c r="B194" s="10"/>
      <c r="C194" s="14">
        <v>46112</v>
      </c>
      <c r="D194" s="11"/>
      <c r="E194" s="11"/>
      <c r="F194" s="12">
        <f t="shared" si="4"/>
        <v>0</v>
      </c>
      <c r="G194" s="20"/>
      <c r="H194" s="20"/>
      <c r="I194" s="9"/>
      <c r="J194" s="9"/>
      <c r="K194" s="9"/>
    </row>
    <row r="195" spans="1:11" s="13" customFormat="1" ht="29.25" thickBot="1" x14ac:dyDescent="0.3">
      <c r="A195" s="19" t="s">
        <v>47</v>
      </c>
      <c r="B195" s="10"/>
      <c r="C195" s="14"/>
      <c r="D195" s="11"/>
      <c r="E195" s="11"/>
      <c r="F195" s="12">
        <f>+(E195-D195)*24</f>
        <v>0</v>
      </c>
      <c r="G195" s="20"/>
      <c r="H195" s="20"/>
      <c r="I195" s="9"/>
      <c r="J195" s="9"/>
      <c r="K195" s="9"/>
    </row>
    <row r="196" spans="1:11" s="13" customFormat="1" ht="29.25" thickBot="1" x14ac:dyDescent="0.3">
      <c r="A196" s="19" t="s">
        <v>47</v>
      </c>
      <c r="B196" s="10"/>
      <c r="C196" s="14"/>
      <c r="D196" s="11"/>
      <c r="E196" s="11"/>
      <c r="F196" s="12">
        <f>+(E196-D196)*24</f>
        <v>0</v>
      </c>
      <c r="G196" s="20"/>
      <c r="H196" s="20"/>
      <c r="I196" s="9"/>
      <c r="J196" s="9"/>
      <c r="K196" s="9"/>
    </row>
    <row r="197" spans="1:11" s="13" customFormat="1" ht="29.25" thickBot="1" x14ac:dyDescent="0.3">
      <c r="A197" s="19" t="s">
        <v>47</v>
      </c>
      <c r="B197" s="10"/>
      <c r="C197" s="14"/>
      <c r="D197" s="11"/>
      <c r="E197" s="11"/>
      <c r="F197" s="12">
        <f>+(E197-D197)*24</f>
        <v>0</v>
      </c>
      <c r="G197" s="20"/>
      <c r="H197" s="20"/>
      <c r="I197" s="9"/>
      <c r="J197" s="9"/>
      <c r="K197" s="9"/>
    </row>
    <row r="198" spans="1:11" s="13" customFormat="1" ht="29.25" thickBot="1" x14ac:dyDescent="0.3">
      <c r="A198" s="19" t="s">
        <v>47</v>
      </c>
      <c r="B198" s="10"/>
      <c r="C198" s="14"/>
      <c r="D198" s="11"/>
      <c r="E198" s="11"/>
      <c r="F198" s="12">
        <f t="shared" ref="F198:F261" si="5">+(E198-D198)*24</f>
        <v>0</v>
      </c>
      <c r="G198" s="20"/>
      <c r="H198" s="20"/>
      <c r="I198" s="9"/>
      <c r="J198" s="9"/>
      <c r="K198" s="9"/>
    </row>
    <row r="199" spans="1:11" s="13" customFormat="1" ht="29.25" thickBot="1" x14ac:dyDescent="0.3">
      <c r="A199" s="19" t="s">
        <v>47</v>
      </c>
      <c r="B199" s="10"/>
      <c r="C199" s="14"/>
      <c r="D199" s="11"/>
      <c r="E199" s="11"/>
      <c r="F199" s="12">
        <f t="shared" si="5"/>
        <v>0</v>
      </c>
      <c r="G199" s="20"/>
      <c r="H199" s="20"/>
      <c r="I199" s="9"/>
      <c r="J199" s="9"/>
      <c r="K199" s="9"/>
    </row>
    <row r="200" spans="1:11" s="13" customFormat="1" ht="29.25" thickBot="1" x14ac:dyDescent="0.3">
      <c r="A200" s="19" t="s">
        <v>47</v>
      </c>
      <c r="B200" s="10"/>
      <c r="C200" s="14"/>
      <c r="D200" s="11"/>
      <c r="E200" s="11"/>
      <c r="F200" s="12">
        <f t="shared" si="5"/>
        <v>0</v>
      </c>
      <c r="G200" s="20"/>
      <c r="H200" s="20"/>
      <c r="I200" s="9"/>
      <c r="J200" s="9"/>
      <c r="K200" s="9"/>
    </row>
    <row r="201" spans="1:11" s="13" customFormat="1" ht="29.25" thickBot="1" x14ac:dyDescent="0.3">
      <c r="A201" s="19" t="s">
        <v>47</v>
      </c>
      <c r="B201" s="10"/>
      <c r="C201" s="14"/>
      <c r="D201" s="11"/>
      <c r="E201" s="11"/>
      <c r="F201" s="12">
        <f t="shared" si="5"/>
        <v>0</v>
      </c>
      <c r="G201" s="20"/>
      <c r="H201" s="20"/>
      <c r="I201" s="9"/>
      <c r="J201" s="9"/>
      <c r="K201" s="9"/>
    </row>
    <row r="202" spans="1:11" s="13" customFormat="1" ht="29.25" thickBot="1" x14ac:dyDescent="0.3">
      <c r="A202" s="19" t="s">
        <v>47</v>
      </c>
      <c r="B202" s="10"/>
      <c r="C202" s="14"/>
      <c r="D202" s="11"/>
      <c r="E202" s="11"/>
      <c r="F202" s="12">
        <f t="shared" si="5"/>
        <v>0</v>
      </c>
      <c r="G202" s="20"/>
      <c r="H202" s="20"/>
      <c r="I202" s="9"/>
      <c r="J202" s="9"/>
      <c r="K202" s="9"/>
    </row>
    <row r="203" spans="1:11" s="13" customFormat="1" ht="29.25" thickBot="1" x14ac:dyDescent="0.3">
      <c r="A203" s="19" t="s">
        <v>47</v>
      </c>
      <c r="B203" s="10"/>
      <c r="C203" s="14"/>
      <c r="D203" s="11"/>
      <c r="E203" s="11"/>
      <c r="F203" s="12">
        <f t="shared" si="5"/>
        <v>0</v>
      </c>
      <c r="G203" s="20"/>
      <c r="H203" s="20"/>
      <c r="I203" s="9"/>
      <c r="J203" s="9"/>
      <c r="K203" s="9"/>
    </row>
    <row r="204" spans="1:11" s="13" customFormat="1" ht="29.25" thickBot="1" x14ac:dyDescent="0.3">
      <c r="A204" s="19" t="s">
        <v>47</v>
      </c>
      <c r="B204" s="10"/>
      <c r="C204" s="14"/>
      <c r="D204" s="11"/>
      <c r="E204" s="11"/>
      <c r="F204" s="12">
        <f t="shared" si="5"/>
        <v>0</v>
      </c>
      <c r="G204" s="20"/>
      <c r="H204" s="20"/>
      <c r="I204" s="9"/>
      <c r="J204" s="9"/>
      <c r="K204" s="9"/>
    </row>
    <row r="205" spans="1:11" s="13" customFormat="1" ht="29.25" thickBot="1" x14ac:dyDescent="0.3">
      <c r="A205" s="19" t="s">
        <v>47</v>
      </c>
      <c r="B205" s="10"/>
      <c r="C205" s="14"/>
      <c r="D205" s="11"/>
      <c r="E205" s="11"/>
      <c r="F205" s="12">
        <f t="shared" si="5"/>
        <v>0</v>
      </c>
      <c r="G205" s="20"/>
      <c r="H205" s="20"/>
      <c r="I205" s="9"/>
      <c r="J205" s="9"/>
      <c r="K205" s="9"/>
    </row>
    <row r="206" spans="1:11" s="13" customFormat="1" ht="29.25" thickBot="1" x14ac:dyDescent="0.3">
      <c r="A206" s="19" t="s">
        <v>47</v>
      </c>
      <c r="B206" s="10"/>
      <c r="C206" s="14"/>
      <c r="D206" s="11"/>
      <c r="E206" s="11"/>
      <c r="F206" s="12">
        <f t="shared" si="5"/>
        <v>0</v>
      </c>
      <c r="G206" s="20"/>
      <c r="H206" s="20"/>
      <c r="I206" s="9"/>
      <c r="J206" s="9"/>
      <c r="K206" s="9"/>
    </row>
    <row r="207" spans="1:11" s="13" customFormat="1" ht="29.25" thickBot="1" x14ac:dyDescent="0.3">
      <c r="A207" s="19" t="s">
        <v>47</v>
      </c>
      <c r="B207" s="10"/>
      <c r="C207" s="14"/>
      <c r="D207" s="11"/>
      <c r="E207" s="11"/>
      <c r="F207" s="12">
        <f t="shared" si="5"/>
        <v>0</v>
      </c>
      <c r="G207" s="20"/>
      <c r="H207" s="20"/>
      <c r="I207" s="9"/>
      <c r="J207" s="9"/>
      <c r="K207" s="9"/>
    </row>
    <row r="208" spans="1:11" s="13" customFormat="1" ht="29.25" thickBot="1" x14ac:dyDescent="0.3">
      <c r="A208" s="19" t="s">
        <v>47</v>
      </c>
      <c r="B208" s="10"/>
      <c r="C208" s="14"/>
      <c r="D208" s="11"/>
      <c r="E208" s="11"/>
      <c r="F208" s="12">
        <f t="shared" si="5"/>
        <v>0</v>
      </c>
      <c r="G208" s="20"/>
      <c r="H208" s="20"/>
      <c r="I208" s="9"/>
      <c r="J208" s="9"/>
      <c r="K208" s="9"/>
    </row>
    <row r="209" spans="1:11" s="13" customFormat="1" ht="29.25" thickBot="1" x14ac:dyDescent="0.3">
      <c r="A209" s="19" t="s">
        <v>47</v>
      </c>
      <c r="B209" s="10"/>
      <c r="C209" s="14"/>
      <c r="D209" s="11"/>
      <c r="E209" s="11"/>
      <c r="F209" s="12">
        <f t="shared" si="5"/>
        <v>0</v>
      </c>
      <c r="G209" s="20"/>
      <c r="H209" s="20"/>
      <c r="I209" s="9"/>
      <c r="J209" s="9"/>
      <c r="K209" s="9"/>
    </row>
    <row r="210" spans="1:11" s="13" customFormat="1" ht="29.25" thickBot="1" x14ac:dyDescent="0.3">
      <c r="A210" s="19" t="s">
        <v>47</v>
      </c>
      <c r="B210" s="10"/>
      <c r="C210" s="14"/>
      <c r="D210" s="11"/>
      <c r="E210" s="11"/>
      <c r="F210" s="12">
        <f t="shared" si="5"/>
        <v>0</v>
      </c>
      <c r="G210" s="20"/>
      <c r="H210" s="20"/>
      <c r="I210" s="9"/>
      <c r="J210" s="9"/>
      <c r="K210" s="9"/>
    </row>
    <row r="211" spans="1:11" s="13" customFormat="1" ht="29.25" thickBot="1" x14ac:dyDescent="0.3">
      <c r="A211" s="19" t="s">
        <v>47</v>
      </c>
      <c r="B211" s="10"/>
      <c r="C211" s="14"/>
      <c r="D211" s="11"/>
      <c r="E211" s="11"/>
      <c r="F211" s="12">
        <f t="shared" si="5"/>
        <v>0</v>
      </c>
      <c r="G211" s="20"/>
      <c r="H211" s="20"/>
      <c r="I211" s="9"/>
      <c r="J211" s="9"/>
      <c r="K211" s="9"/>
    </row>
    <row r="212" spans="1:11" s="13" customFormat="1" ht="29.25" thickBot="1" x14ac:dyDescent="0.3">
      <c r="A212" s="19" t="s">
        <v>47</v>
      </c>
      <c r="B212" s="10"/>
      <c r="C212" s="14"/>
      <c r="D212" s="11"/>
      <c r="E212" s="11"/>
      <c r="F212" s="12">
        <f t="shared" si="5"/>
        <v>0</v>
      </c>
      <c r="G212" s="20"/>
      <c r="H212" s="20"/>
      <c r="I212" s="9"/>
      <c r="J212" s="9"/>
      <c r="K212" s="9"/>
    </row>
    <row r="213" spans="1:11" s="13" customFormat="1" ht="29.25" thickBot="1" x14ac:dyDescent="0.3">
      <c r="A213" s="19" t="s">
        <v>47</v>
      </c>
      <c r="B213" s="10"/>
      <c r="C213" s="14"/>
      <c r="D213" s="11"/>
      <c r="E213" s="11"/>
      <c r="F213" s="12">
        <f t="shared" si="5"/>
        <v>0</v>
      </c>
      <c r="G213" s="20"/>
      <c r="H213" s="20"/>
      <c r="I213" s="9"/>
      <c r="J213" s="9"/>
      <c r="K213" s="9"/>
    </row>
    <row r="214" spans="1:11" s="13" customFormat="1" ht="29.25" thickBot="1" x14ac:dyDescent="0.3">
      <c r="A214" s="19" t="s">
        <v>47</v>
      </c>
      <c r="B214" s="10"/>
      <c r="C214" s="14"/>
      <c r="D214" s="11"/>
      <c r="E214" s="11"/>
      <c r="F214" s="12">
        <f t="shared" si="5"/>
        <v>0</v>
      </c>
      <c r="G214" s="20"/>
      <c r="H214" s="20"/>
      <c r="I214" s="9"/>
      <c r="J214" s="9"/>
      <c r="K214" s="9"/>
    </row>
    <row r="215" spans="1:11" s="13" customFormat="1" ht="29.25" thickBot="1" x14ac:dyDescent="0.3">
      <c r="A215" s="19" t="s">
        <v>47</v>
      </c>
      <c r="B215" s="10"/>
      <c r="C215" s="14"/>
      <c r="D215" s="11"/>
      <c r="E215" s="11"/>
      <c r="F215" s="12">
        <f t="shared" si="5"/>
        <v>0</v>
      </c>
      <c r="G215" s="20"/>
      <c r="H215" s="20"/>
      <c r="I215" s="9"/>
      <c r="J215" s="9"/>
      <c r="K215" s="9"/>
    </row>
    <row r="216" spans="1:11" s="13" customFormat="1" ht="29.25" thickBot="1" x14ac:dyDescent="0.3">
      <c r="A216" s="19" t="s">
        <v>47</v>
      </c>
      <c r="B216" s="10"/>
      <c r="C216" s="14"/>
      <c r="D216" s="11"/>
      <c r="E216" s="11"/>
      <c r="F216" s="12">
        <f t="shared" si="5"/>
        <v>0</v>
      </c>
      <c r="G216" s="20"/>
      <c r="H216" s="20"/>
      <c r="I216" s="9"/>
      <c r="J216" s="9"/>
      <c r="K216" s="9"/>
    </row>
    <row r="217" spans="1:11" s="13" customFormat="1" ht="29.25" thickBot="1" x14ac:dyDescent="0.3">
      <c r="A217" s="19" t="s">
        <v>47</v>
      </c>
      <c r="B217" s="10"/>
      <c r="C217" s="14"/>
      <c r="D217" s="11"/>
      <c r="E217" s="11"/>
      <c r="F217" s="12">
        <f t="shared" si="5"/>
        <v>0</v>
      </c>
      <c r="G217" s="20"/>
      <c r="H217" s="20"/>
      <c r="I217" s="9"/>
      <c r="J217" s="9"/>
      <c r="K217" s="9"/>
    </row>
    <row r="218" spans="1:11" s="13" customFormat="1" ht="29.25" thickBot="1" x14ac:dyDescent="0.3">
      <c r="A218" s="19" t="s">
        <v>47</v>
      </c>
      <c r="B218" s="10"/>
      <c r="C218" s="14"/>
      <c r="D218" s="11"/>
      <c r="E218" s="11"/>
      <c r="F218" s="12">
        <f t="shared" si="5"/>
        <v>0</v>
      </c>
      <c r="G218" s="20"/>
      <c r="H218" s="20"/>
      <c r="I218" s="9"/>
      <c r="J218" s="9"/>
      <c r="K218" s="9"/>
    </row>
    <row r="219" spans="1:11" ht="29.25" thickBot="1" x14ac:dyDescent="0.25">
      <c r="A219" s="19" t="s">
        <v>47</v>
      </c>
      <c r="B219" s="10"/>
      <c r="C219" s="14"/>
      <c r="D219" s="11"/>
      <c r="E219" s="11"/>
      <c r="F219" s="12">
        <f t="shared" si="5"/>
        <v>0</v>
      </c>
      <c r="G219" s="20"/>
      <c r="H219" s="20"/>
      <c r="I219" s="9"/>
      <c r="J219" s="9"/>
      <c r="K219" s="9"/>
    </row>
    <row r="220" spans="1:11" ht="29.25" thickBot="1" x14ac:dyDescent="0.25">
      <c r="A220" s="19" t="s">
        <v>47</v>
      </c>
      <c r="B220" s="10"/>
      <c r="C220" s="14"/>
      <c r="D220" s="11"/>
      <c r="E220" s="11"/>
      <c r="F220" s="12">
        <f t="shared" si="5"/>
        <v>0</v>
      </c>
      <c r="G220" s="20"/>
      <c r="H220" s="20"/>
      <c r="I220" s="9"/>
      <c r="J220" s="9"/>
      <c r="K220" s="9"/>
    </row>
    <row r="221" spans="1:11" ht="29.25" thickBot="1" x14ac:dyDescent="0.25">
      <c r="A221" s="19" t="s">
        <v>47</v>
      </c>
      <c r="B221" s="10"/>
      <c r="C221" s="14"/>
      <c r="D221" s="11"/>
      <c r="E221" s="11"/>
      <c r="F221" s="12">
        <f t="shared" si="5"/>
        <v>0</v>
      </c>
      <c r="G221" s="20"/>
      <c r="H221" s="20"/>
      <c r="I221" s="9"/>
      <c r="J221" s="9"/>
      <c r="K221" s="9"/>
    </row>
    <row r="222" spans="1:11" ht="29.25" thickBot="1" x14ac:dyDescent="0.25">
      <c r="A222" s="19" t="s">
        <v>47</v>
      </c>
      <c r="B222" s="10"/>
      <c r="C222" s="14"/>
      <c r="D222" s="11"/>
      <c r="E222" s="11"/>
      <c r="F222" s="12">
        <f t="shared" si="5"/>
        <v>0</v>
      </c>
      <c r="G222" s="20"/>
      <c r="H222" s="20"/>
      <c r="I222" s="9"/>
      <c r="J222" s="9"/>
      <c r="K222" s="9"/>
    </row>
    <row r="223" spans="1:11" ht="29.25" thickBot="1" x14ac:dyDescent="0.25">
      <c r="A223" s="19" t="s">
        <v>47</v>
      </c>
      <c r="B223" s="10"/>
      <c r="C223" s="14"/>
      <c r="D223" s="11"/>
      <c r="E223" s="11"/>
      <c r="F223" s="12">
        <f t="shared" si="5"/>
        <v>0</v>
      </c>
      <c r="G223" s="20"/>
      <c r="H223" s="20"/>
      <c r="I223" s="9"/>
      <c r="J223" s="9"/>
      <c r="K223" s="9"/>
    </row>
    <row r="224" spans="1:11" ht="29.25" thickBot="1" x14ac:dyDescent="0.25">
      <c r="A224" s="19" t="s">
        <v>47</v>
      </c>
      <c r="B224" s="10"/>
      <c r="C224" s="14"/>
      <c r="D224" s="11"/>
      <c r="E224" s="11"/>
      <c r="F224" s="12">
        <f t="shared" si="5"/>
        <v>0</v>
      </c>
      <c r="G224" s="20"/>
      <c r="H224" s="20"/>
      <c r="I224" s="9"/>
      <c r="J224" s="9"/>
      <c r="K224" s="9"/>
    </row>
    <row r="225" spans="1:11" ht="29.25" thickBot="1" x14ac:dyDescent="0.25">
      <c r="A225" s="19" t="s">
        <v>47</v>
      </c>
      <c r="B225" s="10"/>
      <c r="C225" s="14"/>
      <c r="D225" s="11"/>
      <c r="E225" s="11"/>
      <c r="F225" s="12">
        <f t="shared" si="5"/>
        <v>0</v>
      </c>
      <c r="G225" s="20"/>
      <c r="H225" s="20"/>
      <c r="I225" s="9"/>
      <c r="J225" s="9"/>
      <c r="K225" s="9"/>
    </row>
    <row r="226" spans="1:11" ht="29.25" thickBot="1" x14ac:dyDescent="0.25">
      <c r="A226" s="19" t="s">
        <v>47</v>
      </c>
      <c r="B226" s="10"/>
      <c r="C226" s="14"/>
      <c r="D226" s="11"/>
      <c r="E226" s="11"/>
      <c r="F226" s="12">
        <f t="shared" si="5"/>
        <v>0</v>
      </c>
      <c r="G226" s="20"/>
      <c r="H226" s="20"/>
      <c r="I226" s="9"/>
      <c r="J226" s="9"/>
      <c r="K226" s="9"/>
    </row>
    <row r="227" spans="1:11" ht="29.25" thickBot="1" x14ac:dyDescent="0.25">
      <c r="A227" s="19" t="s">
        <v>47</v>
      </c>
      <c r="B227" s="10"/>
      <c r="C227" s="14"/>
      <c r="D227" s="11"/>
      <c r="E227" s="11"/>
      <c r="F227" s="12">
        <f t="shared" si="5"/>
        <v>0</v>
      </c>
      <c r="G227" s="20"/>
      <c r="H227" s="20"/>
      <c r="I227" s="9"/>
      <c r="J227" s="9"/>
      <c r="K227" s="9"/>
    </row>
    <row r="228" spans="1:11" ht="29.25" thickBot="1" x14ac:dyDescent="0.25">
      <c r="A228" s="19" t="s">
        <v>47</v>
      </c>
      <c r="B228" s="10"/>
      <c r="C228" s="14"/>
      <c r="D228" s="11"/>
      <c r="E228" s="11"/>
      <c r="F228" s="12">
        <f t="shared" si="5"/>
        <v>0</v>
      </c>
      <c r="G228" s="20"/>
      <c r="H228" s="20"/>
      <c r="I228" s="9"/>
      <c r="J228" s="9"/>
      <c r="K228" s="9"/>
    </row>
    <row r="229" spans="1:11" ht="29.25" thickBot="1" x14ac:dyDescent="0.25">
      <c r="A229" s="19" t="s">
        <v>47</v>
      </c>
      <c r="B229" s="10"/>
      <c r="C229" s="14"/>
      <c r="D229" s="11"/>
      <c r="E229" s="11"/>
      <c r="F229" s="12">
        <f t="shared" si="5"/>
        <v>0</v>
      </c>
      <c r="G229" s="20"/>
      <c r="H229" s="20"/>
      <c r="I229" s="9"/>
      <c r="J229" s="9"/>
      <c r="K229" s="9"/>
    </row>
    <row r="230" spans="1:11" ht="29.25" thickBot="1" x14ac:dyDescent="0.25">
      <c r="A230" s="19" t="s">
        <v>47</v>
      </c>
      <c r="B230" s="10"/>
      <c r="C230" s="14"/>
      <c r="D230" s="11"/>
      <c r="E230" s="11"/>
      <c r="F230" s="12">
        <f t="shared" si="5"/>
        <v>0</v>
      </c>
      <c r="G230" s="20"/>
      <c r="H230" s="20"/>
      <c r="I230" s="9"/>
      <c r="J230" s="9"/>
      <c r="K230" s="9"/>
    </row>
    <row r="231" spans="1:11" ht="29.25" thickBot="1" x14ac:dyDescent="0.25">
      <c r="A231" s="19" t="s">
        <v>47</v>
      </c>
      <c r="B231" s="10"/>
      <c r="C231" s="14"/>
      <c r="D231" s="11"/>
      <c r="E231" s="11"/>
      <c r="F231" s="12">
        <f t="shared" si="5"/>
        <v>0</v>
      </c>
      <c r="G231" s="20"/>
      <c r="H231" s="20"/>
      <c r="I231" s="9"/>
      <c r="J231" s="9"/>
      <c r="K231" s="9"/>
    </row>
    <row r="232" spans="1:11" ht="29.25" thickBot="1" x14ac:dyDescent="0.25">
      <c r="A232" s="19" t="s">
        <v>47</v>
      </c>
      <c r="B232" s="10"/>
      <c r="C232" s="14"/>
      <c r="D232" s="11"/>
      <c r="E232" s="11"/>
      <c r="F232" s="12">
        <f t="shared" si="5"/>
        <v>0</v>
      </c>
      <c r="G232" s="20"/>
      <c r="H232" s="20"/>
      <c r="I232" s="9"/>
      <c r="J232" s="9"/>
      <c r="K232" s="9"/>
    </row>
    <row r="233" spans="1:11" ht="29.25" thickBot="1" x14ac:dyDescent="0.25">
      <c r="A233" s="19" t="s">
        <v>47</v>
      </c>
      <c r="B233" s="10"/>
      <c r="C233" s="14"/>
      <c r="D233" s="11"/>
      <c r="E233" s="11"/>
      <c r="F233" s="12">
        <f t="shared" si="5"/>
        <v>0</v>
      </c>
      <c r="G233" s="20"/>
      <c r="H233" s="20"/>
      <c r="I233" s="9"/>
      <c r="J233" s="9"/>
      <c r="K233" s="9"/>
    </row>
    <row r="234" spans="1:11" ht="29.25" thickBot="1" x14ac:dyDescent="0.25">
      <c r="A234" s="19" t="s">
        <v>47</v>
      </c>
      <c r="B234" s="10"/>
      <c r="C234" s="14"/>
      <c r="D234" s="11"/>
      <c r="E234" s="11"/>
      <c r="F234" s="12">
        <f t="shared" si="5"/>
        <v>0</v>
      </c>
      <c r="G234" s="20"/>
      <c r="H234" s="20"/>
      <c r="I234" s="9"/>
      <c r="J234" s="9"/>
      <c r="K234" s="9"/>
    </row>
    <row r="235" spans="1:11" ht="29.25" thickBot="1" x14ac:dyDescent="0.25">
      <c r="A235" s="19" t="s">
        <v>47</v>
      </c>
      <c r="B235" s="10"/>
      <c r="C235" s="14"/>
      <c r="D235" s="11"/>
      <c r="E235" s="11"/>
      <c r="F235" s="12">
        <f t="shared" si="5"/>
        <v>0</v>
      </c>
      <c r="G235" s="20"/>
      <c r="H235" s="20"/>
      <c r="I235" s="9"/>
      <c r="J235" s="9"/>
      <c r="K235" s="9"/>
    </row>
    <row r="236" spans="1:11" ht="29.25" thickBot="1" x14ac:dyDescent="0.25">
      <c r="A236" s="19" t="s">
        <v>47</v>
      </c>
      <c r="B236" s="10"/>
      <c r="C236" s="14"/>
      <c r="D236" s="11"/>
      <c r="E236" s="11"/>
      <c r="F236" s="12">
        <f t="shared" si="5"/>
        <v>0</v>
      </c>
      <c r="G236" s="20"/>
      <c r="H236" s="20"/>
      <c r="I236" s="9"/>
      <c r="J236" s="9"/>
      <c r="K236" s="9"/>
    </row>
    <row r="237" spans="1:11" ht="29.25" thickBot="1" x14ac:dyDescent="0.25">
      <c r="A237" s="19" t="s">
        <v>47</v>
      </c>
      <c r="B237" s="10"/>
      <c r="C237" s="14"/>
      <c r="D237" s="11"/>
      <c r="E237" s="11"/>
      <c r="F237" s="12">
        <f t="shared" si="5"/>
        <v>0</v>
      </c>
      <c r="G237" s="20"/>
      <c r="H237" s="20"/>
      <c r="I237" s="9"/>
      <c r="J237" s="9"/>
      <c r="K237" s="9"/>
    </row>
    <row r="238" spans="1:11" ht="29.25" thickBot="1" x14ac:dyDescent="0.25">
      <c r="A238" s="19" t="s">
        <v>47</v>
      </c>
      <c r="B238" s="10"/>
      <c r="C238" s="14"/>
      <c r="D238" s="11"/>
      <c r="E238" s="11"/>
      <c r="F238" s="12">
        <f t="shared" si="5"/>
        <v>0</v>
      </c>
      <c r="G238" s="20"/>
      <c r="H238" s="20"/>
      <c r="I238" s="9"/>
      <c r="J238" s="9"/>
      <c r="K238" s="9"/>
    </row>
    <row r="239" spans="1:11" ht="29.25" thickBot="1" x14ac:dyDescent="0.25">
      <c r="A239" s="19" t="s">
        <v>47</v>
      </c>
      <c r="B239" s="10"/>
      <c r="C239" s="14"/>
      <c r="D239" s="11"/>
      <c r="E239" s="11"/>
      <c r="F239" s="12">
        <f t="shared" si="5"/>
        <v>0</v>
      </c>
      <c r="G239" s="20"/>
      <c r="H239" s="20"/>
      <c r="I239" s="9"/>
      <c r="J239" s="9"/>
      <c r="K239" s="9"/>
    </row>
    <row r="240" spans="1:11" ht="29.25" thickBot="1" x14ac:dyDescent="0.25">
      <c r="A240" s="19" t="s">
        <v>47</v>
      </c>
      <c r="B240" s="10"/>
      <c r="C240" s="14"/>
      <c r="D240" s="11"/>
      <c r="E240" s="11"/>
      <c r="F240" s="12">
        <f t="shared" si="5"/>
        <v>0</v>
      </c>
      <c r="G240" s="20"/>
      <c r="H240" s="20"/>
      <c r="I240" s="9"/>
      <c r="J240" s="9"/>
      <c r="K240" s="9"/>
    </row>
    <row r="241" spans="1:11" ht="29.25" thickBot="1" x14ac:dyDescent="0.25">
      <c r="A241" s="19" t="s">
        <v>47</v>
      </c>
      <c r="B241" s="10"/>
      <c r="C241" s="14"/>
      <c r="D241" s="11"/>
      <c r="E241" s="11"/>
      <c r="F241" s="12">
        <f t="shared" si="5"/>
        <v>0</v>
      </c>
      <c r="G241" s="20"/>
      <c r="H241" s="20"/>
      <c r="I241" s="9"/>
      <c r="J241" s="9"/>
      <c r="K241" s="9"/>
    </row>
    <row r="242" spans="1:11" ht="29.25" thickBot="1" x14ac:dyDescent="0.25">
      <c r="A242" s="19" t="s">
        <v>47</v>
      </c>
      <c r="B242" s="10"/>
      <c r="C242" s="14"/>
      <c r="D242" s="11"/>
      <c r="E242" s="11"/>
      <c r="F242" s="12">
        <f t="shared" si="5"/>
        <v>0</v>
      </c>
      <c r="G242" s="20"/>
      <c r="H242" s="20"/>
      <c r="I242" s="9"/>
      <c r="J242" s="9"/>
      <c r="K242" s="9"/>
    </row>
    <row r="243" spans="1:11" ht="29.25" thickBot="1" x14ac:dyDescent="0.25">
      <c r="A243" s="19" t="s">
        <v>47</v>
      </c>
      <c r="B243" s="10"/>
      <c r="C243" s="14"/>
      <c r="D243" s="11"/>
      <c r="E243" s="11"/>
      <c r="F243" s="12">
        <f t="shared" si="5"/>
        <v>0</v>
      </c>
      <c r="G243" s="20"/>
      <c r="H243" s="20"/>
      <c r="I243" s="9"/>
      <c r="J243" s="9"/>
      <c r="K243" s="9"/>
    </row>
    <row r="244" spans="1:11" ht="29.25" thickBot="1" x14ac:dyDescent="0.25">
      <c r="A244" s="19" t="s">
        <v>47</v>
      </c>
      <c r="B244" s="10"/>
      <c r="C244" s="14"/>
      <c r="D244" s="11"/>
      <c r="E244" s="11"/>
      <c r="F244" s="12">
        <f t="shared" si="5"/>
        <v>0</v>
      </c>
      <c r="G244" s="20"/>
      <c r="H244" s="20"/>
      <c r="I244" s="9"/>
      <c r="J244" s="9"/>
      <c r="K244" s="9"/>
    </row>
    <row r="245" spans="1:11" ht="29.25" thickBot="1" x14ac:dyDescent="0.25">
      <c r="A245" s="19" t="s">
        <v>47</v>
      </c>
      <c r="B245" s="10"/>
      <c r="C245" s="14"/>
      <c r="D245" s="11"/>
      <c r="E245" s="11"/>
      <c r="F245" s="12">
        <f t="shared" si="5"/>
        <v>0</v>
      </c>
      <c r="G245" s="20"/>
      <c r="H245" s="20"/>
      <c r="I245" s="9"/>
      <c r="J245" s="9"/>
      <c r="K245" s="9"/>
    </row>
    <row r="246" spans="1:11" ht="29.25" thickBot="1" x14ac:dyDescent="0.25">
      <c r="A246" s="19" t="s">
        <v>47</v>
      </c>
      <c r="B246" s="10"/>
      <c r="C246" s="14"/>
      <c r="D246" s="11"/>
      <c r="E246" s="11"/>
      <c r="F246" s="12">
        <f t="shared" si="5"/>
        <v>0</v>
      </c>
      <c r="G246" s="20"/>
      <c r="H246" s="20"/>
      <c r="I246" s="9"/>
      <c r="J246" s="9"/>
      <c r="K246" s="9"/>
    </row>
    <row r="247" spans="1:11" ht="29.25" thickBot="1" x14ac:dyDescent="0.25">
      <c r="A247" s="19" t="s">
        <v>47</v>
      </c>
      <c r="B247" s="10"/>
      <c r="C247" s="14"/>
      <c r="D247" s="11"/>
      <c r="E247" s="11"/>
      <c r="F247" s="12">
        <f t="shared" si="5"/>
        <v>0</v>
      </c>
      <c r="G247" s="20"/>
      <c r="H247" s="20"/>
      <c r="I247" s="9"/>
      <c r="J247" s="9"/>
      <c r="K247" s="9"/>
    </row>
    <row r="248" spans="1:11" ht="29.25" thickBot="1" x14ac:dyDescent="0.25">
      <c r="A248" s="19" t="s">
        <v>47</v>
      </c>
      <c r="B248" s="10"/>
      <c r="C248" s="14"/>
      <c r="D248" s="11"/>
      <c r="E248" s="11"/>
      <c r="F248" s="12">
        <f t="shared" si="5"/>
        <v>0</v>
      </c>
      <c r="G248" s="20"/>
      <c r="H248" s="20"/>
      <c r="I248" s="9"/>
      <c r="J248" s="9"/>
      <c r="K248" s="9"/>
    </row>
    <row r="249" spans="1:11" ht="29.25" thickBot="1" x14ac:dyDescent="0.25">
      <c r="A249" s="19" t="s">
        <v>47</v>
      </c>
      <c r="B249" s="10"/>
      <c r="C249" s="14"/>
      <c r="D249" s="11"/>
      <c r="E249" s="11"/>
      <c r="F249" s="12">
        <f t="shared" si="5"/>
        <v>0</v>
      </c>
      <c r="G249" s="20"/>
      <c r="H249" s="20"/>
      <c r="I249" s="9"/>
      <c r="J249" s="9"/>
      <c r="K249" s="9"/>
    </row>
    <row r="250" spans="1:11" ht="29.25" thickBot="1" x14ac:dyDescent="0.25">
      <c r="A250" s="19" t="s">
        <v>47</v>
      </c>
      <c r="B250" s="10"/>
      <c r="C250" s="14"/>
      <c r="D250" s="11"/>
      <c r="E250" s="11"/>
      <c r="F250" s="12">
        <f t="shared" si="5"/>
        <v>0</v>
      </c>
      <c r="G250" s="20"/>
      <c r="H250" s="20"/>
      <c r="I250" s="9"/>
      <c r="J250" s="9"/>
      <c r="K250" s="9"/>
    </row>
    <row r="251" spans="1:11" ht="29.25" thickBot="1" x14ac:dyDescent="0.25">
      <c r="A251" s="19" t="s">
        <v>47</v>
      </c>
      <c r="B251" s="10"/>
      <c r="C251" s="14"/>
      <c r="D251" s="11"/>
      <c r="E251" s="11"/>
      <c r="F251" s="12">
        <f t="shared" si="5"/>
        <v>0</v>
      </c>
      <c r="G251" s="20"/>
      <c r="H251" s="20"/>
      <c r="I251" s="9"/>
      <c r="J251" s="9"/>
      <c r="K251" s="9"/>
    </row>
    <row r="252" spans="1:11" ht="29.25" thickBot="1" x14ac:dyDescent="0.25">
      <c r="A252" s="19" t="s">
        <v>47</v>
      </c>
      <c r="B252" s="10"/>
      <c r="C252" s="14"/>
      <c r="D252" s="11"/>
      <c r="E252" s="11"/>
      <c r="F252" s="12">
        <f t="shared" si="5"/>
        <v>0</v>
      </c>
      <c r="G252" s="20"/>
      <c r="H252" s="20"/>
      <c r="I252" s="9"/>
      <c r="J252" s="9"/>
      <c r="K252" s="9"/>
    </row>
    <row r="253" spans="1:11" ht="29.25" thickBot="1" x14ac:dyDescent="0.25">
      <c r="A253" s="19" t="s">
        <v>47</v>
      </c>
      <c r="B253" s="10"/>
      <c r="C253" s="14"/>
      <c r="D253" s="11"/>
      <c r="E253" s="11"/>
      <c r="F253" s="12">
        <f t="shared" si="5"/>
        <v>0</v>
      </c>
      <c r="G253" s="20"/>
      <c r="H253" s="20"/>
      <c r="I253" s="9"/>
      <c r="J253" s="9"/>
      <c r="K253" s="9"/>
    </row>
    <row r="254" spans="1:11" ht="29.25" thickBot="1" x14ac:dyDescent="0.25">
      <c r="A254" s="19" t="s">
        <v>47</v>
      </c>
      <c r="B254" s="10"/>
      <c r="C254" s="14"/>
      <c r="D254" s="11"/>
      <c r="E254" s="11"/>
      <c r="F254" s="12">
        <f t="shared" si="5"/>
        <v>0</v>
      </c>
      <c r="G254" s="20"/>
      <c r="H254" s="20"/>
      <c r="I254" s="9"/>
      <c r="J254" s="9"/>
      <c r="K254" s="9"/>
    </row>
    <row r="255" spans="1:11" ht="29.25" thickBot="1" x14ac:dyDescent="0.25">
      <c r="A255" s="19" t="s">
        <v>47</v>
      </c>
      <c r="B255" s="10"/>
      <c r="C255" s="14"/>
      <c r="D255" s="11"/>
      <c r="E255" s="11"/>
      <c r="F255" s="12">
        <f t="shared" si="5"/>
        <v>0</v>
      </c>
      <c r="G255" s="20"/>
      <c r="H255" s="20"/>
      <c r="I255" s="9"/>
      <c r="J255" s="9"/>
      <c r="K255" s="9"/>
    </row>
    <row r="256" spans="1:11" ht="29.25" thickBot="1" x14ac:dyDescent="0.25">
      <c r="A256" s="19" t="s">
        <v>47</v>
      </c>
      <c r="B256" s="10"/>
      <c r="C256" s="14"/>
      <c r="D256" s="11"/>
      <c r="E256" s="11"/>
      <c r="F256" s="12">
        <f t="shared" si="5"/>
        <v>0</v>
      </c>
      <c r="G256" s="20"/>
      <c r="H256" s="20"/>
      <c r="I256" s="9"/>
      <c r="J256" s="9"/>
      <c r="K256" s="9"/>
    </row>
    <row r="257" spans="1:11" ht="29.25" thickBot="1" x14ac:dyDescent="0.25">
      <c r="A257" s="19" t="s">
        <v>47</v>
      </c>
      <c r="B257" s="10"/>
      <c r="C257" s="14"/>
      <c r="D257" s="11"/>
      <c r="E257" s="11"/>
      <c r="F257" s="12">
        <f t="shared" si="5"/>
        <v>0</v>
      </c>
      <c r="G257" s="20"/>
      <c r="H257" s="20"/>
      <c r="I257" s="9"/>
      <c r="J257" s="9"/>
      <c r="K257" s="9"/>
    </row>
    <row r="258" spans="1:11" s="7" customFormat="1" ht="29.25" thickBot="1" x14ac:dyDescent="0.25">
      <c r="A258" s="19" t="s">
        <v>47</v>
      </c>
      <c r="B258" s="10"/>
      <c r="C258" s="14"/>
      <c r="D258" s="11"/>
      <c r="E258" s="11"/>
      <c r="F258" s="12">
        <f t="shared" si="5"/>
        <v>0</v>
      </c>
      <c r="G258" s="20"/>
      <c r="H258" s="20"/>
      <c r="I258" s="9"/>
      <c r="J258" s="9"/>
      <c r="K258" s="9"/>
    </row>
    <row r="259" spans="1:11" s="7" customFormat="1" ht="29.25" thickBot="1" x14ac:dyDescent="0.25">
      <c r="A259" s="19" t="s">
        <v>47</v>
      </c>
      <c r="B259" s="10"/>
      <c r="C259" s="14"/>
      <c r="D259" s="11"/>
      <c r="E259" s="11"/>
      <c r="F259" s="12">
        <f t="shared" si="5"/>
        <v>0</v>
      </c>
      <c r="G259" s="20"/>
      <c r="H259" s="20"/>
      <c r="I259" s="9"/>
      <c r="J259" s="9"/>
      <c r="K259" s="9"/>
    </row>
    <row r="260" spans="1:11" s="7" customFormat="1" ht="29.25" thickBot="1" x14ac:dyDescent="0.25">
      <c r="A260" s="19" t="s">
        <v>47</v>
      </c>
      <c r="B260" s="10"/>
      <c r="C260" s="14"/>
      <c r="D260" s="11"/>
      <c r="E260" s="11"/>
      <c r="F260" s="12">
        <f t="shared" si="5"/>
        <v>0</v>
      </c>
      <c r="G260" s="20"/>
      <c r="H260" s="20"/>
      <c r="I260" s="9"/>
      <c r="J260" s="9"/>
      <c r="K260" s="9"/>
    </row>
    <row r="261" spans="1:11" s="7" customFormat="1" ht="29.25" thickBot="1" x14ac:dyDescent="0.25">
      <c r="A261" s="19" t="s">
        <v>47</v>
      </c>
      <c r="B261" s="10"/>
      <c r="C261" s="14"/>
      <c r="D261" s="11"/>
      <c r="E261" s="11"/>
      <c r="F261" s="12">
        <f t="shared" si="5"/>
        <v>0</v>
      </c>
      <c r="G261" s="20"/>
      <c r="H261" s="20"/>
      <c r="I261" s="9"/>
      <c r="J261" s="9"/>
      <c r="K261" s="9"/>
    </row>
    <row r="262" spans="1:11" s="7" customFormat="1" ht="29.25" thickBot="1" x14ac:dyDescent="0.25">
      <c r="A262" s="19" t="s">
        <v>47</v>
      </c>
      <c r="B262" s="10"/>
      <c r="C262" s="14"/>
      <c r="D262" s="11"/>
      <c r="E262" s="11"/>
      <c r="F262" s="12">
        <f t="shared" ref="F262:F298" si="6">+(E262-D262)*24</f>
        <v>0</v>
      </c>
      <c r="G262" s="20"/>
      <c r="H262" s="20"/>
      <c r="I262" s="9"/>
      <c r="J262" s="9"/>
      <c r="K262" s="9"/>
    </row>
    <row r="263" spans="1:11" s="7" customFormat="1" ht="29.25" thickBot="1" x14ac:dyDescent="0.25">
      <c r="A263" s="19" t="s">
        <v>47</v>
      </c>
      <c r="B263" s="10"/>
      <c r="C263" s="14"/>
      <c r="D263" s="11"/>
      <c r="E263" s="11"/>
      <c r="F263" s="12">
        <f t="shared" si="6"/>
        <v>0</v>
      </c>
      <c r="G263" s="20"/>
      <c r="H263" s="20"/>
      <c r="I263" s="9"/>
      <c r="J263" s="9"/>
      <c r="K263" s="9"/>
    </row>
    <row r="264" spans="1:11" s="7" customFormat="1" ht="29.25" thickBot="1" x14ac:dyDescent="0.25">
      <c r="A264" s="19" t="s">
        <v>47</v>
      </c>
      <c r="B264" s="10"/>
      <c r="C264" s="14"/>
      <c r="D264" s="11"/>
      <c r="E264" s="11"/>
      <c r="F264" s="12">
        <f t="shared" si="6"/>
        <v>0</v>
      </c>
      <c r="G264" s="20"/>
      <c r="H264" s="20"/>
      <c r="I264" s="9"/>
      <c r="J264" s="9"/>
      <c r="K264" s="9"/>
    </row>
    <row r="265" spans="1:11" s="7" customFormat="1" ht="29.25" thickBot="1" x14ac:dyDescent="0.25">
      <c r="A265" s="19" t="s">
        <v>47</v>
      </c>
      <c r="B265" s="10"/>
      <c r="C265" s="14"/>
      <c r="D265" s="11"/>
      <c r="E265" s="11"/>
      <c r="F265" s="12">
        <f t="shared" si="6"/>
        <v>0</v>
      </c>
      <c r="G265" s="20"/>
      <c r="H265" s="20"/>
      <c r="I265" s="9"/>
      <c r="J265" s="9"/>
      <c r="K265" s="9"/>
    </row>
    <row r="266" spans="1:11" s="7" customFormat="1" ht="29.25" thickBot="1" x14ac:dyDescent="0.25">
      <c r="A266" s="19" t="s">
        <v>47</v>
      </c>
      <c r="B266" s="10"/>
      <c r="C266" s="14"/>
      <c r="D266" s="11"/>
      <c r="E266" s="11"/>
      <c r="F266" s="12">
        <f t="shared" si="6"/>
        <v>0</v>
      </c>
      <c r="G266" s="20"/>
      <c r="H266" s="20"/>
      <c r="I266" s="9"/>
      <c r="J266" s="9"/>
      <c r="K266" s="9"/>
    </row>
    <row r="267" spans="1:11" s="7" customFormat="1" ht="29.25" thickBot="1" x14ac:dyDescent="0.25">
      <c r="A267" s="19" t="s">
        <v>47</v>
      </c>
      <c r="B267" s="10"/>
      <c r="C267" s="14"/>
      <c r="D267" s="11"/>
      <c r="E267" s="11"/>
      <c r="F267" s="12">
        <f t="shared" si="6"/>
        <v>0</v>
      </c>
      <c r="G267" s="20"/>
      <c r="H267" s="20"/>
      <c r="I267" s="9"/>
      <c r="J267" s="9"/>
      <c r="K267" s="9"/>
    </row>
    <row r="268" spans="1:11" s="7" customFormat="1" ht="29.25" thickBot="1" x14ac:dyDescent="0.25">
      <c r="A268" s="19" t="s">
        <v>47</v>
      </c>
      <c r="B268" s="10"/>
      <c r="C268" s="14"/>
      <c r="D268" s="11"/>
      <c r="E268" s="11"/>
      <c r="F268" s="12">
        <f t="shared" si="6"/>
        <v>0</v>
      </c>
      <c r="G268" s="20"/>
      <c r="H268" s="20"/>
      <c r="I268" s="9"/>
      <c r="J268" s="9"/>
      <c r="K268" s="9"/>
    </row>
    <row r="269" spans="1:11" s="7" customFormat="1" ht="29.25" thickBot="1" x14ac:dyDescent="0.25">
      <c r="A269" s="19" t="s">
        <v>47</v>
      </c>
      <c r="B269" s="10"/>
      <c r="C269" s="14"/>
      <c r="D269" s="11"/>
      <c r="E269" s="11"/>
      <c r="F269" s="12">
        <f t="shared" si="6"/>
        <v>0</v>
      </c>
      <c r="G269" s="20"/>
      <c r="H269" s="20"/>
      <c r="I269" s="9"/>
      <c r="J269" s="9"/>
      <c r="K269" s="9"/>
    </row>
    <row r="270" spans="1:11" s="7" customFormat="1" ht="29.25" thickBot="1" x14ac:dyDescent="0.25">
      <c r="A270" s="19" t="s">
        <v>47</v>
      </c>
      <c r="B270" s="10"/>
      <c r="C270" s="14"/>
      <c r="D270" s="11"/>
      <c r="E270" s="11"/>
      <c r="F270" s="12">
        <f t="shared" si="6"/>
        <v>0</v>
      </c>
      <c r="G270" s="20"/>
      <c r="H270" s="20"/>
      <c r="I270" s="9"/>
      <c r="J270" s="9"/>
      <c r="K270" s="9"/>
    </row>
    <row r="271" spans="1:11" s="7" customFormat="1" ht="29.25" thickBot="1" x14ac:dyDescent="0.25">
      <c r="A271" s="19" t="s">
        <v>47</v>
      </c>
      <c r="B271" s="10"/>
      <c r="C271" s="14"/>
      <c r="D271" s="11"/>
      <c r="E271" s="11"/>
      <c r="F271" s="12">
        <f t="shared" si="6"/>
        <v>0</v>
      </c>
      <c r="G271" s="20"/>
      <c r="H271" s="20"/>
      <c r="I271" s="9"/>
      <c r="J271" s="9"/>
      <c r="K271" s="9"/>
    </row>
    <row r="272" spans="1:11" s="7" customFormat="1" ht="29.25" thickBot="1" x14ac:dyDescent="0.25">
      <c r="A272" s="19" t="s">
        <v>47</v>
      </c>
      <c r="B272" s="10"/>
      <c r="C272" s="14"/>
      <c r="D272" s="11"/>
      <c r="E272" s="11"/>
      <c r="F272" s="12">
        <f t="shared" si="6"/>
        <v>0</v>
      </c>
      <c r="G272" s="20"/>
      <c r="H272" s="20"/>
      <c r="I272" s="9"/>
      <c r="J272" s="9"/>
      <c r="K272" s="9"/>
    </row>
    <row r="273" spans="1:11" s="7" customFormat="1" ht="29.25" thickBot="1" x14ac:dyDescent="0.25">
      <c r="A273" s="19" t="s">
        <v>47</v>
      </c>
      <c r="B273" s="10"/>
      <c r="C273" s="14"/>
      <c r="D273" s="11"/>
      <c r="E273" s="11"/>
      <c r="F273" s="12">
        <f t="shared" si="6"/>
        <v>0</v>
      </c>
      <c r="G273" s="20"/>
      <c r="H273" s="20"/>
      <c r="I273" s="9"/>
      <c r="J273" s="9"/>
      <c r="K273" s="9"/>
    </row>
    <row r="274" spans="1:11" s="7" customFormat="1" ht="29.25" thickBot="1" x14ac:dyDescent="0.25">
      <c r="A274" s="19" t="s">
        <v>47</v>
      </c>
      <c r="B274" s="10"/>
      <c r="C274" s="14"/>
      <c r="D274" s="11"/>
      <c r="E274" s="11"/>
      <c r="F274" s="12">
        <f t="shared" si="6"/>
        <v>0</v>
      </c>
      <c r="G274" s="20"/>
      <c r="H274" s="20"/>
      <c r="I274" s="9"/>
      <c r="J274" s="9"/>
      <c r="K274" s="9"/>
    </row>
    <row r="275" spans="1:11" s="7" customFormat="1" ht="29.25" thickBot="1" x14ac:dyDescent="0.25">
      <c r="A275" s="19" t="s">
        <v>47</v>
      </c>
      <c r="B275" s="10"/>
      <c r="C275" s="14"/>
      <c r="D275" s="11"/>
      <c r="E275" s="11"/>
      <c r="F275" s="12">
        <f t="shared" si="6"/>
        <v>0</v>
      </c>
      <c r="G275" s="20"/>
      <c r="H275" s="20"/>
      <c r="I275" s="9"/>
      <c r="J275" s="9"/>
      <c r="K275" s="9"/>
    </row>
    <row r="276" spans="1:11" s="7" customFormat="1" ht="29.25" thickBot="1" x14ac:dyDescent="0.25">
      <c r="A276" s="19" t="s">
        <v>47</v>
      </c>
      <c r="B276" s="10"/>
      <c r="C276" s="14"/>
      <c r="D276" s="11"/>
      <c r="E276" s="11"/>
      <c r="F276" s="12">
        <f t="shared" si="6"/>
        <v>0</v>
      </c>
      <c r="G276" s="20"/>
      <c r="H276" s="20"/>
      <c r="I276" s="9"/>
      <c r="J276" s="9"/>
      <c r="K276" s="9"/>
    </row>
    <row r="277" spans="1:11" s="7" customFormat="1" ht="29.25" thickBot="1" x14ac:dyDescent="0.25">
      <c r="A277" s="19" t="s">
        <v>47</v>
      </c>
      <c r="B277" s="10"/>
      <c r="C277" s="14"/>
      <c r="D277" s="11"/>
      <c r="E277" s="11"/>
      <c r="F277" s="12">
        <f t="shared" si="6"/>
        <v>0</v>
      </c>
      <c r="G277" s="20"/>
      <c r="H277" s="20"/>
      <c r="I277" s="9"/>
      <c r="J277" s="9"/>
      <c r="K277" s="9"/>
    </row>
    <row r="278" spans="1:11" s="7" customFormat="1" ht="29.25" thickBot="1" x14ac:dyDescent="0.25">
      <c r="A278" s="19" t="s">
        <v>47</v>
      </c>
      <c r="B278" s="10"/>
      <c r="C278" s="14"/>
      <c r="D278" s="11"/>
      <c r="E278" s="11"/>
      <c r="F278" s="12">
        <f t="shared" si="6"/>
        <v>0</v>
      </c>
      <c r="G278" s="20"/>
      <c r="H278" s="20"/>
      <c r="I278" s="9"/>
      <c r="J278" s="9"/>
      <c r="K278" s="9"/>
    </row>
    <row r="279" spans="1:11" s="7" customFormat="1" ht="29.25" thickBot="1" x14ac:dyDescent="0.25">
      <c r="A279" s="19" t="s">
        <v>47</v>
      </c>
      <c r="B279" s="10"/>
      <c r="C279" s="14"/>
      <c r="D279" s="11"/>
      <c r="E279" s="11"/>
      <c r="F279" s="12">
        <f t="shared" si="6"/>
        <v>0</v>
      </c>
      <c r="G279" s="20"/>
      <c r="H279" s="20"/>
      <c r="I279" s="9"/>
      <c r="J279" s="9"/>
      <c r="K279" s="9"/>
    </row>
    <row r="280" spans="1:11" s="7" customFormat="1" ht="29.25" thickBot="1" x14ac:dyDescent="0.25">
      <c r="A280" s="19" t="s">
        <v>47</v>
      </c>
      <c r="B280" s="10"/>
      <c r="C280" s="14"/>
      <c r="D280" s="11"/>
      <c r="E280" s="11"/>
      <c r="F280" s="12">
        <f t="shared" si="6"/>
        <v>0</v>
      </c>
      <c r="G280" s="20"/>
      <c r="H280" s="20"/>
      <c r="I280" s="9"/>
      <c r="J280" s="9"/>
      <c r="K280" s="9"/>
    </row>
    <row r="281" spans="1:11" s="7" customFormat="1" ht="29.25" thickBot="1" x14ac:dyDescent="0.25">
      <c r="A281" s="19" t="s">
        <v>47</v>
      </c>
      <c r="B281" s="10"/>
      <c r="C281" s="14"/>
      <c r="D281" s="11"/>
      <c r="E281" s="11"/>
      <c r="F281" s="12">
        <f t="shared" si="6"/>
        <v>0</v>
      </c>
      <c r="G281" s="20"/>
      <c r="H281" s="20"/>
      <c r="I281" s="9"/>
      <c r="J281" s="9"/>
      <c r="K281" s="9"/>
    </row>
    <row r="282" spans="1:11" s="7" customFormat="1" ht="29.25" thickBot="1" x14ac:dyDescent="0.25">
      <c r="A282" s="19" t="s">
        <v>47</v>
      </c>
      <c r="B282" s="10"/>
      <c r="C282" s="14"/>
      <c r="D282" s="11"/>
      <c r="E282" s="11"/>
      <c r="F282" s="12">
        <f t="shared" si="6"/>
        <v>0</v>
      </c>
      <c r="G282" s="20"/>
      <c r="H282" s="20"/>
      <c r="I282" s="9"/>
      <c r="J282" s="9"/>
      <c r="K282" s="9"/>
    </row>
    <row r="283" spans="1:11" s="7" customFormat="1" ht="29.25" thickBot="1" x14ac:dyDescent="0.25">
      <c r="A283" s="19" t="s">
        <v>47</v>
      </c>
      <c r="B283" s="10"/>
      <c r="C283" s="14"/>
      <c r="D283" s="11"/>
      <c r="E283" s="11"/>
      <c r="F283" s="12">
        <f t="shared" si="6"/>
        <v>0</v>
      </c>
      <c r="G283" s="20"/>
      <c r="H283" s="20"/>
      <c r="I283" s="9"/>
      <c r="J283" s="9"/>
      <c r="K283" s="9"/>
    </row>
    <row r="284" spans="1:11" s="7" customFormat="1" ht="29.25" thickBot="1" x14ac:dyDescent="0.25">
      <c r="A284" s="19" t="s">
        <v>47</v>
      </c>
      <c r="B284" s="10"/>
      <c r="C284" s="14"/>
      <c r="D284" s="11"/>
      <c r="E284" s="11"/>
      <c r="F284" s="12">
        <f t="shared" si="6"/>
        <v>0</v>
      </c>
      <c r="G284" s="20"/>
      <c r="H284" s="20"/>
      <c r="I284" s="9"/>
      <c r="J284" s="9"/>
      <c r="K284" s="9"/>
    </row>
    <row r="285" spans="1:11" s="7" customFormat="1" ht="29.25" thickBot="1" x14ac:dyDescent="0.25">
      <c r="A285" s="19" t="s">
        <v>47</v>
      </c>
      <c r="B285" s="10"/>
      <c r="C285" s="14"/>
      <c r="D285" s="11"/>
      <c r="E285" s="11"/>
      <c r="F285" s="12">
        <f t="shared" si="6"/>
        <v>0</v>
      </c>
      <c r="G285" s="20"/>
      <c r="H285" s="20"/>
      <c r="I285" s="9"/>
      <c r="J285" s="9"/>
      <c r="K285" s="9"/>
    </row>
    <row r="286" spans="1:11" s="7" customFormat="1" ht="29.25" thickBot="1" x14ac:dyDescent="0.25">
      <c r="A286" s="19" t="s">
        <v>47</v>
      </c>
      <c r="B286" s="10"/>
      <c r="C286" s="14"/>
      <c r="D286" s="11"/>
      <c r="E286" s="11"/>
      <c r="F286" s="12">
        <f t="shared" si="6"/>
        <v>0</v>
      </c>
      <c r="G286" s="20"/>
      <c r="H286" s="20"/>
      <c r="I286" s="9"/>
      <c r="J286" s="9"/>
      <c r="K286" s="9"/>
    </row>
    <row r="287" spans="1:11" s="7" customFormat="1" ht="29.25" thickBot="1" x14ac:dyDescent="0.25">
      <c r="A287" s="19" t="s">
        <v>47</v>
      </c>
      <c r="B287" s="10"/>
      <c r="C287" s="14"/>
      <c r="D287" s="11"/>
      <c r="E287" s="11"/>
      <c r="F287" s="12">
        <f t="shared" si="6"/>
        <v>0</v>
      </c>
      <c r="G287" s="20"/>
      <c r="H287" s="20"/>
      <c r="I287" s="9"/>
      <c r="J287" s="9"/>
      <c r="K287" s="9"/>
    </row>
    <row r="288" spans="1:11" s="7" customFormat="1" ht="29.25" thickBot="1" x14ac:dyDescent="0.25">
      <c r="A288" s="19" t="s">
        <v>47</v>
      </c>
      <c r="B288" s="10"/>
      <c r="C288" s="14"/>
      <c r="D288" s="11"/>
      <c r="E288" s="11"/>
      <c r="F288" s="12">
        <f t="shared" si="6"/>
        <v>0</v>
      </c>
      <c r="G288" s="20"/>
      <c r="H288" s="20"/>
      <c r="I288" s="9"/>
      <c r="J288" s="9"/>
      <c r="K288" s="9"/>
    </row>
    <row r="289" spans="1:11" s="7" customFormat="1" ht="29.25" thickBot="1" x14ac:dyDescent="0.25">
      <c r="A289" s="19" t="s">
        <v>47</v>
      </c>
      <c r="B289" s="10"/>
      <c r="C289" s="14"/>
      <c r="D289" s="11"/>
      <c r="E289" s="11"/>
      <c r="F289" s="12">
        <f t="shared" si="6"/>
        <v>0</v>
      </c>
      <c r="G289" s="20"/>
      <c r="H289" s="20"/>
      <c r="I289" s="9"/>
      <c r="J289" s="9"/>
      <c r="K289" s="9"/>
    </row>
    <row r="290" spans="1:11" s="7" customFormat="1" ht="29.25" thickBot="1" x14ac:dyDescent="0.25">
      <c r="A290" s="19" t="s">
        <v>47</v>
      </c>
      <c r="B290" s="10"/>
      <c r="C290" s="14"/>
      <c r="D290" s="11"/>
      <c r="E290" s="11"/>
      <c r="F290" s="12">
        <f t="shared" si="6"/>
        <v>0</v>
      </c>
      <c r="G290" s="20"/>
      <c r="H290" s="20"/>
      <c r="I290" s="9"/>
      <c r="J290" s="9"/>
      <c r="K290" s="9"/>
    </row>
    <row r="291" spans="1:11" s="7" customFormat="1" ht="29.25" thickBot="1" x14ac:dyDescent="0.25">
      <c r="A291" s="19" t="s">
        <v>47</v>
      </c>
      <c r="B291" s="10"/>
      <c r="C291" s="14"/>
      <c r="D291" s="11"/>
      <c r="E291" s="11"/>
      <c r="F291" s="12">
        <f t="shared" si="6"/>
        <v>0</v>
      </c>
      <c r="G291" s="20"/>
      <c r="H291" s="20"/>
      <c r="I291" s="9"/>
      <c r="J291" s="9"/>
      <c r="K291" s="9"/>
    </row>
    <row r="292" spans="1:11" s="7" customFormat="1" ht="29.25" thickBot="1" x14ac:dyDescent="0.25">
      <c r="A292" s="19" t="s">
        <v>47</v>
      </c>
      <c r="B292" s="10"/>
      <c r="C292" s="14"/>
      <c r="D292" s="11"/>
      <c r="E292" s="11"/>
      <c r="F292" s="12">
        <f t="shared" si="6"/>
        <v>0</v>
      </c>
      <c r="G292" s="20"/>
      <c r="H292" s="20"/>
      <c r="I292" s="9"/>
      <c r="J292" s="9"/>
      <c r="K292" s="9"/>
    </row>
    <row r="293" spans="1:11" s="7" customFormat="1" ht="29.25" thickBot="1" x14ac:dyDescent="0.25">
      <c r="A293" s="19" t="s">
        <v>47</v>
      </c>
      <c r="B293" s="10"/>
      <c r="C293" s="14"/>
      <c r="D293" s="11"/>
      <c r="E293" s="11"/>
      <c r="F293" s="12">
        <f t="shared" si="6"/>
        <v>0</v>
      </c>
      <c r="G293" s="20"/>
      <c r="H293" s="20"/>
      <c r="I293" s="9"/>
      <c r="J293" s="9"/>
      <c r="K293" s="9"/>
    </row>
    <row r="294" spans="1:11" s="7" customFormat="1" ht="29.25" thickBot="1" x14ac:dyDescent="0.25">
      <c r="A294" s="19" t="s">
        <v>47</v>
      </c>
      <c r="B294" s="10"/>
      <c r="C294" s="14"/>
      <c r="D294" s="11"/>
      <c r="E294" s="11"/>
      <c r="F294" s="12">
        <f t="shared" si="6"/>
        <v>0</v>
      </c>
      <c r="G294" s="20"/>
      <c r="H294" s="20"/>
      <c r="I294" s="9"/>
      <c r="J294" s="9"/>
      <c r="K294" s="9"/>
    </row>
    <row r="295" spans="1:11" s="7" customFormat="1" ht="29.25" thickBot="1" x14ac:dyDescent="0.25">
      <c r="A295" s="19" t="s">
        <v>47</v>
      </c>
      <c r="B295" s="10"/>
      <c r="C295" s="14"/>
      <c r="D295" s="11"/>
      <c r="E295" s="11"/>
      <c r="F295" s="12">
        <f t="shared" si="6"/>
        <v>0</v>
      </c>
      <c r="G295" s="20"/>
      <c r="H295" s="20"/>
      <c r="I295" s="9"/>
      <c r="J295" s="9"/>
      <c r="K295" s="9"/>
    </row>
    <row r="296" spans="1:11" s="7" customFormat="1" ht="29.25" thickBot="1" x14ac:dyDescent="0.25">
      <c r="A296" s="19" t="s">
        <v>47</v>
      </c>
      <c r="B296" s="10"/>
      <c r="C296" s="14"/>
      <c r="D296" s="11"/>
      <c r="E296" s="11"/>
      <c r="F296" s="12">
        <f t="shared" si="6"/>
        <v>0</v>
      </c>
      <c r="G296" s="20"/>
      <c r="H296" s="20"/>
      <c r="I296" s="9"/>
      <c r="J296" s="9"/>
      <c r="K296" s="9"/>
    </row>
    <row r="297" spans="1:11" s="7" customFormat="1" ht="29.25" thickBot="1" x14ac:dyDescent="0.25">
      <c r="A297" s="19" t="s">
        <v>47</v>
      </c>
      <c r="B297" s="10"/>
      <c r="C297" s="14"/>
      <c r="D297" s="11"/>
      <c r="E297" s="11"/>
      <c r="F297" s="12">
        <f t="shared" si="6"/>
        <v>0</v>
      </c>
      <c r="G297" s="20"/>
      <c r="H297" s="20"/>
      <c r="I297" s="9"/>
      <c r="J297" s="9"/>
      <c r="K297" s="9"/>
    </row>
    <row r="298" spans="1:11" s="7" customFormat="1" ht="29.25" thickBot="1" x14ac:dyDescent="0.25">
      <c r="A298" s="19" t="s">
        <v>47</v>
      </c>
      <c r="B298" s="10"/>
      <c r="C298" s="14"/>
      <c r="D298" s="11"/>
      <c r="E298" s="11"/>
      <c r="F298" s="12">
        <f t="shared" si="6"/>
        <v>0</v>
      </c>
      <c r="G298" s="20"/>
      <c r="H298" s="20"/>
      <c r="I298" s="9"/>
      <c r="J298" s="9"/>
      <c r="K298" s="9"/>
    </row>
    <row r="299" spans="1:11" s="7" customFormat="1" ht="15" thickBot="1" x14ac:dyDescent="0.25">
      <c r="A299" s="19"/>
      <c r="B299" s="10"/>
      <c r="C299" s="14"/>
      <c r="D299" s="11"/>
      <c r="E299" s="11"/>
      <c r="F299" s="12"/>
      <c r="G299" s="9"/>
      <c r="H299" s="20"/>
      <c r="I299" s="9"/>
      <c r="J299" s="9"/>
      <c r="K299" s="9"/>
    </row>
    <row r="300" spans="1:11" s="7" customFormat="1" ht="15" thickBot="1" x14ac:dyDescent="0.25">
      <c r="A300" s="9"/>
      <c r="B300" s="9"/>
      <c r="C300" s="9"/>
      <c r="D300" s="9"/>
      <c r="E300" s="9"/>
      <c r="F300" s="9">
        <f>SUBTOTAL(9,$F$2:$F$299)</f>
        <v>72</v>
      </c>
      <c r="G300" s="9" t="s">
        <v>11</v>
      </c>
      <c r="H300" s="9"/>
      <c r="I300" s="9"/>
      <c r="J300" s="9"/>
      <c r="K300" s="9"/>
    </row>
    <row r="301" spans="1:11" s="7" customFormat="1" ht="15" thickBot="1" x14ac:dyDescent="0.25">
      <c r="A301" s="9"/>
      <c r="B301" s="9"/>
      <c r="C301" s="9"/>
      <c r="D301" s="9"/>
      <c r="E301" s="9"/>
      <c r="F301" s="9">
        <v>0</v>
      </c>
      <c r="G301" s="9" t="s">
        <v>19</v>
      </c>
      <c r="H301" s="9"/>
      <c r="I301" s="9"/>
      <c r="J301" s="9"/>
      <c r="K301" s="9"/>
    </row>
    <row r="302" spans="1:11" s="7" customFormat="1" ht="15" thickBot="1" x14ac:dyDescent="0.25">
      <c r="A302" s="9"/>
      <c r="B302" s="9"/>
      <c r="C302" s="9"/>
      <c r="D302" s="9"/>
      <c r="E302" s="9"/>
      <c r="F302" s="9">
        <v>0</v>
      </c>
      <c r="G302" s="9" t="s">
        <v>20</v>
      </c>
      <c r="H302" s="9"/>
      <c r="I302" s="9"/>
      <c r="J302" s="9"/>
      <c r="K302" s="9"/>
    </row>
    <row r="303" spans="1:11" s="7" customFormat="1" ht="15" thickBot="1" x14ac:dyDescent="0.25">
      <c r="A303" s="9"/>
      <c r="B303" s="9"/>
      <c r="C303" s="9"/>
      <c r="D303" s="9"/>
      <c r="E303" s="9"/>
      <c r="F303" s="9">
        <v>0</v>
      </c>
      <c r="G303" s="9" t="s">
        <v>22</v>
      </c>
      <c r="H303" s="9"/>
      <c r="I303" s="9"/>
      <c r="J303" s="9"/>
      <c r="K303" s="9"/>
    </row>
    <row r="304" spans="1:11" s="7" customFormat="1" ht="15" thickBot="1" x14ac:dyDescent="0.25">
      <c r="A304" s="9"/>
      <c r="B304" s="9"/>
      <c r="C304" s="9"/>
      <c r="D304" s="9"/>
      <c r="E304" s="9"/>
      <c r="F304" s="9">
        <v>0</v>
      </c>
      <c r="G304" s="9" t="s">
        <v>45</v>
      </c>
      <c r="H304" s="9"/>
      <c r="I304" s="9"/>
      <c r="J304" s="9"/>
      <c r="K304" s="9"/>
    </row>
    <row r="305" spans="1:11" s="7" customFormat="1" ht="15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s="7" customFormat="1" ht="15" thickBot="1" x14ac:dyDescent="0.25">
      <c r="A306" s="9"/>
      <c r="B306" s="9"/>
      <c r="C306" s="9"/>
      <c r="D306" s="9"/>
      <c r="E306" s="9"/>
      <c r="F306" s="9">
        <f>SUBTOTAL(9,F301:F304)</f>
        <v>0</v>
      </c>
      <c r="G306" s="9" t="s">
        <v>12</v>
      </c>
      <c r="H306" s="9"/>
      <c r="I306" s="9"/>
      <c r="J306" s="9"/>
      <c r="K306" s="9"/>
    </row>
    <row r="307" spans="1:11" s="7" customFormat="1" ht="15" thickBot="1" x14ac:dyDescent="0.25">
      <c r="A307" s="9"/>
      <c r="B307" s="9"/>
      <c r="C307" s="9"/>
      <c r="D307" s="9"/>
      <c r="E307" s="9"/>
      <c r="F307" s="9">
        <f>F306/8</f>
        <v>0</v>
      </c>
      <c r="G307" s="9" t="s">
        <v>13</v>
      </c>
      <c r="H307" s="9"/>
      <c r="I307" s="9"/>
      <c r="J307" s="9"/>
      <c r="K307" s="9"/>
    </row>
    <row r="308" spans="1:11" s="7" customFormat="1" ht="15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s="7" customFormat="1" ht="15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s="7" customFormat="1" ht="15" thickBot="1" x14ac:dyDescent="0.25">
      <c r="A310" s="9"/>
      <c r="B310" s="9"/>
      <c r="C310" s="9"/>
      <c r="D310" s="9"/>
      <c r="E310" s="9"/>
      <c r="F310" s="9">
        <v>0</v>
      </c>
      <c r="G310" s="9" t="s">
        <v>74</v>
      </c>
      <c r="H310" s="9"/>
      <c r="I310" s="9"/>
      <c r="J310" s="9"/>
      <c r="K310" s="9"/>
    </row>
    <row r="311" spans="1:11" s="7" customFormat="1" ht="15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s="7" customFormat="1" ht="15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s="7" customFormat="1" ht="15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s="7" customFormat="1" ht="15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s="7" customFormat="1" ht="15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s="7" customFormat="1" ht="15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s="7" customFormat="1" ht="15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s="7" customFormat="1" ht="15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s="7" customFormat="1" ht="15" thickBo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s="7" customFormat="1" ht="15" thickBo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s="7" customFormat="1" ht="15" thickBo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s="7" customFormat="1" ht="15" thickBo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s="7" customFormat="1" ht="15" thickBo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s="7" customFormat="1" ht="15" thickBo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s="7" customFormat="1" ht="15" thickBo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s="7" customFormat="1" ht="15" thickBo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s="7" customFormat="1" ht="15" thickBo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s="7" customFormat="1" ht="15" thickBo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s="7" customFormat="1" ht="15" thickBo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s="7" customFormat="1" ht="15" thickBo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s="7" customFormat="1" ht="15" thickBo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s="7" customFormat="1" ht="15" thickBo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s="7" customFormat="1" ht="15" thickBo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s="7" customFormat="1" ht="15" thickBo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s="7" customFormat="1" ht="15" thickBo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s="7" customFormat="1" ht="15" thickBo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s="7" customFormat="1" ht="15" thickBo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s="7" customFormat="1" ht="15" thickBo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s="7" customFormat="1" ht="15" thickBo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s="7" customFormat="1" ht="15" thickBo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s="7" customFormat="1" ht="15" thickBo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s="7" customFormat="1" ht="15" thickBo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s="7" customFormat="1" ht="15" thickBo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s="7" customFormat="1" ht="15" thickBo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s="7" customFormat="1" ht="15" thickBo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s="7" customFormat="1" ht="15" thickBo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s="7" customFormat="1" ht="15" thickBo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s="7" customFormat="1" ht="15" thickBo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s="7" customFormat="1" ht="15" thickBo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s="7" customFormat="1" ht="15" thickBo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s="7" customFormat="1" x14ac:dyDescent="0.2">
      <c r="B351" s="5"/>
      <c r="C351" s="5"/>
      <c r="D351" s="5"/>
      <c r="E351" s="5"/>
      <c r="F351" s="5"/>
      <c r="I351" s="5"/>
      <c r="J351" s="5"/>
    </row>
    <row r="352" spans="1:11" s="7" customFormat="1" x14ac:dyDescent="0.2">
      <c r="B352" s="5"/>
      <c r="C352" s="5"/>
      <c r="D352" s="5"/>
      <c r="E352" s="5"/>
      <c r="F352" s="5"/>
      <c r="I352" s="5"/>
      <c r="J352" s="5"/>
    </row>
    <row r="353" spans="2:10" s="7" customFormat="1" x14ac:dyDescent="0.2">
      <c r="B353" s="5"/>
      <c r="C353" s="5"/>
      <c r="D353" s="5"/>
      <c r="E353" s="5"/>
      <c r="F353" s="5"/>
      <c r="I353" s="5"/>
      <c r="J353" s="5"/>
    </row>
    <row r="354" spans="2:10" s="7" customFormat="1" x14ac:dyDescent="0.2">
      <c r="B354" s="5"/>
      <c r="C354" s="5"/>
      <c r="D354" s="5"/>
      <c r="E354" s="5"/>
      <c r="F354" s="5"/>
      <c r="I354" s="5"/>
      <c r="J354" s="5"/>
    </row>
    <row r="355" spans="2:10" s="7" customFormat="1" x14ac:dyDescent="0.2">
      <c r="B355" s="5"/>
      <c r="C355" s="5"/>
      <c r="D355" s="5"/>
      <c r="E355" s="5"/>
      <c r="F355" s="5"/>
      <c r="I355" s="5"/>
      <c r="J355" s="5"/>
    </row>
    <row r="356" spans="2:10" s="7" customFormat="1" x14ac:dyDescent="0.2">
      <c r="B356" s="5"/>
      <c r="C356" s="5"/>
      <c r="D356" s="5"/>
      <c r="E356" s="5"/>
      <c r="F356" s="5"/>
      <c r="I356" s="5"/>
      <c r="J356" s="5"/>
    </row>
    <row r="357" spans="2:10" s="7" customFormat="1" x14ac:dyDescent="0.2">
      <c r="B357" s="5"/>
      <c r="C357" s="5"/>
      <c r="D357" s="5"/>
      <c r="E357" s="5"/>
      <c r="F357" s="5"/>
      <c r="I357" s="5"/>
      <c r="J357" s="5"/>
    </row>
    <row r="358" spans="2:10" s="7" customFormat="1" x14ac:dyDescent="0.2">
      <c r="B358" s="5"/>
      <c r="C358" s="5"/>
      <c r="D358" s="5"/>
      <c r="E358" s="5"/>
      <c r="F358" s="5"/>
      <c r="I358" s="5"/>
      <c r="J358" s="5"/>
    </row>
    <row r="359" spans="2:10" s="7" customFormat="1" x14ac:dyDescent="0.2">
      <c r="B359" s="5"/>
      <c r="C359" s="5"/>
      <c r="D359" s="5"/>
      <c r="E359" s="5"/>
      <c r="F359" s="5"/>
      <c r="I359" s="5"/>
      <c r="J359" s="5"/>
    </row>
    <row r="360" spans="2:10" s="7" customFormat="1" x14ac:dyDescent="0.2">
      <c r="B360" s="5"/>
      <c r="C360" s="5"/>
      <c r="D360" s="5"/>
      <c r="E360" s="5"/>
      <c r="F360" s="5"/>
      <c r="I360" s="5"/>
      <c r="J360" s="5"/>
    </row>
    <row r="361" spans="2:10" s="7" customFormat="1" x14ac:dyDescent="0.2">
      <c r="B361" s="5"/>
      <c r="C361" s="5"/>
      <c r="D361" s="5"/>
      <c r="E361" s="5"/>
      <c r="F361" s="5"/>
      <c r="I361" s="5"/>
      <c r="J361" s="5"/>
    </row>
    <row r="362" spans="2:10" s="7" customFormat="1" x14ac:dyDescent="0.2">
      <c r="B362" s="5"/>
      <c r="C362" s="5"/>
      <c r="D362" s="5"/>
      <c r="E362" s="5"/>
      <c r="F362" s="5"/>
      <c r="I362" s="5"/>
      <c r="J362" s="5"/>
    </row>
    <row r="363" spans="2:10" s="7" customFormat="1" x14ac:dyDescent="0.2">
      <c r="B363" s="5"/>
      <c r="C363" s="5"/>
      <c r="D363" s="5"/>
      <c r="E363" s="5"/>
      <c r="F363" s="5"/>
      <c r="I363" s="5"/>
      <c r="J363" s="5"/>
    </row>
    <row r="364" spans="2:10" s="7" customFormat="1" x14ac:dyDescent="0.2">
      <c r="B364" s="5"/>
      <c r="C364" s="5"/>
      <c r="D364" s="5"/>
      <c r="E364" s="5"/>
      <c r="F364" s="5"/>
      <c r="I364" s="5"/>
      <c r="J364" s="5"/>
    </row>
    <row r="365" spans="2:10" s="7" customFormat="1" x14ac:dyDescent="0.2">
      <c r="B365" s="5"/>
      <c r="C365" s="5"/>
      <c r="D365" s="5"/>
      <c r="E365" s="5"/>
      <c r="F365" s="5"/>
      <c r="I365" s="5"/>
      <c r="J365" s="5"/>
    </row>
    <row r="366" spans="2:10" s="7" customFormat="1" x14ac:dyDescent="0.2">
      <c r="B366" s="5"/>
      <c r="C366" s="5"/>
      <c r="D366" s="5"/>
      <c r="E366" s="5"/>
      <c r="F366" s="5"/>
      <c r="I366" s="5"/>
      <c r="J366" s="5"/>
    </row>
    <row r="367" spans="2:10" s="7" customFormat="1" x14ac:dyDescent="0.2">
      <c r="B367" s="5"/>
      <c r="C367" s="5"/>
      <c r="D367" s="5"/>
      <c r="E367" s="5"/>
      <c r="F367" s="5"/>
      <c r="I367" s="5"/>
      <c r="J367" s="5"/>
    </row>
    <row r="368" spans="2:10" s="7" customFormat="1" x14ac:dyDescent="0.2">
      <c r="B368" s="5"/>
      <c r="C368" s="5"/>
      <c r="D368" s="5"/>
      <c r="E368" s="5"/>
      <c r="F368" s="5"/>
      <c r="I368" s="5"/>
      <c r="J368" s="5"/>
    </row>
    <row r="369" spans="2:10" s="7" customFormat="1" x14ac:dyDescent="0.2">
      <c r="B369" s="5"/>
      <c r="C369" s="5"/>
      <c r="D369" s="5"/>
      <c r="E369" s="5"/>
      <c r="F369" s="5"/>
      <c r="I369" s="5"/>
      <c r="J369" s="5"/>
    </row>
    <row r="370" spans="2:10" s="7" customFormat="1" x14ac:dyDescent="0.2">
      <c r="B370" s="5"/>
      <c r="C370" s="5"/>
      <c r="D370" s="5"/>
      <c r="E370" s="5"/>
      <c r="F370" s="5"/>
      <c r="I370" s="5"/>
      <c r="J370" s="5"/>
    </row>
    <row r="371" spans="2:10" s="7" customFormat="1" x14ac:dyDescent="0.2">
      <c r="B371" s="5"/>
      <c r="C371" s="5"/>
      <c r="D371" s="5"/>
      <c r="E371" s="5"/>
      <c r="F371" s="5"/>
      <c r="I371" s="5"/>
      <c r="J371" s="5"/>
    </row>
    <row r="372" spans="2:10" s="7" customFormat="1" x14ac:dyDescent="0.2">
      <c r="B372" s="5"/>
      <c r="C372" s="5"/>
      <c r="D372" s="5"/>
      <c r="E372" s="5"/>
      <c r="F372" s="5"/>
      <c r="I372" s="5"/>
      <c r="J372" s="5"/>
    </row>
    <row r="373" spans="2:10" s="7" customFormat="1" x14ac:dyDescent="0.2">
      <c r="B373" s="5"/>
      <c r="C373" s="5"/>
      <c r="D373" s="5"/>
      <c r="E373" s="5"/>
      <c r="F373" s="5"/>
      <c r="I373" s="5"/>
      <c r="J373" s="5"/>
    </row>
    <row r="374" spans="2:10" s="7" customFormat="1" x14ac:dyDescent="0.2">
      <c r="B374" s="5"/>
      <c r="C374" s="5"/>
      <c r="D374" s="5"/>
      <c r="E374" s="5"/>
      <c r="F374" s="5"/>
      <c r="I374" s="5"/>
      <c r="J374" s="5"/>
    </row>
    <row r="375" spans="2:10" s="7" customFormat="1" x14ac:dyDescent="0.2">
      <c r="B375" s="5"/>
      <c r="C375" s="5"/>
      <c r="D375" s="5"/>
      <c r="E375" s="5"/>
      <c r="F375" s="5"/>
      <c r="I375" s="5"/>
      <c r="J375" s="5"/>
    </row>
    <row r="376" spans="2:10" s="7" customFormat="1" x14ac:dyDescent="0.2">
      <c r="B376" s="5"/>
      <c r="C376" s="5"/>
      <c r="D376" s="5"/>
      <c r="E376" s="5"/>
      <c r="F376" s="5"/>
      <c r="I376" s="5"/>
      <c r="J376" s="5"/>
    </row>
    <row r="377" spans="2:10" s="7" customFormat="1" x14ac:dyDescent="0.2">
      <c r="B377" s="5"/>
      <c r="C377" s="5"/>
      <c r="D377" s="5"/>
      <c r="E377" s="5"/>
      <c r="F377" s="5"/>
      <c r="I377" s="5"/>
      <c r="J377" s="5"/>
    </row>
    <row r="378" spans="2:10" s="7" customFormat="1" x14ac:dyDescent="0.2">
      <c r="B378" s="5"/>
      <c r="C378" s="5"/>
      <c r="D378" s="5"/>
      <c r="E378" s="5"/>
      <c r="F378" s="5"/>
      <c r="I378" s="5"/>
      <c r="J378" s="5"/>
    </row>
    <row r="379" spans="2:10" s="7" customFormat="1" x14ac:dyDescent="0.2">
      <c r="B379" s="5"/>
      <c r="C379" s="5"/>
      <c r="D379" s="5"/>
      <c r="E379" s="5"/>
      <c r="F379" s="5"/>
      <c r="I379" s="5"/>
      <c r="J379" s="5"/>
    </row>
    <row r="380" spans="2:10" s="7" customFormat="1" x14ac:dyDescent="0.2">
      <c r="B380" s="5"/>
      <c r="C380" s="5"/>
      <c r="D380" s="5"/>
      <c r="E380" s="5"/>
      <c r="F380" s="5"/>
      <c r="I380" s="5"/>
      <c r="J380" s="5"/>
    </row>
    <row r="381" spans="2:10" s="7" customFormat="1" x14ac:dyDescent="0.2">
      <c r="B381" s="5"/>
      <c r="C381" s="5"/>
      <c r="D381" s="5"/>
      <c r="E381" s="5"/>
      <c r="F381" s="5"/>
      <c r="I381" s="5"/>
      <c r="J381" s="5"/>
    </row>
    <row r="382" spans="2:10" s="7" customFormat="1" x14ac:dyDescent="0.2">
      <c r="B382" s="5"/>
      <c r="C382" s="5"/>
      <c r="D382" s="5"/>
      <c r="E382" s="5"/>
      <c r="F382" s="5"/>
      <c r="I382" s="5"/>
      <c r="J382" s="5"/>
    </row>
    <row r="383" spans="2:10" s="7" customFormat="1" x14ac:dyDescent="0.2">
      <c r="B383" s="5"/>
      <c r="C383" s="5"/>
      <c r="D383" s="5"/>
      <c r="E383" s="5"/>
      <c r="F383" s="5"/>
      <c r="I383" s="5"/>
      <c r="J383" s="5"/>
    </row>
    <row r="384" spans="2:10" s="7" customFormat="1" x14ac:dyDescent="0.2">
      <c r="B384" s="5"/>
      <c r="C384" s="5"/>
      <c r="D384" s="5"/>
      <c r="E384" s="5"/>
      <c r="F384" s="5"/>
      <c r="I384" s="5"/>
      <c r="J384" s="5"/>
    </row>
    <row r="385" spans="2:10" s="7" customFormat="1" x14ac:dyDescent="0.2">
      <c r="B385" s="5"/>
      <c r="C385" s="5"/>
      <c r="D385" s="5"/>
      <c r="E385" s="5"/>
      <c r="F385" s="5"/>
      <c r="I385" s="5"/>
      <c r="J385" s="5"/>
    </row>
    <row r="386" spans="2:10" s="7" customFormat="1" x14ac:dyDescent="0.2">
      <c r="B386" s="5"/>
      <c r="C386" s="5"/>
      <c r="D386" s="5"/>
      <c r="E386" s="5"/>
      <c r="F386" s="5"/>
      <c r="I386" s="5"/>
      <c r="J386" s="5"/>
    </row>
    <row r="387" spans="2:10" s="7" customFormat="1" x14ac:dyDescent="0.2">
      <c r="B387" s="5"/>
      <c r="C387" s="5"/>
      <c r="D387" s="5"/>
      <c r="E387" s="5"/>
      <c r="F387" s="5"/>
      <c r="I387" s="5"/>
      <c r="J387" s="5"/>
    </row>
    <row r="388" spans="2:10" s="7" customFormat="1" x14ac:dyDescent="0.2">
      <c r="B388" s="5"/>
      <c r="C388" s="5"/>
      <c r="D388" s="5"/>
      <c r="E388" s="5"/>
      <c r="F388" s="5"/>
      <c r="I388" s="5"/>
      <c r="J388" s="5"/>
    </row>
    <row r="389" spans="2:10" s="7" customFormat="1" x14ac:dyDescent="0.2">
      <c r="B389" s="5"/>
      <c r="C389" s="5"/>
      <c r="D389" s="5"/>
      <c r="E389" s="5"/>
      <c r="F389" s="5"/>
      <c r="I389" s="5"/>
      <c r="J389" s="5"/>
    </row>
    <row r="390" spans="2:10" s="7" customFormat="1" x14ac:dyDescent="0.2">
      <c r="B390" s="5"/>
      <c r="C390" s="5"/>
      <c r="D390" s="5"/>
      <c r="E390" s="5"/>
      <c r="F390" s="5"/>
      <c r="I390" s="5"/>
      <c r="J390" s="5"/>
    </row>
    <row r="391" spans="2:10" s="7" customFormat="1" x14ac:dyDescent="0.2">
      <c r="B391" s="5"/>
      <c r="C391" s="5"/>
      <c r="D391" s="5"/>
      <c r="E391" s="5"/>
      <c r="F391" s="5"/>
      <c r="I391" s="5"/>
      <c r="J391" s="5"/>
    </row>
    <row r="392" spans="2:10" s="7" customFormat="1" x14ac:dyDescent="0.2">
      <c r="B392" s="5"/>
      <c r="C392" s="5"/>
      <c r="D392" s="5"/>
      <c r="E392" s="5"/>
      <c r="F392" s="5"/>
      <c r="I392" s="5"/>
      <c r="J392" s="5"/>
    </row>
    <row r="393" spans="2:10" s="7" customFormat="1" x14ac:dyDescent="0.2">
      <c r="B393" s="5"/>
      <c r="C393" s="5"/>
      <c r="D393" s="5"/>
      <c r="E393" s="5"/>
      <c r="F393" s="5"/>
      <c r="I393" s="5"/>
      <c r="J393" s="5"/>
    </row>
    <row r="394" spans="2:10" s="7" customFormat="1" x14ac:dyDescent="0.2">
      <c r="B394" s="5"/>
      <c r="C394" s="5"/>
      <c r="D394" s="5"/>
      <c r="E394" s="5"/>
      <c r="F394" s="5"/>
      <c r="I394" s="5"/>
      <c r="J394" s="5"/>
    </row>
    <row r="395" spans="2:10" s="7" customFormat="1" x14ac:dyDescent="0.2">
      <c r="B395" s="5"/>
      <c r="C395" s="5"/>
      <c r="D395" s="5"/>
      <c r="E395" s="5"/>
      <c r="F395" s="5"/>
      <c r="I395" s="5"/>
      <c r="J395" s="5"/>
    </row>
    <row r="396" spans="2:10" s="7" customFormat="1" x14ac:dyDescent="0.2">
      <c r="B396" s="5"/>
      <c r="C396" s="5"/>
      <c r="D396" s="5"/>
      <c r="E396" s="5"/>
      <c r="F396" s="5"/>
      <c r="I396" s="5"/>
      <c r="J396" s="5"/>
    </row>
    <row r="397" spans="2:10" s="7" customFormat="1" x14ac:dyDescent="0.2">
      <c r="B397" s="5"/>
      <c r="C397" s="5"/>
      <c r="D397" s="5"/>
      <c r="E397" s="5"/>
      <c r="F397" s="5"/>
      <c r="I397" s="5"/>
      <c r="J397" s="5"/>
    </row>
    <row r="398" spans="2:10" s="7" customFormat="1" x14ac:dyDescent="0.2">
      <c r="B398" s="5"/>
      <c r="C398" s="5"/>
      <c r="D398" s="5"/>
      <c r="E398" s="5"/>
      <c r="F398" s="5"/>
      <c r="I398" s="5"/>
      <c r="J398" s="5"/>
    </row>
    <row r="399" spans="2:10" s="7" customFormat="1" x14ac:dyDescent="0.2">
      <c r="B399" s="5"/>
      <c r="C399" s="5"/>
      <c r="D399" s="5"/>
      <c r="E399" s="5"/>
      <c r="F399" s="5"/>
      <c r="I399" s="5"/>
      <c r="J399" s="5"/>
    </row>
    <row r="400" spans="2:10" s="7" customFormat="1" x14ac:dyDescent="0.2">
      <c r="B400" s="5"/>
      <c r="C400" s="5"/>
      <c r="D400" s="5"/>
      <c r="E400" s="5"/>
      <c r="F400" s="5"/>
      <c r="I400" s="5"/>
      <c r="J400" s="5"/>
    </row>
    <row r="401" spans="2:10" s="7" customFormat="1" x14ac:dyDescent="0.2">
      <c r="B401" s="5"/>
      <c r="C401" s="5"/>
      <c r="D401" s="5"/>
      <c r="E401" s="5"/>
      <c r="F401" s="5"/>
      <c r="I401" s="5"/>
      <c r="J401" s="5"/>
    </row>
    <row r="402" spans="2:10" s="7" customFormat="1" x14ac:dyDescent="0.2">
      <c r="B402" s="5"/>
      <c r="C402" s="5"/>
      <c r="D402" s="5"/>
      <c r="E402" s="5"/>
      <c r="F402" s="5"/>
      <c r="I402" s="5"/>
      <c r="J402" s="5"/>
    </row>
    <row r="403" spans="2:10" s="7" customFormat="1" x14ac:dyDescent="0.2">
      <c r="B403" s="5"/>
      <c r="C403" s="5"/>
      <c r="D403" s="5"/>
      <c r="E403" s="5"/>
      <c r="F403" s="5"/>
      <c r="I403" s="5"/>
      <c r="J403" s="5"/>
    </row>
    <row r="404" spans="2:10" s="7" customFormat="1" x14ac:dyDescent="0.2">
      <c r="B404" s="5"/>
      <c r="C404" s="5"/>
      <c r="D404" s="5"/>
      <c r="E404" s="5"/>
      <c r="F404" s="5"/>
      <c r="I404" s="5"/>
      <c r="J404" s="5"/>
    </row>
    <row r="405" spans="2:10" s="7" customFormat="1" x14ac:dyDescent="0.2">
      <c r="B405" s="5"/>
      <c r="C405" s="5"/>
      <c r="D405" s="5"/>
      <c r="E405" s="5"/>
      <c r="F405" s="5"/>
      <c r="I405" s="5"/>
      <c r="J405" s="5"/>
    </row>
    <row r="406" spans="2:10" s="7" customFormat="1" x14ac:dyDescent="0.2">
      <c r="B406" s="5"/>
      <c r="C406" s="5"/>
      <c r="D406" s="5"/>
      <c r="E406" s="5"/>
      <c r="F406" s="5"/>
      <c r="I406" s="5"/>
      <c r="J406" s="5"/>
    </row>
    <row r="407" spans="2:10" s="7" customFormat="1" x14ac:dyDescent="0.2">
      <c r="B407" s="5"/>
      <c r="C407" s="5"/>
      <c r="D407" s="5"/>
      <c r="E407" s="5"/>
      <c r="F407" s="5"/>
      <c r="I407" s="5"/>
      <c r="J407" s="5"/>
    </row>
    <row r="408" spans="2:10" s="7" customFormat="1" x14ac:dyDescent="0.2">
      <c r="B408" s="5"/>
      <c r="C408" s="5"/>
      <c r="D408" s="5"/>
      <c r="E408" s="5"/>
      <c r="F408" s="5"/>
      <c r="I408" s="5"/>
      <c r="J408" s="5"/>
    </row>
    <row r="409" spans="2:10" s="7" customFormat="1" x14ac:dyDescent="0.2">
      <c r="B409" s="5"/>
      <c r="C409" s="5"/>
      <c r="D409" s="5"/>
      <c r="E409" s="5"/>
      <c r="F409" s="5"/>
      <c r="I409" s="5"/>
      <c r="J409" s="5"/>
    </row>
    <row r="410" spans="2:10" s="7" customFormat="1" x14ac:dyDescent="0.2">
      <c r="B410" s="5"/>
      <c r="C410" s="5"/>
      <c r="D410" s="5"/>
      <c r="E410" s="5"/>
      <c r="F410" s="5"/>
      <c r="I410" s="5"/>
      <c r="J410" s="5"/>
    </row>
    <row r="411" spans="2:10" s="7" customFormat="1" x14ac:dyDescent="0.2">
      <c r="B411" s="5"/>
      <c r="C411" s="5"/>
      <c r="D411" s="5"/>
      <c r="E411" s="5"/>
      <c r="F411" s="5"/>
      <c r="I411" s="5"/>
      <c r="J411" s="5"/>
    </row>
    <row r="412" spans="2:10" s="7" customFormat="1" x14ac:dyDescent="0.2">
      <c r="B412" s="5"/>
      <c r="C412" s="5"/>
      <c r="D412" s="5"/>
      <c r="E412" s="5"/>
      <c r="F412" s="5"/>
      <c r="I412" s="5"/>
      <c r="J412" s="5"/>
    </row>
    <row r="413" spans="2:10" s="7" customFormat="1" x14ac:dyDescent="0.2">
      <c r="B413" s="5"/>
      <c r="C413" s="5"/>
      <c r="D413" s="5"/>
      <c r="E413" s="5"/>
      <c r="F413" s="5"/>
      <c r="I413" s="5"/>
      <c r="J413" s="5"/>
    </row>
    <row r="414" spans="2:10" s="7" customFormat="1" x14ac:dyDescent="0.2">
      <c r="B414" s="5"/>
      <c r="C414" s="5"/>
      <c r="D414" s="5"/>
      <c r="E414" s="5"/>
      <c r="F414" s="5"/>
      <c r="I414" s="5"/>
      <c r="J414" s="5"/>
    </row>
    <row r="415" spans="2:10" s="7" customFormat="1" x14ac:dyDescent="0.2">
      <c r="B415" s="5"/>
      <c r="C415" s="5"/>
      <c r="D415" s="5"/>
      <c r="E415" s="5"/>
      <c r="F415" s="5"/>
      <c r="I415" s="5"/>
      <c r="J415" s="5"/>
    </row>
    <row r="416" spans="2:10" s="7" customFormat="1" x14ac:dyDescent="0.2">
      <c r="B416" s="5"/>
      <c r="C416" s="5"/>
      <c r="D416" s="5"/>
      <c r="E416" s="5"/>
      <c r="F416" s="5"/>
      <c r="I416" s="5"/>
      <c r="J416" s="5"/>
    </row>
    <row r="417" spans="2:10" s="7" customFormat="1" x14ac:dyDescent="0.2">
      <c r="B417" s="5"/>
      <c r="C417" s="5"/>
      <c r="D417" s="5"/>
      <c r="E417" s="5"/>
      <c r="F417" s="5"/>
      <c r="I417" s="5"/>
      <c r="J417" s="5"/>
    </row>
    <row r="418" spans="2:10" s="7" customFormat="1" x14ac:dyDescent="0.2">
      <c r="B418" s="5"/>
      <c r="C418" s="5"/>
      <c r="D418" s="5"/>
      <c r="E418" s="5"/>
      <c r="F418" s="5"/>
      <c r="I418" s="5"/>
      <c r="J418" s="5"/>
    </row>
    <row r="419" spans="2:10" s="7" customFormat="1" x14ac:dyDescent="0.2">
      <c r="B419" s="5"/>
      <c r="C419" s="5"/>
      <c r="D419" s="5"/>
      <c r="E419" s="5"/>
      <c r="F419" s="5"/>
      <c r="I419" s="5"/>
      <c r="J419" s="5"/>
    </row>
    <row r="420" spans="2:10" s="7" customFormat="1" x14ac:dyDescent="0.2">
      <c r="B420" s="5"/>
      <c r="C420" s="5"/>
      <c r="D420" s="5"/>
      <c r="E420" s="5"/>
      <c r="F420" s="5"/>
      <c r="I420" s="5"/>
      <c r="J420" s="5"/>
    </row>
    <row r="421" spans="2:10" s="7" customFormat="1" x14ac:dyDescent="0.2">
      <c r="B421" s="5"/>
      <c r="C421" s="5"/>
      <c r="D421" s="5"/>
      <c r="E421" s="5"/>
      <c r="F421" s="5"/>
      <c r="I421" s="5"/>
      <c r="J421" s="5"/>
    </row>
    <row r="422" spans="2:10" s="7" customFormat="1" x14ac:dyDescent="0.2">
      <c r="B422" s="5"/>
      <c r="C422" s="5"/>
      <c r="D422" s="5"/>
      <c r="E422" s="5"/>
      <c r="F422" s="5"/>
      <c r="I422" s="5"/>
      <c r="J422" s="5"/>
    </row>
    <row r="423" spans="2:10" s="7" customFormat="1" x14ac:dyDescent="0.2">
      <c r="B423" s="5"/>
      <c r="C423" s="5"/>
      <c r="D423" s="5"/>
      <c r="E423" s="5"/>
      <c r="F423" s="5"/>
      <c r="I423" s="5"/>
      <c r="J423" s="5"/>
    </row>
    <row r="424" spans="2:10" s="7" customFormat="1" x14ac:dyDescent="0.2">
      <c r="B424" s="5"/>
      <c r="C424" s="5"/>
      <c r="D424" s="5"/>
      <c r="E424" s="5"/>
      <c r="F424" s="5"/>
      <c r="I424" s="5"/>
      <c r="J424" s="5"/>
    </row>
    <row r="425" spans="2:10" s="7" customFormat="1" x14ac:dyDescent="0.2">
      <c r="B425" s="5"/>
      <c r="C425" s="5"/>
      <c r="D425" s="5"/>
      <c r="E425" s="5"/>
      <c r="F425" s="5"/>
      <c r="I425" s="5"/>
      <c r="J425" s="5"/>
    </row>
    <row r="426" spans="2:10" s="7" customFormat="1" x14ac:dyDescent="0.2">
      <c r="B426" s="5"/>
      <c r="C426" s="5"/>
      <c r="D426" s="5"/>
      <c r="E426" s="5"/>
      <c r="F426" s="5"/>
      <c r="I426" s="5"/>
      <c r="J426" s="5"/>
    </row>
    <row r="427" spans="2:10" s="7" customFormat="1" x14ac:dyDescent="0.2">
      <c r="B427" s="5"/>
      <c r="C427" s="5"/>
      <c r="D427" s="5"/>
      <c r="E427" s="5"/>
      <c r="F427" s="5"/>
      <c r="I427" s="5"/>
      <c r="J427" s="5"/>
    </row>
    <row r="428" spans="2:10" s="7" customFormat="1" x14ac:dyDescent="0.2">
      <c r="B428" s="5"/>
      <c r="C428" s="5"/>
      <c r="D428" s="5"/>
      <c r="E428" s="5"/>
      <c r="F428" s="5"/>
      <c r="I428" s="5"/>
      <c r="J428" s="5"/>
    </row>
    <row r="429" spans="2:10" s="7" customFormat="1" x14ac:dyDescent="0.2">
      <c r="B429" s="5"/>
      <c r="C429" s="5"/>
      <c r="D429" s="5"/>
      <c r="E429" s="5"/>
      <c r="F429" s="5"/>
      <c r="I429" s="5"/>
      <c r="J429" s="5"/>
    </row>
    <row r="430" spans="2:10" s="7" customFormat="1" x14ac:dyDescent="0.2">
      <c r="B430" s="5"/>
      <c r="C430" s="5"/>
      <c r="D430" s="5"/>
      <c r="E430" s="5"/>
      <c r="F430" s="5"/>
      <c r="I430" s="5"/>
      <c r="J430" s="5"/>
    </row>
    <row r="431" spans="2:10" s="7" customFormat="1" x14ac:dyDescent="0.2">
      <c r="B431" s="5"/>
      <c r="C431" s="5"/>
      <c r="D431" s="5"/>
      <c r="E431" s="5"/>
      <c r="F431" s="5"/>
      <c r="I431" s="5"/>
      <c r="J431" s="5"/>
    </row>
    <row r="432" spans="2:10" s="7" customFormat="1" x14ac:dyDescent="0.2">
      <c r="B432" s="5"/>
      <c r="C432" s="5"/>
      <c r="D432" s="5"/>
      <c r="E432" s="5"/>
      <c r="F432" s="5"/>
      <c r="I432" s="5"/>
      <c r="J432" s="5"/>
    </row>
    <row r="433" spans="2:10" s="7" customFormat="1" x14ac:dyDescent="0.2">
      <c r="B433" s="5"/>
      <c r="C433" s="5"/>
      <c r="D433" s="5"/>
      <c r="E433" s="5"/>
      <c r="F433" s="5"/>
      <c r="I433" s="5"/>
      <c r="J433" s="5"/>
    </row>
    <row r="434" spans="2:10" s="7" customFormat="1" x14ac:dyDescent="0.2">
      <c r="B434" s="5"/>
      <c r="C434" s="5"/>
      <c r="D434" s="5"/>
      <c r="E434" s="5"/>
      <c r="F434" s="5"/>
      <c r="I434" s="5"/>
      <c r="J434" s="5"/>
    </row>
    <row r="435" spans="2:10" s="7" customFormat="1" x14ac:dyDescent="0.2">
      <c r="B435" s="5"/>
      <c r="C435" s="5"/>
      <c r="D435" s="5"/>
      <c r="E435" s="5"/>
      <c r="F435" s="5"/>
      <c r="I435" s="5"/>
      <c r="J435" s="5"/>
    </row>
    <row r="436" spans="2:10" s="7" customFormat="1" x14ac:dyDescent="0.2">
      <c r="B436" s="5"/>
      <c r="C436" s="5"/>
      <c r="D436" s="5"/>
      <c r="E436" s="5"/>
      <c r="F436" s="5"/>
      <c r="I436" s="5"/>
      <c r="J436" s="5"/>
    </row>
    <row r="437" spans="2:10" s="7" customFormat="1" x14ac:dyDescent="0.2">
      <c r="B437" s="5"/>
      <c r="C437" s="5"/>
      <c r="D437" s="5"/>
      <c r="E437" s="5"/>
      <c r="F437" s="5"/>
      <c r="I437" s="5"/>
      <c r="J437" s="5"/>
    </row>
    <row r="438" spans="2:10" s="7" customFormat="1" x14ac:dyDescent="0.2">
      <c r="B438" s="5"/>
      <c r="C438" s="5"/>
      <c r="D438" s="5"/>
      <c r="E438" s="5"/>
      <c r="F438" s="5"/>
      <c r="I438" s="5"/>
      <c r="J438" s="5"/>
    </row>
    <row r="439" spans="2:10" s="7" customFormat="1" x14ac:dyDescent="0.2">
      <c r="B439" s="5"/>
      <c r="C439" s="5"/>
      <c r="D439" s="5"/>
      <c r="E439" s="5"/>
      <c r="F439" s="5"/>
      <c r="I439" s="5"/>
      <c r="J439" s="5"/>
    </row>
    <row r="440" spans="2:10" s="7" customFormat="1" x14ac:dyDescent="0.2">
      <c r="B440" s="5"/>
      <c r="C440" s="5"/>
      <c r="D440" s="5"/>
      <c r="E440" s="5"/>
      <c r="F440" s="5"/>
      <c r="I440" s="5"/>
      <c r="J440" s="5"/>
    </row>
    <row r="441" spans="2:10" s="7" customFormat="1" x14ac:dyDescent="0.2">
      <c r="B441" s="5"/>
      <c r="C441" s="5"/>
      <c r="D441" s="5"/>
      <c r="E441" s="5"/>
      <c r="F441" s="5"/>
      <c r="I441" s="5"/>
      <c r="J441" s="5"/>
    </row>
    <row r="442" spans="2:10" s="7" customFormat="1" x14ac:dyDescent="0.2">
      <c r="B442" s="5"/>
      <c r="C442" s="5"/>
      <c r="D442" s="5"/>
      <c r="E442" s="5"/>
      <c r="F442" s="5"/>
      <c r="I442" s="5"/>
      <c r="J442" s="5"/>
    </row>
    <row r="443" spans="2:10" s="7" customFormat="1" x14ac:dyDescent="0.2">
      <c r="B443" s="5"/>
      <c r="C443" s="5"/>
      <c r="D443" s="5"/>
      <c r="E443" s="5"/>
      <c r="F443" s="5"/>
      <c r="I443" s="5"/>
      <c r="J443" s="5"/>
    </row>
    <row r="444" spans="2:10" s="7" customFormat="1" x14ac:dyDescent="0.2">
      <c r="B444" s="5"/>
      <c r="C444" s="5"/>
      <c r="D444" s="5"/>
      <c r="E444" s="5"/>
      <c r="F444" s="5"/>
      <c r="I444" s="5"/>
      <c r="J444" s="5"/>
    </row>
    <row r="445" spans="2:10" s="7" customFormat="1" x14ac:dyDescent="0.2">
      <c r="B445" s="5"/>
      <c r="C445" s="5"/>
      <c r="D445" s="5"/>
      <c r="E445" s="5"/>
      <c r="F445" s="5"/>
      <c r="I445" s="5"/>
      <c r="J445" s="5"/>
    </row>
    <row r="446" spans="2:10" s="7" customFormat="1" x14ac:dyDescent="0.2">
      <c r="B446" s="5"/>
      <c r="C446" s="5"/>
      <c r="D446" s="5"/>
      <c r="E446" s="5"/>
      <c r="F446" s="5"/>
      <c r="I446" s="5"/>
      <c r="J446" s="5"/>
    </row>
    <row r="447" spans="2:10" s="7" customFormat="1" x14ac:dyDescent="0.2">
      <c r="B447" s="5"/>
      <c r="C447" s="5"/>
      <c r="D447" s="5"/>
      <c r="E447" s="5"/>
      <c r="F447" s="5"/>
      <c r="I447" s="5"/>
      <c r="J447" s="5"/>
    </row>
    <row r="448" spans="2:10" s="7" customFormat="1" x14ac:dyDescent="0.2">
      <c r="B448" s="5"/>
      <c r="C448" s="5"/>
      <c r="D448" s="5"/>
      <c r="E448" s="5"/>
      <c r="F448" s="5"/>
      <c r="I448" s="5"/>
      <c r="J448" s="5"/>
    </row>
    <row r="449" spans="2:10" s="7" customFormat="1" x14ac:dyDescent="0.2">
      <c r="B449" s="5"/>
      <c r="C449" s="5"/>
      <c r="D449" s="5"/>
      <c r="E449" s="5"/>
      <c r="F449" s="5"/>
      <c r="I449" s="5"/>
      <c r="J449" s="5"/>
    </row>
  </sheetData>
  <autoFilter ref="A1:M246" xr:uid="{DAD00364-664A-470B-8B0C-3CB3FB80AFDB}"/>
  <dataValidations disablePrompts="1" count="1">
    <dataValidation type="time" allowBlank="1" showInputMessage="1" showErrorMessage="1" sqref="D33 D28:E32 D2:F2 F36:F42 D34:E42 D43:F44 D76:E84 D75 D70:E74 F78:F84 D85:F86 F120:F126 D118:E126 D117 D112:E116 D127:F128 D154:E158 F162:F168 D160:E168 D159 D169:F170 D195:F299" xr:uid="{BFBB6964-70D8-491F-A2BB-4E8B60F5D2BD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A9C54277-A210-444A-A108-A2A017B44F23}">
          <x14:formula1>
            <xm:f>Metadata!$F$2:$F$15</xm:f>
          </x14:formula1>
          <xm:sqref>I2:I299</xm:sqref>
        </x14:dataValidation>
        <x14:dataValidation type="list" allowBlank="1" showInputMessage="1" showErrorMessage="1" xr:uid="{07F2DEF3-1FE9-4A95-A93C-ADA3BE407609}">
          <x14:formula1>
            <xm:f>Metadata!$C$3:$C$14</xm:f>
          </x14:formula1>
          <xm:sqref>B2:B299</xm:sqref>
        </x14:dataValidation>
        <x14:dataValidation type="list" allowBlank="1" showInputMessage="1" showErrorMessage="1" xr:uid="{C3FF0CA9-2A6D-4190-9E20-EC72773B3B03}">
          <x14:formula1>
            <xm:f>Metadata!$C$2:$C$15</xm:f>
          </x14:formula1>
          <xm:sqref>H2:H299</xm:sqref>
        </x14:dataValidation>
        <x14:dataValidation type="list" allowBlank="1" showInputMessage="1" showErrorMessage="1" xr:uid="{93A1B64F-80E1-4DF1-B55C-DCD42A17145F}">
          <x14:formula1>
            <xm:f>Metadata!$A$2:$A$15</xm:f>
          </x14:formula1>
          <xm:sqref>G2:G298</xm:sqref>
        </x14:dataValidation>
        <x14:dataValidation type="list" allowBlank="1" showInputMessage="1" showErrorMessage="1" xr:uid="{C3F289A5-A1A2-4903-8BBA-81F3F09A3BB1}">
          <x14:formula1>
            <xm:f>Metadata!$H$2:$H$5</xm:f>
          </x14:formula1>
          <xm:sqref>A2:A299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E1B5-8851-4D86-817F-04E32C587CFD}">
  <sheetPr codeName="Tabelle4">
    <pageSetUpPr fitToPage="1"/>
  </sheetPr>
  <dimension ref="A1:K449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11" sqref="A11"/>
      <selection pane="bottomRight" activeCell="C2" sqref="C2"/>
    </sheetView>
  </sheetViews>
  <sheetFormatPr baseColWidth="10" defaultColWidth="11.42578125" defaultRowHeight="14.25" x14ac:dyDescent="0.2"/>
  <cols>
    <col min="1" max="1" width="21.28515625" style="7" hidden="1" customWidth="1"/>
    <col min="2" max="2" width="15.8554687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7.710937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2" width="11.42578125" style="5"/>
    <col min="13" max="13" width="15.42578125" style="5" customWidth="1"/>
    <col min="14" max="16384" width="11.42578125" style="5"/>
  </cols>
  <sheetData>
    <row r="1" spans="1:11" s="18" customFormat="1" ht="60.75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1" s="13" customFormat="1" ht="29.25" thickBot="1" x14ac:dyDescent="0.3">
      <c r="A2" s="19" t="s">
        <v>47</v>
      </c>
      <c r="B2" s="10" t="s">
        <v>1</v>
      </c>
      <c r="C2" s="14">
        <v>46113</v>
      </c>
      <c r="D2" s="11"/>
      <c r="E2" s="11"/>
      <c r="F2" s="12">
        <f>+(E2-D2)*24</f>
        <v>0</v>
      </c>
      <c r="G2" s="20"/>
      <c r="H2" s="20"/>
      <c r="I2" s="9"/>
      <c r="J2" s="9"/>
      <c r="K2" s="9"/>
    </row>
    <row r="3" spans="1:11" s="13" customFormat="1" ht="29.25" thickBot="1" x14ac:dyDescent="0.3">
      <c r="A3" s="19" t="s">
        <v>47</v>
      </c>
      <c r="B3" s="10" t="s">
        <v>1</v>
      </c>
      <c r="C3" s="14">
        <v>46113</v>
      </c>
      <c r="D3" s="11"/>
      <c r="E3" s="11"/>
      <c r="F3" s="12">
        <f>+(E3-D3)*24</f>
        <v>0</v>
      </c>
      <c r="G3" s="20"/>
      <c r="H3" s="20"/>
      <c r="I3" s="9"/>
      <c r="J3" s="9"/>
      <c r="K3" s="9"/>
    </row>
    <row r="4" spans="1:11" s="13" customFormat="1" ht="29.25" thickBot="1" x14ac:dyDescent="0.3">
      <c r="A4" s="19" t="s">
        <v>47</v>
      </c>
      <c r="B4" s="10" t="s">
        <v>1</v>
      </c>
      <c r="C4" s="14">
        <v>46113</v>
      </c>
      <c r="D4" s="11"/>
      <c r="E4" s="11"/>
      <c r="F4" s="12">
        <f>+(E4-D4)*24</f>
        <v>0</v>
      </c>
      <c r="G4" s="20"/>
      <c r="H4" s="20"/>
      <c r="I4" s="9"/>
      <c r="J4" s="9"/>
      <c r="K4" s="9"/>
    </row>
    <row r="5" spans="1:11" s="13" customFormat="1" ht="29.25" thickBot="1" x14ac:dyDescent="0.3">
      <c r="A5" s="19" t="s">
        <v>47</v>
      </c>
      <c r="B5" s="10" t="s">
        <v>1</v>
      </c>
      <c r="C5" s="14">
        <v>46113</v>
      </c>
      <c r="D5" s="11"/>
      <c r="E5" s="11"/>
      <c r="F5" s="12">
        <f>+(E5-D5)*24</f>
        <v>0</v>
      </c>
      <c r="G5" s="20"/>
      <c r="H5" s="20"/>
      <c r="I5" s="9"/>
      <c r="J5" s="9"/>
      <c r="K5" s="9"/>
    </row>
    <row r="6" spans="1:11" s="13" customFormat="1" ht="29.25" thickBot="1" x14ac:dyDescent="0.3">
      <c r="A6" s="19" t="s">
        <v>47</v>
      </c>
      <c r="B6" s="10" t="s">
        <v>1</v>
      </c>
      <c r="C6" s="14">
        <v>46113</v>
      </c>
      <c r="D6" s="11"/>
      <c r="E6" s="11"/>
      <c r="F6" s="12">
        <f t="shared" ref="F6:F69" si="0">+(E6-D6)*24</f>
        <v>0</v>
      </c>
      <c r="G6" s="20"/>
      <c r="H6" s="20"/>
      <c r="I6" s="9"/>
      <c r="J6" s="9"/>
      <c r="K6" s="9"/>
    </row>
    <row r="7" spans="1:11" s="13" customFormat="1" ht="29.25" thickBot="1" x14ac:dyDescent="0.3">
      <c r="A7" s="19" t="s">
        <v>47</v>
      </c>
      <c r="B7" s="10" t="s">
        <v>1</v>
      </c>
      <c r="C7" s="14">
        <v>46113</v>
      </c>
      <c r="D7" s="11"/>
      <c r="E7" s="11"/>
      <c r="F7" s="12">
        <f t="shared" si="0"/>
        <v>0</v>
      </c>
      <c r="G7" s="20"/>
      <c r="H7" s="20"/>
      <c r="I7" s="9"/>
      <c r="J7" s="9"/>
      <c r="K7" s="9"/>
    </row>
    <row r="8" spans="1:11" s="13" customFormat="1" ht="13.9" customHeight="1" thickBot="1" x14ac:dyDescent="0.3">
      <c r="A8" s="19" t="s">
        <v>47</v>
      </c>
      <c r="B8" s="10" t="s">
        <v>1</v>
      </c>
      <c r="C8" s="14">
        <v>46113</v>
      </c>
      <c r="D8" s="11"/>
      <c r="E8" s="11"/>
      <c r="F8" s="12">
        <f t="shared" si="0"/>
        <v>0</v>
      </c>
      <c r="G8" s="20"/>
      <c r="H8" s="20"/>
      <c r="I8" s="9"/>
      <c r="J8" s="9"/>
      <c r="K8" s="9"/>
    </row>
    <row r="9" spans="1:11" s="13" customFormat="1" ht="29.25" thickBot="1" x14ac:dyDescent="0.3">
      <c r="A9" s="19" t="s">
        <v>47</v>
      </c>
      <c r="B9" s="10"/>
      <c r="C9" s="14">
        <v>46113</v>
      </c>
      <c r="D9" s="11"/>
      <c r="E9" s="11"/>
      <c r="F9" s="12">
        <f t="shared" si="0"/>
        <v>0</v>
      </c>
      <c r="G9" s="20"/>
      <c r="H9" s="20"/>
      <c r="I9" s="9"/>
      <c r="J9" s="9"/>
      <c r="K9" s="9"/>
    </row>
    <row r="10" spans="1:11" s="13" customFormat="1" ht="29.25" thickBot="1" x14ac:dyDescent="0.3">
      <c r="A10" s="19" t="s">
        <v>47</v>
      </c>
      <c r="B10" s="10" t="s">
        <v>1</v>
      </c>
      <c r="C10" s="14">
        <v>46114</v>
      </c>
      <c r="D10" s="11"/>
      <c r="E10" s="11"/>
      <c r="F10" s="12">
        <f t="shared" si="0"/>
        <v>0</v>
      </c>
      <c r="G10" s="20"/>
      <c r="H10" s="20"/>
      <c r="I10" s="9"/>
      <c r="J10" s="24"/>
      <c r="K10" s="9"/>
    </row>
    <row r="11" spans="1:11" s="13" customFormat="1" ht="29.25" thickBot="1" x14ac:dyDescent="0.3">
      <c r="A11" s="19" t="s">
        <v>47</v>
      </c>
      <c r="B11" s="10" t="s">
        <v>1</v>
      </c>
      <c r="C11" s="14">
        <v>46114</v>
      </c>
      <c r="D11" s="11"/>
      <c r="E11" s="11"/>
      <c r="F11" s="12">
        <f t="shared" si="0"/>
        <v>0</v>
      </c>
      <c r="G11" s="20"/>
      <c r="H11" s="20"/>
      <c r="I11" s="9"/>
      <c r="J11" s="24"/>
      <c r="K11" s="9"/>
    </row>
    <row r="12" spans="1:11" s="13" customFormat="1" ht="29.25" thickBot="1" x14ac:dyDescent="0.3">
      <c r="A12" s="19" t="s">
        <v>47</v>
      </c>
      <c r="B12" s="10" t="s">
        <v>1</v>
      </c>
      <c r="C12" s="14">
        <v>46114</v>
      </c>
      <c r="D12" s="11"/>
      <c r="E12" s="11"/>
      <c r="F12" s="12">
        <f t="shared" si="0"/>
        <v>0</v>
      </c>
      <c r="G12" s="20"/>
      <c r="H12" s="20"/>
      <c r="I12" s="9"/>
      <c r="J12" s="9"/>
      <c r="K12" s="9"/>
    </row>
    <row r="13" spans="1:11" s="13" customFormat="1" ht="29.25" thickBot="1" x14ac:dyDescent="0.3">
      <c r="A13" s="19" t="s">
        <v>47</v>
      </c>
      <c r="B13" s="10" t="s">
        <v>1</v>
      </c>
      <c r="C13" s="14">
        <v>46114</v>
      </c>
      <c r="D13" s="11"/>
      <c r="E13" s="11"/>
      <c r="F13" s="12">
        <f t="shared" si="0"/>
        <v>0</v>
      </c>
      <c r="G13" s="20"/>
      <c r="H13" s="20"/>
      <c r="I13" s="9"/>
      <c r="J13" s="9"/>
      <c r="K13" s="9"/>
    </row>
    <row r="14" spans="1:11" s="13" customFormat="1" ht="29.25" thickBot="1" x14ac:dyDescent="0.3">
      <c r="A14" s="19" t="s">
        <v>47</v>
      </c>
      <c r="B14" s="10" t="s">
        <v>1</v>
      </c>
      <c r="C14" s="14">
        <v>46114</v>
      </c>
      <c r="D14" s="11"/>
      <c r="E14" s="11"/>
      <c r="F14" s="12">
        <f t="shared" si="0"/>
        <v>0</v>
      </c>
      <c r="G14" s="20"/>
      <c r="H14" s="20"/>
      <c r="I14" s="9"/>
      <c r="J14" s="9"/>
      <c r="K14" s="9"/>
    </row>
    <row r="15" spans="1:11" s="13" customFormat="1" ht="29.25" thickBot="1" x14ac:dyDescent="0.3">
      <c r="A15" s="19" t="s">
        <v>47</v>
      </c>
      <c r="B15" s="10" t="s">
        <v>1</v>
      </c>
      <c r="C15" s="14">
        <v>46114</v>
      </c>
      <c r="D15" s="11"/>
      <c r="E15" s="11"/>
      <c r="F15" s="12">
        <f t="shared" si="0"/>
        <v>0</v>
      </c>
      <c r="G15" s="20"/>
      <c r="H15" s="20"/>
      <c r="I15" s="9"/>
      <c r="J15" s="9"/>
      <c r="K15" s="9"/>
    </row>
    <row r="16" spans="1:11" s="13" customFormat="1" ht="29.25" thickBot="1" x14ac:dyDescent="0.3">
      <c r="A16" s="19" t="s">
        <v>47</v>
      </c>
      <c r="B16" s="10" t="s">
        <v>1</v>
      </c>
      <c r="C16" s="14">
        <v>46114</v>
      </c>
      <c r="D16" s="11"/>
      <c r="E16" s="11"/>
      <c r="F16" s="12">
        <f t="shared" si="0"/>
        <v>0</v>
      </c>
      <c r="G16" s="20"/>
      <c r="H16" s="20"/>
      <c r="I16" s="9"/>
      <c r="J16" s="9"/>
      <c r="K16" s="9"/>
    </row>
    <row r="17" spans="1:11" s="13" customFormat="1" ht="29.25" thickBot="1" x14ac:dyDescent="0.3">
      <c r="A17" s="19" t="s">
        <v>47</v>
      </c>
      <c r="B17" s="10" t="s">
        <v>1</v>
      </c>
      <c r="C17" s="14">
        <v>46114</v>
      </c>
      <c r="D17" s="11"/>
      <c r="E17" s="11"/>
      <c r="F17" s="12">
        <f t="shared" si="0"/>
        <v>0</v>
      </c>
      <c r="G17" s="20"/>
      <c r="H17" s="20"/>
      <c r="I17" s="9"/>
      <c r="J17" s="9"/>
      <c r="K17" s="9"/>
    </row>
    <row r="18" spans="1:11" s="13" customFormat="1" ht="15.75" customHeight="1" thickBot="1" x14ac:dyDescent="0.3">
      <c r="A18" s="19" t="s">
        <v>47</v>
      </c>
      <c r="B18" s="10" t="s">
        <v>1</v>
      </c>
      <c r="C18" s="14">
        <v>46115</v>
      </c>
      <c r="D18" s="11">
        <v>0.35416666666666669</v>
      </c>
      <c r="E18" s="11">
        <v>0.6875</v>
      </c>
      <c r="F18" s="12">
        <f t="shared" si="0"/>
        <v>8</v>
      </c>
      <c r="G18" s="20" t="s">
        <v>21</v>
      </c>
      <c r="H18" s="20" t="s">
        <v>30</v>
      </c>
      <c r="I18" s="9"/>
      <c r="J18" s="9" t="s">
        <v>77</v>
      </c>
      <c r="K18" s="9"/>
    </row>
    <row r="19" spans="1:11" s="13" customFormat="1" ht="29.25" thickBot="1" x14ac:dyDescent="0.3">
      <c r="A19" s="19" t="s">
        <v>47</v>
      </c>
      <c r="B19" s="10" t="s">
        <v>1</v>
      </c>
      <c r="C19" s="14">
        <v>46116</v>
      </c>
      <c r="D19" s="11">
        <v>0.35416666666666669</v>
      </c>
      <c r="E19" s="11">
        <v>0.6875</v>
      </c>
      <c r="F19" s="12">
        <f t="shared" si="0"/>
        <v>8</v>
      </c>
      <c r="G19" s="20" t="s">
        <v>21</v>
      </c>
      <c r="H19" s="20" t="s">
        <v>30</v>
      </c>
      <c r="I19" s="9"/>
      <c r="J19" s="9" t="s">
        <v>71</v>
      </c>
      <c r="K19" s="9"/>
    </row>
    <row r="20" spans="1:11" s="13" customFormat="1" ht="29.25" thickBot="1" x14ac:dyDescent="0.3">
      <c r="A20" s="19" t="s">
        <v>47</v>
      </c>
      <c r="B20" s="10" t="s">
        <v>1</v>
      </c>
      <c r="C20" s="14">
        <v>46117</v>
      </c>
      <c r="D20" s="11">
        <v>0.35416666666666669</v>
      </c>
      <c r="E20" s="11">
        <v>0.6875</v>
      </c>
      <c r="F20" s="12">
        <f t="shared" si="0"/>
        <v>8</v>
      </c>
      <c r="G20" s="20" t="s">
        <v>21</v>
      </c>
      <c r="H20" s="20" t="s">
        <v>30</v>
      </c>
      <c r="I20" s="9"/>
      <c r="J20" s="9" t="s">
        <v>71</v>
      </c>
      <c r="K20" s="9"/>
    </row>
    <row r="21" spans="1:11" s="13" customFormat="1" ht="29.25" thickBot="1" x14ac:dyDescent="0.3">
      <c r="A21" s="19" t="s">
        <v>47</v>
      </c>
      <c r="B21" s="10" t="s">
        <v>1</v>
      </c>
      <c r="C21" s="14">
        <v>46118</v>
      </c>
      <c r="D21" s="11">
        <v>0.35416666666666669</v>
      </c>
      <c r="E21" s="11">
        <v>0.6875</v>
      </c>
      <c r="F21" s="12">
        <f>+(E21-D21)*24</f>
        <v>8</v>
      </c>
      <c r="G21" s="20" t="s">
        <v>21</v>
      </c>
      <c r="H21" s="20" t="s">
        <v>30</v>
      </c>
      <c r="I21" s="9"/>
      <c r="J21" s="9" t="s">
        <v>78</v>
      </c>
      <c r="K21" s="9"/>
    </row>
    <row r="22" spans="1:11" s="13" customFormat="1" ht="29.25" thickBot="1" x14ac:dyDescent="0.3">
      <c r="A22" s="19" t="s">
        <v>47</v>
      </c>
      <c r="B22" s="10" t="s">
        <v>1</v>
      </c>
      <c r="C22" s="14">
        <v>46119</v>
      </c>
      <c r="D22" s="11"/>
      <c r="E22" s="11"/>
      <c r="F22" s="12">
        <f t="shared" si="0"/>
        <v>0</v>
      </c>
      <c r="G22" s="20"/>
      <c r="H22" s="20"/>
      <c r="I22" s="9"/>
      <c r="J22" s="9"/>
      <c r="K22" s="9"/>
    </row>
    <row r="23" spans="1:11" s="13" customFormat="1" ht="29.25" thickBot="1" x14ac:dyDescent="0.3">
      <c r="A23" s="19" t="s">
        <v>47</v>
      </c>
      <c r="B23" s="10" t="s">
        <v>1</v>
      </c>
      <c r="C23" s="14">
        <v>46119</v>
      </c>
      <c r="D23" s="11"/>
      <c r="E23" s="11"/>
      <c r="F23" s="12">
        <f t="shared" si="0"/>
        <v>0</v>
      </c>
      <c r="G23" s="20"/>
      <c r="H23" s="20"/>
      <c r="I23" s="9"/>
      <c r="J23" s="9"/>
      <c r="K23" s="9"/>
    </row>
    <row r="24" spans="1:11" s="13" customFormat="1" ht="29.25" thickBot="1" x14ac:dyDescent="0.3">
      <c r="A24" s="19" t="s">
        <v>47</v>
      </c>
      <c r="B24" s="10" t="s">
        <v>1</v>
      </c>
      <c r="C24" s="14">
        <v>46119</v>
      </c>
      <c r="D24" s="11"/>
      <c r="E24" s="11"/>
      <c r="F24" s="12">
        <f t="shared" si="0"/>
        <v>0</v>
      </c>
      <c r="G24" s="20"/>
      <c r="H24" s="20"/>
      <c r="I24" s="9"/>
      <c r="J24" s="9"/>
      <c r="K24" s="9"/>
    </row>
    <row r="25" spans="1:11" s="13" customFormat="1" ht="29.25" thickBot="1" x14ac:dyDescent="0.3">
      <c r="A25" s="19" t="s">
        <v>47</v>
      </c>
      <c r="B25" s="10" t="s">
        <v>1</v>
      </c>
      <c r="C25" s="14">
        <v>46119</v>
      </c>
      <c r="D25" s="11"/>
      <c r="E25" s="11"/>
      <c r="F25" s="12">
        <f t="shared" si="0"/>
        <v>0</v>
      </c>
      <c r="G25" s="20"/>
      <c r="H25" s="20"/>
      <c r="I25" s="9"/>
      <c r="J25" s="9"/>
      <c r="K25" s="9"/>
    </row>
    <row r="26" spans="1:11" s="13" customFormat="1" ht="29.25" thickBot="1" x14ac:dyDescent="0.3">
      <c r="A26" s="19" t="s">
        <v>47</v>
      </c>
      <c r="B26" s="10" t="s">
        <v>1</v>
      </c>
      <c r="C26" s="14">
        <v>46119</v>
      </c>
      <c r="D26" s="11"/>
      <c r="E26" s="11"/>
      <c r="F26" s="12">
        <f t="shared" si="0"/>
        <v>0</v>
      </c>
      <c r="G26" s="20"/>
      <c r="H26" s="20"/>
      <c r="I26" s="9"/>
      <c r="J26" s="9"/>
      <c r="K26" s="9"/>
    </row>
    <row r="27" spans="1:11" s="13" customFormat="1" ht="29.25" thickBot="1" x14ac:dyDescent="0.3">
      <c r="A27" s="19" t="s">
        <v>47</v>
      </c>
      <c r="B27" s="10" t="s">
        <v>1</v>
      </c>
      <c r="C27" s="14">
        <v>46119</v>
      </c>
      <c r="D27" s="11"/>
      <c r="E27" s="11"/>
      <c r="F27" s="12">
        <f t="shared" si="0"/>
        <v>0</v>
      </c>
      <c r="G27" s="20"/>
      <c r="H27" s="20"/>
      <c r="I27" s="9"/>
      <c r="J27" s="9"/>
      <c r="K27" s="9"/>
    </row>
    <row r="28" spans="1:11" s="13" customFormat="1" ht="29.25" thickBot="1" x14ac:dyDescent="0.3">
      <c r="A28" s="19" t="s">
        <v>47</v>
      </c>
      <c r="B28" s="10" t="s">
        <v>1</v>
      </c>
      <c r="C28" s="14">
        <v>46119</v>
      </c>
      <c r="D28" s="11"/>
      <c r="E28" s="11"/>
      <c r="F28" s="12">
        <f t="shared" si="0"/>
        <v>0</v>
      </c>
      <c r="G28" s="20"/>
      <c r="H28" s="20"/>
      <c r="I28" s="9"/>
      <c r="J28" s="9"/>
      <c r="K28" s="9"/>
    </row>
    <row r="29" spans="1:11" s="13" customFormat="1" ht="29.25" thickBot="1" x14ac:dyDescent="0.3">
      <c r="A29" s="19" t="s">
        <v>47</v>
      </c>
      <c r="B29" s="10" t="s">
        <v>1</v>
      </c>
      <c r="C29" s="14">
        <v>46119</v>
      </c>
      <c r="D29" s="11"/>
      <c r="E29" s="11"/>
      <c r="F29" s="12">
        <f t="shared" si="0"/>
        <v>0</v>
      </c>
      <c r="G29" s="20"/>
      <c r="H29" s="20"/>
      <c r="I29" s="9"/>
      <c r="J29" s="9"/>
      <c r="K29" s="9"/>
    </row>
    <row r="30" spans="1:11" s="13" customFormat="1" ht="29.25" thickBot="1" x14ac:dyDescent="0.3">
      <c r="A30" s="19" t="s">
        <v>47</v>
      </c>
      <c r="B30" s="10" t="s">
        <v>1</v>
      </c>
      <c r="C30" s="14">
        <v>46120</v>
      </c>
      <c r="D30" s="11"/>
      <c r="E30" s="11"/>
      <c r="F30" s="12">
        <f t="shared" si="0"/>
        <v>0</v>
      </c>
      <c r="G30" s="20"/>
      <c r="H30" s="20"/>
      <c r="I30" s="9"/>
      <c r="J30" s="9"/>
      <c r="K30" s="9"/>
    </row>
    <row r="31" spans="1:11" s="13" customFormat="1" ht="29.25" thickBot="1" x14ac:dyDescent="0.3">
      <c r="A31" s="19" t="s">
        <v>47</v>
      </c>
      <c r="B31" s="10" t="s">
        <v>1</v>
      </c>
      <c r="C31" s="14">
        <v>46120</v>
      </c>
      <c r="D31" s="11"/>
      <c r="E31" s="11"/>
      <c r="F31" s="12">
        <f t="shared" si="0"/>
        <v>0</v>
      </c>
      <c r="G31" s="20"/>
      <c r="H31" s="20"/>
      <c r="I31" s="9"/>
      <c r="J31" s="9"/>
      <c r="K31" s="9"/>
    </row>
    <row r="32" spans="1:11" s="13" customFormat="1" ht="29.25" thickBot="1" x14ac:dyDescent="0.3">
      <c r="A32" s="19" t="s">
        <v>47</v>
      </c>
      <c r="B32" s="10" t="s">
        <v>1</v>
      </c>
      <c r="C32" s="14">
        <v>46120</v>
      </c>
      <c r="D32" s="11"/>
      <c r="E32" s="11"/>
      <c r="F32" s="12">
        <f t="shared" si="0"/>
        <v>0</v>
      </c>
      <c r="G32" s="20"/>
      <c r="H32" s="20"/>
      <c r="I32" s="9"/>
      <c r="J32" s="9"/>
      <c r="K32" s="9"/>
    </row>
    <row r="33" spans="1:11" s="13" customFormat="1" ht="29.25" thickBot="1" x14ac:dyDescent="0.3">
      <c r="A33" s="19" t="s">
        <v>47</v>
      </c>
      <c r="B33" s="10" t="s">
        <v>1</v>
      </c>
      <c r="C33" s="14">
        <v>46120</v>
      </c>
      <c r="D33" s="11"/>
      <c r="E33" s="11"/>
      <c r="F33" s="12">
        <f t="shared" si="0"/>
        <v>0</v>
      </c>
      <c r="G33" s="20"/>
      <c r="H33" s="20"/>
      <c r="I33" s="9"/>
      <c r="J33" s="9"/>
      <c r="K33" s="9"/>
    </row>
    <row r="34" spans="1:11" s="13" customFormat="1" ht="29.25" thickBot="1" x14ac:dyDescent="0.3">
      <c r="A34" s="19" t="s">
        <v>47</v>
      </c>
      <c r="B34" s="10" t="s">
        <v>1</v>
      </c>
      <c r="C34" s="14">
        <v>46120</v>
      </c>
      <c r="D34" s="11"/>
      <c r="E34" s="11"/>
      <c r="F34" s="12">
        <f t="shared" si="0"/>
        <v>0</v>
      </c>
      <c r="G34" s="20"/>
      <c r="H34" s="20"/>
      <c r="I34" s="9"/>
      <c r="J34" s="9"/>
      <c r="K34" s="9"/>
    </row>
    <row r="35" spans="1:11" s="13" customFormat="1" ht="29.25" thickBot="1" x14ac:dyDescent="0.3">
      <c r="A35" s="19" t="s">
        <v>47</v>
      </c>
      <c r="B35" s="10" t="s">
        <v>1</v>
      </c>
      <c r="C35" s="14">
        <v>46120</v>
      </c>
      <c r="D35" s="11"/>
      <c r="E35" s="11"/>
      <c r="F35" s="12">
        <f t="shared" si="0"/>
        <v>0</v>
      </c>
      <c r="G35" s="20"/>
      <c r="H35" s="20"/>
      <c r="I35" s="9"/>
      <c r="J35" s="9"/>
      <c r="K35" s="9"/>
    </row>
    <row r="36" spans="1:11" s="13" customFormat="1" ht="29.25" thickBot="1" x14ac:dyDescent="0.3">
      <c r="A36" s="19" t="s">
        <v>47</v>
      </c>
      <c r="B36" s="10" t="s">
        <v>1</v>
      </c>
      <c r="C36" s="14">
        <v>46120</v>
      </c>
      <c r="D36" s="11"/>
      <c r="E36" s="11"/>
      <c r="F36" s="12">
        <f t="shared" si="0"/>
        <v>0</v>
      </c>
      <c r="G36" s="20"/>
      <c r="H36" s="20"/>
      <c r="I36" s="9"/>
      <c r="J36" s="9"/>
      <c r="K36" s="9"/>
    </row>
    <row r="37" spans="1:11" s="13" customFormat="1" ht="29.25" thickBot="1" x14ac:dyDescent="0.3">
      <c r="A37" s="19" t="s">
        <v>47</v>
      </c>
      <c r="B37" s="10" t="s">
        <v>1</v>
      </c>
      <c r="C37" s="14">
        <v>46120</v>
      </c>
      <c r="D37" s="11"/>
      <c r="E37" s="11"/>
      <c r="F37" s="12">
        <f t="shared" si="0"/>
        <v>0</v>
      </c>
      <c r="G37" s="20"/>
      <c r="H37" s="20"/>
      <c r="I37" s="9"/>
      <c r="J37" s="9"/>
      <c r="K37" s="9"/>
    </row>
    <row r="38" spans="1:11" s="13" customFormat="1" ht="29.25" thickBot="1" x14ac:dyDescent="0.3">
      <c r="A38" s="19" t="s">
        <v>47</v>
      </c>
      <c r="B38" s="10" t="s">
        <v>1</v>
      </c>
      <c r="C38" s="14">
        <v>46121</v>
      </c>
      <c r="D38" s="11"/>
      <c r="E38" s="11"/>
      <c r="F38" s="12">
        <f t="shared" si="0"/>
        <v>0</v>
      </c>
      <c r="G38" s="20"/>
      <c r="H38" s="20"/>
      <c r="I38" s="9"/>
      <c r="J38" s="9"/>
      <c r="K38" s="9"/>
    </row>
    <row r="39" spans="1:11" s="13" customFormat="1" ht="29.25" thickBot="1" x14ac:dyDescent="0.3">
      <c r="A39" s="19" t="s">
        <v>47</v>
      </c>
      <c r="B39" s="10" t="s">
        <v>1</v>
      </c>
      <c r="C39" s="14">
        <v>46121</v>
      </c>
      <c r="D39" s="11"/>
      <c r="E39" s="11"/>
      <c r="F39" s="12">
        <f t="shared" si="0"/>
        <v>0</v>
      </c>
      <c r="G39" s="20"/>
      <c r="H39" s="20"/>
      <c r="I39" s="9"/>
      <c r="J39" s="9"/>
      <c r="K39" s="9"/>
    </row>
    <row r="40" spans="1:11" s="13" customFormat="1" ht="29.25" thickBot="1" x14ac:dyDescent="0.3">
      <c r="A40" s="19" t="s">
        <v>47</v>
      </c>
      <c r="B40" s="10" t="s">
        <v>1</v>
      </c>
      <c r="C40" s="14">
        <v>46121</v>
      </c>
      <c r="D40" s="11"/>
      <c r="E40" s="11"/>
      <c r="F40" s="12">
        <f t="shared" si="0"/>
        <v>0</v>
      </c>
      <c r="G40" s="20"/>
      <c r="H40" s="20"/>
      <c r="I40" s="9"/>
      <c r="J40" s="9"/>
      <c r="K40" s="9"/>
    </row>
    <row r="41" spans="1:11" s="13" customFormat="1" ht="29.25" thickBot="1" x14ac:dyDescent="0.3">
      <c r="A41" s="19" t="s">
        <v>47</v>
      </c>
      <c r="B41" s="10" t="s">
        <v>1</v>
      </c>
      <c r="C41" s="14">
        <v>46121</v>
      </c>
      <c r="D41" s="11"/>
      <c r="E41" s="11"/>
      <c r="F41" s="12">
        <f t="shared" si="0"/>
        <v>0</v>
      </c>
      <c r="G41" s="20"/>
      <c r="H41" s="20"/>
      <c r="I41" s="9"/>
      <c r="J41" s="9"/>
      <c r="K41" s="9"/>
    </row>
    <row r="42" spans="1:11" s="13" customFormat="1" ht="29.25" thickBot="1" x14ac:dyDescent="0.3">
      <c r="A42" s="19" t="s">
        <v>47</v>
      </c>
      <c r="B42" s="10" t="s">
        <v>1</v>
      </c>
      <c r="C42" s="14">
        <v>46121</v>
      </c>
      <c r="D42" s="11"/>
      <c r="E42" s="11"/>
      <c r="F42" s="12">
        <f t="shared" si="0"/>
        <v>0</v>
      </c>
      <c r="G42" s="20"/>
      <c r="H42" s="20"/>
      <c r="I42" s="9"/>
      <c r="J42" s="9"/>
      <c r="K42" s="9"/>
    </row>
    <row r="43" spans="1:11" s="13" customFormat="1" ht="29.25" thickBot="1" x14ac:dyDescent="0.3">
      <c r="A43" s="19" t="s">
        <v>47</v>
      </c>
      <c r="B43" s="10" t="s">
        <v>1</v>
      </c>
      <c r="C43" s="14">
        <v>46121</v>
      </c>
      <c r="D43" s="11"/>
      <c r="E43" s="11"/>
      <c r="F43" s="12">
        <f t="shared" si="0"/>
        <v>0</v>
      </c>
      <c r="G43" s="20"/>
      <c r="H43" s="20"/>
      <c r="I43" s="9"/>
      <c r="J43" s="9"/>
      <c r="K43" s="9"/>
    </row>
    <row r="44" spans="1:11" s="13" customFormat="1" ht="29.25" thickBot="1" x14ac:dyDescent="0.3">
      <c r="A44" s="19" t="s">
        <v>47</v>
      </c>
      <c r="B44" s="10" t="s">
        <v>1</v>
      </c>
      <c r="C44" s="14">
        <v>46121</v>
      </c>
      <c r="D44" s="11"/>
      <c r="E44" s="11"/>
      <c r="F44" s="12">
        <f t="shared" si="0"/>
        <v>0</v>
      </c>
      <c r="G44" s="20"/>
      <c r="H44" s="20"/>
      <c r="I44" s="9"/>
      <c r="J44" s="9"/>
      <c r="K44" s="9"/>
    </row>
    <row r="45" spans="1:11" s="13" customFormat="1" ht="29.25" thickBot="1" x14ac:dyDescent="0.3">
      <c r="A45" s="19" t="s">
        <v>47</v>
      </c>
      <c r="B45" s="10" t="s">
        <v>1</v>
      </c>
      <c r="C45" s="14">
        <v>46121</v>
      </c>
      <c r="D45" s="11"/>
      <c r="E45" s="11"/>
      <c r="F45" s="12">
        <f t="shared" si="0"/>
        <v>0</v>
      </c>
      <c r="G45" s="20"/>
      <c r="H45" s="20"/>
      <c r="I45" s="9"/>
      <c r="J45" s="9"/>
      <c r="K45" s="9"/>
    </row>
    <row r="46" spans="1:11" s="13" customFormat="1" ht="29.25" thickBot="1" x14ac:dyDescent="0.3">
      <c r="A46" s="19" t="s">
        <v>47</v>
      </c>
      <c r="B46" s="10" t="s">
        <v>1</v>
      </c>
      <c r="C46" s="14">
        <v>46122</v>
      </c>
      <c r="D46" s="11"/>
      <c r="E46" s="11"/>
      <c r="F46" s="12">
        <f t="shared" si="0"/>
        <v>0</v>
      </c>
      <c r="G46" s="20"/>
      <c r="H46" s="20"/>
      <c r="I46" s="9"/>
      <c r="J46" s="9"/>
      <c r="K46" s="9"/>
    </row>
    <row r="47" spans="1:11" s="13" customFormat="1" ht="29.25" thickBot="1" x14ac:dyDescent="0.3">
      <c r="A47" s="19" t="s">
        <v>47</v>
      </c>
      <c r="B47" s="10" t="s">
        <v>1</v>
      </c>
      <c r="C47" s="14">
        <v>46122</v>
      </c>
      <c r="D47" s="11"/>
      <c r="E47" s="11"/>
      <c r="F47" s="12">
        <f t="shared" si="0"/>
        <v>0</v>
      </c>
      <c r="G47" s="20"/>
      <c r="H47" s="20"/>
      <c r="I47" s="9"/>
      <c r="J47" s="9"/>
      <c r="K47" s="9"/>
    </row>
    <row r="48" spans="1:11" s="13" customFormat="1" ht="29.25" thickBot="1" x14ac:dyDescent="0.3">
      <c r="A48" s="19" t="s">
        <v>47</v>
      </c>
      <c r="B48" s="10" t="s">
        <v>1</v>
      </c>
      <c r="C48" s="14">
        <v>46122</v>
      </c>
      <c r="D48" s="11"/>
      <c r="E48" s="11"/>
      <c r="F48" s="12">
        <f t="shared" si="0"/>
        <v>0</v>
      </c>
      <c r="G48" s="20"/>
      <c r="H48" s="20"/>
      <c r="I48" s="9"/>
      <c r="J48" s="9"/>
      <c r="K48" s="9"/>
    </row>
    <row r="49" spans="1:11" s="13" customFormat="1" ht="13.9" customHeight="1" thickBot="1" x14ac:dyDescent="0.3">
      <c r="A49" s="19" t="s">
        <v>47</v>
      </c>
      <c r="B49" s="10" t="s">
        <v>1</v>
      </c>
      <c r="C49" s="14">
        <v>46122</v>
      </c>
      <c r="D49" s="11"/>
      <c r="E49" s="11"/>
      <c r="F49" s="12">
        <f t="shared" si="0"/>
        <v>0</v>
      </c>
      <c r="G49" s="20"/>
      <c r="H49" s="20"/>
      <c r="I49" s="9"/>
      <c r="J49" s="9"/>
      <c r="K49" s="9"/>
    </row>
    <row r="50" spans="1:11" s="13" customFormat="1" ht="29.25" thickBot="1" x14ac:dyDescent="0.3">
      <c r="A50" s="19" t="s">
        <v>47</v>
      </c>
      <c r="B50" s="10" t="s">
        <v>1</v>
      </c>
      <c r="C50" s="14">
        <v>46122</v>
      </c>
      <c r="D50" s="11"/>
      <c r="E50" s="11"/>
      <c r="F50" s="12">
        <f t="shared" si="0"/>
        <v>0</v>
      </c>
      <c r="G50" s="20"/>
      <c r="H50" s="20"/>
      <c r="I50" s="9"/>
      <c r="J50" s="9"/>
      <c r="K50" s="9"/>
    </row>
    <row r="51" spans="1:11" s="13" customFormat="1" ht="29.25" thickBot="1" x14ac:dyDescent="0.3">
      <c r="A51" s="19" t="s">
        <v>47</v>
      </c>
      <c r="B51" s="10" t="s">
        <v>1</v>
      </c>
      <c r="C51" s="14">
        <v>46122</v>
      </c>
      <c r="D51" s="11"/>
      <c r="E51" s="11"/>
      <c r="F51" s="12">
        <f t="shared" si="0"/>
        <v>0</v>
      </c>
      <c r="G51" s="20"/>
      <c r="H51" s="20"/>
      <c r="I51" s="9"/>
      <c r="J51" s="9"/>
      <c r="K51" s="9"/>
    </row>
    <row r="52" spans="1:11" s="13" customFormat="1" ht="29.25" thickBot="1" x14ac:dyDescent="0.3">
      <c r="A52" s="19" t="s">
        <v>47</v>
      </c>
      <c r="B52" s="10" t="s">
        <v>1</v>
      </c>
      <c r="C52" s="14">
        <v>46122</v>
      </c>
      <c r="D52" s="11"/>
      <c r="E52" s="11"/>
      <c r="F52" s="12">
        <f t="shared" si="0"/>
        <v>0</v>
      </c>
      <c r="G52" s="20"/>
      <c r="H52" s="20"/>
      <c r="I52" s="9"/>
      <c r="J52" s="9"/>
      <c r="K52" s="9"/>
    </row>
    <row r="53" spans="1:11" s="13" customFormat="1" ht="29.25" thickBot="1" x14ac:dyDescent="0.3">
      <c r="A53" s="19" t="s">
        <v>47</v>
      </c>
      <c r="B53" s="10"/>
      <c r="C53" s="14">
        <v>46122</v>
      </c>
      <c r="D53" s="11"/>
      <c r="E53" s="11"/>
      <c r="F53" s="12">
        <f t="shared" si="0"/>
        <v>0</v>
      </c>
      <c r="G53" s="20"/>
      <c r="H53" s="20"/>
      <c r="I53" s="9"/>
      <c r="J53" s="9"/>
      <c r="K53" s="9"/>
    </row>
    <row r="54" spans="1:11" s="13" customFormat="1" ht="29.25" thickBot="1" x14ac:dyDescent="0.3">
      <c r="A54" s="19" t="s">
        <v>47</v>
      </c>
      <c r="B54" s="10"/>
      <c r="C54" s="14">
        <v>46123</v>
      </c>
      <c r="D54" s="11">
        <v>0.35416666666666669</v>
      </c>
      <c r="E54" s="11">
        <v>0.6875</v>
      </c>
      <c r="F54" s="12">
        <f>+(E54-D54)*24</f>
        <v>8</v>
      </c>
      <c r="G54" s="20" t="s">
        <v>21</v>
      </c>
      <c r="H54" s="20" t="s">
        <v>30</v>
      </c>
      <c r="I54" s="9"/>
      <c r="J54" s="9" t="s">
        <v>71</v>
      </c>
      <c r="K54" s="9"/>
    </row>
    <row r="55" spans="1:11" s="13" customFormat="1" ht="29.25" thickBot="1" x14ac:dyDescent="0.3">
      <c r="A55" s="19" t="s">
        <v>47</v>
      </c>
      <c r="B55" s="10"/>
      <c r="C55" s="14">
        <v>46124</v>
      </c>
      <c r="D55" s="11">
        <v>0.35416666666666669</v>
      </c>
      <c r="E55" s="11">
        <v>0.6875</v>
      </c>
      <c r="F55" s="12">
        <f>+(E55-D55)*24</f>
        <v>8</v>
      </c>
      <c r="G55" s="20" t="s">
        <v>21</v>
      </c>
      <c r="H55" s="20" t="s">
        <v>30</v>
      </c>
      <c r="I55" s="9"/>
      <c r="J55" s="9" t="s">
        <v>71</v>
      </c>
      <c r="K55" s="9"/>
    </row>
    <row r="56" spans="1:11" s="13" customFormat="1" ht="29.25" thickBot="1" x14ac:dyDescent="0.3">
      <c r="A56" s="19" t="s">
        <v>47</v>
      </c>
      <c r="B56" s="10"/>
      <c r="C56" s="14">
        <v>46125</v>
      </c>
      <c r="D56" s="11"/>
      <c r="E56" s="11"/>
      <c r="F56" s="12">
        <f t="shared" si="0"/>
        <v>0</v>
      </c>
      <c r="G56" s="20"/>
      <c r="H56" s="20"/>
      <c r="I56" s="9"/>
      <c r="J56" s="9"/>
      <c r="K56" s="9"/>
    </row>
    <row r="57" spans="1:11" s="13" customFormat="1" ht="29.25" thickBot="1" x14ac:dyDescent="0.3">
      <c r="A57" s="19" t="s">
        <v>47</v>
      </c>
      <c r="B57" s="10"/>
      <c r="C57" s="14">
        <v>46125</v>
      </c>
      <c r="D57" s="11"/>
      <c r="E57" s="11"/>
      <c r="F57" s="12">
        <f t="shared" si="0"/>
        <v>0</v>
      </c>
      <c r="G57" s="20"/>
      <c r="H57" s="20"/>
      <c r="I57" s="9"/>
      <c r="J57" s="9"/>
      <c r="K57" s="9"/>
    </row>
    <row r="58" spans="1:11" s="13" customFormat="1" ht="29.25" thickBot="1" x14ac:dyDescent="0.3">
      <c r="A58" s="19" t="s">
        <v>47</v>
      </c>
      <c r="B58" s="10"/>
      <c r="C58" s="14">
        <v>46125</v>
      </c>
      <c r="D58" s="11"/>
      <c r="E58" s="11"/>
      <c r="F58" s="12">
        <f t="shared" si="0"/>
        <v>0</v>
      </c>
      <c r="G58" s="20"/>
      <c r="H58" s="20"/>
      <c r="I58" s="9"/>
      <c r="J58" s="9"/>
      <c r="K58" s="9"/>
    </row>
    <row r="59" spans="1:11" s="13" customFormat="1" ht="29.25" thickBot="1" x14ac:dyDescent="0.3">
      <c r="A59" s="19" t="s">
        <v>47</v>
      </c>
      <c r="B59" s="10"/>
      <c r="C59" s="14">
        <v>46125</v>
      </c>
      <c r="D59" s="11"/>
      <c r="E59" s="11"/>
      <c r="F59" s="12">
        <f t="shared" si="0"/>
        <v>0</v>
      </c>
      <c r="G59" s="20"/>
      <c r="H59" s="20"/>
      <c r="I59" s="9"/>
      <c r="J59" s="9"/>
      <c r="K59" s="9"/>
    </row>
    <row r="60" spans="1:11" s="13" customFormat="1" ht="29.25" thickBot="1" x14ac:dyDescent="0.3">
      <c r="A60" s="19" t="s">
        <v>47</v>
      </c>
      <c r="B60" s="10"/>
      <c r="C60" s="14">
        <v>46125</v>
      </c>
      <c r="D60" s="11"/>
      <c r="E60" s="11"/>
      <c r="F60" s="12">
        <f t="shared" si="0"/>
        <v>0</v>
      </c>
      <c r="G60" s="20"/>
      <c r="H60" s="20"/>
      <c r="I60" s="9"/>
      <c r="J60" s="9"/>
      <c r="K60" s="9"/>
    </row>
    <row r="61" spans="1:11" s="13" customFormat="1" ht="29.25" thickBot="1" x14ac:dyDescent="0.3">
      <c r="A61" s="19" t="s">
        <v>47</v>
      </c>
      <c r="B61" s="10"/>
      <c r="C61" s="14">
        <v>46125</v>
      </c>
      <c r="D61" s="11"/>
      <c r="E61" s="11"/>
      <c r="F61" s="12">
        <f t="shared" si="0"/>
        <v>0</v>
      </c>
      <c r="G61" s="20"/>
      <c r="H61" s="20"/>
      <c r="I61" s="9"/>
      <c r="J61" s="9"/>
      <c r="K61" s="9"/>
    </row>
    <row r="62" spans="1:11" s="13" customFormat="1" ht="29.25" thickBot="1" x14ac:dyDescent="0.3">
      <c r="A62" s="19" t="s">
        <v>47</v>
      </c>
      <c r="B62" s="10"/>
      <c r="C62" s="14">
        <v>46125</v>
      </c>
      <c r="D62" s="11"/>
      <c r="E62" s="11"/>
      <c r="F62" s="12">
        <f t="shared" si="0"/>
        <v>0</v>
      </c>
      <c r="G62" s="20"/>
      <c r="H62" s="20"/>
      <c r="I62" s="9"/>
      <c r="J62" s="9"/>
      <c r="K62" s="9"/>
    </row>
    <row r="63" spans="1:11" s="13" customFormat="1" ht="29.25" thickBot="1" x14ac:dyDescent="0.3">
      <c r="A63" s="19" t="s">
        <v>47</v>
      </c>
      <c r="B63" s="10"/>
      <c r="C63" s="14">
        <v>46125</v>
      </c>
      <c r="D63" s="11"/>
      <c r="E63" s="11"/>
      <c r="F63" s="12">
        <f t="shared" si="0"/>
        <v>0</v>
      </c>
      <c r="G63" s="20"/>
      <c r="H63" s="20"/>
      <c r="I63" s="9"/>
      <c r="J63" s="9"/>
      <c r="K63" s="9"/>
    </row>
    <row r="64" spans="1:11" s="13" customFormat="1" ht="29.25" thickBot="1" x14ac:dyDescent="0.3">
      <c r="A64" s="19" t="s">
        <v>47</v>
      </c>
      <c r="B64" s="10"/>
      <c r="C64" s="14">
        <v>46126</v>
      </c>
      <c r="D64" s="11"/>
      <c r="E64" s="11"/>
      <c r="F64" s="12">
        <f t="shared" si="0"/>
        <v>0</v>
      </c>
      <c r="G64" s="20"/>
      <c r="H64" s="20"/>
      <c r="I64" s="9"/>
      <c r="J64" s="9"/>
      <c r="K64" s="9"/>
    </row>
    <row r="65" spans="1:11" s="13" customFormat="1" ht="29.25" thickBot="1" x14ac:dyDescent="0.3">
      <c r="A65" s="19" t="s">
        <v>47</v>
      </c>
      <c r="B65" s="10"/>
      <c r="C65" s="14">
        <v>46126</v>
      </c>
      <c r="D65" s="11"/>
      <c r="E65" s="11"/>
      <c r="F65" s="12">
        <f t="shared" si="0"/>
        <v>0</v>
      </c>
      <c r="G65" s="20"/>
      <c r="H65" s="20"/>
      <c r="I65" s="9"/>
      <c r="J65" s="9"/>
      <c r="K65" s="9"/>
    </row>
    <row r="66" spans="1:11" s="13" customFormat="1" ht="29.25" thickBot="1" x14ac:dyDescent="0.3">
      <c r="A66" s="19" t="s">
        <v>47</v>
      </c>
      <c r="B66" s="10"/>
      <c r="C66" s="14">
        <v>46126</v>
      </c>
      <c r="D66" s="11"/>
      <c r="E66" s="11"/>
      <c r="F66" s="12">
        <f t="shared" si="0"/>
        <v>0</v>
      </c>
      <c r="G66" s="20"/>
      <c r="H66" s="20"/>
      <c r="I66" s="9"/>
      <c r="J66" s="9"/>
      <c r="K66" s="9"/>
    </row>
    <row r="67" spans="1:11" s="13" customFormat="1" ht="29.25" thickBot="1" x14ac:dyDescent="0.3">
      <c r="A67" s="19" t="s">
        <v>47</v>
      </c>
      <c r="B67" s="10"/>
      <c r="C67" s="14">
        <v>46126</v>
      </c>
      <c r="D67" s="11"/>
      <c r="E67" s="11"/>
      <c r="F67" s="12">
        <f t="shared" si="0"/>
        <v>0</v>
      </c>
      <c r="G67" s="20"/>
      <c r="H67" s="20"/>
      <c r="I67" s="9"/>
      <c r="J67" s="9"/>
      <c r="K67" s="9"/>
    </row>
    <row r="68" spans="1:11" s="13" customFormat="1" ht="29.25" thickBot="1" x14ac:dyDescent="0.3">
      <c r="A68" s="19" t="s">
        <v>47</v>
      </c>
      <c r="B68" s="10"/>
      <c r="C68" s="14">
        <v>46126</v>
      </c>
      <c r="D68" s="11"/>
      <c r="E68" s="11"/>
      <c r="F68" s="12">
        <f t="shared" si="0"/>
        <v>0</v>
      </c>
      <c r="G68" s="20"/>
      <c r="H68" s="20"/>
      <c r="I68" s="9"/>
      <c r="J68" s="9"/>
      <c r="K68" s="9"/>
    </row>
    <row r="69" spans="1:11" s="13" customFormat="1" ht="29.25" thickBot="1" x14ac:dyDescent="0.3">
      <c r="A69" s="19" t="s">
        <v>47</v>
      </c>
      <c r="B69" s="10"/>
      <c r="C69" s="14">
        <v>46126</v>
      </c>
      <c r="D69" s="11"/>
      <c r="E69" s="11"/>
      <c r="F69" s="12">
        <f t="shared" si="0"/>
        <v>0</v>
      </c>
      <c r="G69" s="20"/>
      <c r="H69" s="20"/>
      <c r="I69" s="9"/>
      <c r="J69" s="9"/>
      <c r="K69" s="9"/>
    </row>
    <row r="70" spans="1:11" s="13" customFormat="1" ht="29.25" thickBot="1" x14ac:dyDescent="0.3">
      <c r="A70" s="19" t="s">
        <v>47</v>
      </c>
      <c r="B70" s="10"/>
      <c r="C70" s="14">
        <v>46126</v>
      </c>
      <c r="D70" s="11"/>
      <c r="E70" s="11"/>
      <c r="F70" s="12">
        <f t="shared" ref="F70:F133" si="1">+(E70-D70)*24</f>
        <v>0</v>
      </c>
      <c r="G70" s="20"/>
      <c r="H70" s="20"/>
      <c r="I70" s="9"/>
      <c r="J70" s="9"/>
      <c r="K70" s="9"/>
    </row>
    <row r="71" spans="1:11" s="13" customFormat="1" ht="29.25" thickBot="1" x14ac:dyDescent="0.3">
      <c r="A71" s="19" t="s">
        <v>47</v>
      </c>
      <c r="B71" s="10"/>
      <c r="C71" s="14">
        <v>46126</v>
      </c>
      <c r="D71" s="11"/>
      <c r="E71" s="11"/>
      <c r="F71" s="12">
        <f t="shared" si="1"/>
        <v>0</v>
      </c>
      <c r="G71" s="20"/>
      <c r="H71" s="20"/>
      <c r="I71" s="9"/>
      <c r="J71" s="9"/>
      <c r="K71" s="9"/>
    </row>
    <row r="72" spans="1:11" s="13" customFormat="1" ht="29.25" thickBot="1" x14ac:dyDescent="0.3">
      <c r="A72" s="19" t="s">
        <v>47</v>
      </c>
      <c r="B72" s="10"/>
      <c r="C72" s="14">
        <v>46127</v>
      </c>
      <c r="D72" s="11"/>
      <c r="E72" s="11"/>
      <c r="F72" s="12">
        <f t="shared" si="1"/>
        <v>0</v>
      </c>
      <c r="G72" s="20"/>
      <c r="H72" s="20"/>
      <c r="I72" s="9"/>
      <c r="J72" s="9"/>
      <c r="K72" s="9"/>
    </row>
    <row r="73" spans="1:11" s="13" customFormat="1" ht="29.25" thickBot="1" x14ac:dyDescent="0.3">
      <c r="A73" s="19" t="s">
        <v>47</v>
      </c>
      <c r="B73" s="10"/>
      <c r="C73" s="14">
        <v>46127</v>
      </c>
      <c r="D73" s="11"/>
      <c r="E73" s="11"/>
      <c r="F73" s="12">
        <f t="shared" si="1"/>
        <v>0</v>
      </c>
      <c r="G73" s="20"/>
      <c r="H73" s="20"/>
      <c r="I73" s="9"/>
      <c r="J73" s="9"/>
      <c r="K73" s="9"/>
    </row>
    <row r="74" spans="1:11" s="13" customFormat="1" ht="29.25" thickBot="1" x14ac:dyDescent="0.3">
      <c r="A74" s="19" t="s">
        <v>47</v>
      </c>
      <c r="B74" s="10"/>
      <c r="C74" s="14">
        <v>46127</v>
      </c>
      <c r="D74" s="11"/>
      <c r="E74" s="11"/>
      <c r="F74" s="12">
        <f t="shared" si="1"/>
        <v>0</v>
      </c>
      <c r="G74" s="20"/>
      <c r="H74" s="20"/>
      <c r="I74" s="9"/>
      <c r="J74" s="9"/>
      <c r="K74" s="9"/>
    </row>
    <row r="75" spans="1:11" s="13" customFormat="1" ht="29.25" thickBot="1" x14ac:dyDescent="0.3">
      <c r="A75" s="19" t="s">
        <v>47</v>
      </c>
      <c r="B75" s="10"/>
      <c r="C75" s="14">
        <v>46127</v>
      </c>
      <c r="D75" s="11"/>
      <c r="E75" s="11"/>
      <c r="F75" s="12">
        <f t="shared" si="1"/>
        <v>0</v>
      </c>
      <c r="G75" s="20"/>
      <c r="H75" s="20"/>
      <c r="I75" s="9"/>
      <c r="J75" s="9"/>
      <c r="K75" s="9"/>
    </row>
    <row r="76" spans="1:11" s="13" customFormat="1" ht="29.25" thickBot="1" x14ac:dyDescent="0.3">
      <c r="A76" s="19" t="s">
        <v>47</v>
      </c>
      <c r="B76" s="10"/>
      <c r="C76" s="14">
        <v>46127</v>
      </c>
      <c r="D76" s="11"/>
      <c r="E76" s="11"/>
      <c r="F76" s="12">
        <f t="shared" si="1"/>
        <v>0</v>
      </c>
      <c r="G76" s="20"/>
      <c r="H76" s="20"/>
      <c r="I76" s="9"/>
      <c r="J76" s="9"/>
      <c r="K76" s="9"/>
    </row>
    <row r="77" spans="1:11" s="13" customFormat="1" ht="29.25" thickBot="1" x14ac:dyDescent="0.3">
      <c r="A77" s="19" t="s">
        <v>47</v>
      </c>
      <c r="B77" s="10"/>
      <c r="C77" s="14">
        <v>46127</v>
      </c>
      <c r="D77" s="11"/>
      <c r="E77" s="11"/>
      <c r="F77" s="12">
        <f t="shared" si="1"/>
        <v>0</v>
      </c>
      <c r="G77" s="20"/>
      <c r="H77" s="20"/>
      <c r="I77" s="9"/>
      <c r="J77" s="9"/>
      <c r="K77" s="9"/>
    </row>
    <row r="78" spans="1:11" s="13" customFormat="1" ht="29.25" thickBot="1" x14ac:dyDescent="0.3">
      <c r="A78" s="19" t="s">
        <v>47</v>
      </c>
      <c r="B78" s="10"/>
      <c r="C78" s="14">
        <v>46127</v>
      </c>
      <c r="D78" s="11"/>
      <c r="E78" s="11"/>
      <c r="F78" s="12">
        <f t="shared" si="1"/>
        <v>0</v>
      </c>
      <c r="G78" s="20"/>
      <c r="H78" s="20"/>
      <c r="I78" s="9"/>
      <c r="J78" s="9"/>
      <c r="K78" s="9"/>
    </row>
    <row r="79" spans="1:11" s="13" customFormat="1" ht="29.25" thickBot="1" x14ac:dyDescent="0.3">
      <c r="A79" s="19" t="s">
        <v>47</v>
      </c>
      <c r="B79" s="10"/>
      <c r="C79" s="14">
        <v>46127</v>
      </c>
      <c r="D79" s="11"/>
      <c r="E79" s="11"/>
      <c r="F79" s="12">
        <f t="shared" si="1"/>
        <v>0</v>
      </c>
      <c r="G79" s="20"/>
      <c r="H79" s="20"/>
      <c r="I79" s="9"/>
      <c r="J79" s="9"/>
      <c r="K79" s="9"/>
    </row>
    <row r="80" spans="1:11" s="13" customFormat="1" ht="29.25" thickBot="1" x14ac:dyDescent="0.3">
      <c r="A80" s="19" t="s">
        <v>47</v>
      </c>
      <c r="B80" s="10"/>
      <c r="C80" s="14">
        <v>46128</v>
      </c>
      <c r="D80" s="11"/>
      <c r="E80" s="11"/>
      <c r="F80" s="12">
        <f t="shared" si="1"/>
        <v>0</v>
      </c>
      <c r="G80" s="20"/>
      <c r="H80" s="20"/>
      <c r="I80" s="9"/>
      <c r="J80" s="9"/>
      <c r="K80" s="9"/>
    </row>
    <row r="81" spans="1:11" s="13" customFormat="1" ht="29.25" thickBot="1" x14ac:dyDescent="0.3">
      <c r="A81" s="19" t="s">
        <v>47</v>
      </c>
      <c r="B81" s="10"/>
      <c r="C81" s="14">
        <v>46128</v>
      </c>
      <c r="D81" s="11"/>
      <c r="E81" s="11"/>
      <c r="F81" s="12">
        <f t="shared" si="1"/>
        <v>0</v>
      </c>
      <c r="G81" s="20"/>
      <c r="H81" s="20"/>
      <c r="I81" s="9"/>
      <c r="J81" s="9"/>
      <c r="K81" s="9"/>
    </row>
    <row r="82" spans="1:11" s="13" customFormat="1" ht="29.25" thickBot="1" x14ac:dyDescent="0.3">
      <c r="A82" s="19" t="s">
        <v>47</v>
      </c>
      <c r="B82" s="10"/>
      <c r="C82" s="14">
        <v>46128</v>
      </c>
      <c r="D82" s="11"/>
      <c r="E82" s="11"/>
      <c r="F82" s="12">
        <f t="shared" si="1"/>
        <v>0</v>
      </c>
      <c r="G82" s="20"/>
      <c r="H82" s="20"/>
      <c r="I82" s="9"/>
      <c r="J82" s="9"/>
      <c r="K82" s="9"/>
    </row>
    <row r="83" spans="1:11" s="13" customFormat="1" ht="29.25" thickBot="1" x14ac:dyDescent="0.3">
      <c r="A83" s="19" t="s">
        <v>47</v>
      </c>
      <c r="B83" s="10"/>
      <c r="C83" s="14">
        <v>46128</v>
      </c>
      <c r="D83" s="11"/>
      <c r="E83" s="11"/>
      <c r="F83" s="12">
        <f t="shared" si="1"/>
        <v>0</v>
      </c>
      <c r="G83" s="20"/>
      <c r="H83" s="20"/>
      <c r="I83" s="9"/>
      <c r="J83" s="9"/>
      <c r="K83" s="9"/>
    </row>
    <row r="84" spans="1:11" s="13" customFormat="1" ht="29.25" thickBot="1" x14ac:dyDescent="0.3">
      <c r="A84" s="19" t="s">
        <v>47</v>
      </c>
      <c r="B84" s="10"/>
      <c r="C84" s="14">
        <v>46128</v>
      </c>
      <c r="D84" s="11"/>
      <c r="E84" s="11"/>
      <c r="F84" s="12">
        <f t="shared" si="1"/>
        <v>0</v>
      </c>
      <c r="G84" s="20"/>
      <c r="H84" s="20"/>
      <c r="I84" s="9"/>
      <c r="J84" s="9"/>
      <c r="K84" s="9"/>
    </row>
    <row r="85" spans="1:11" s="13" customFormat="1" ht="29.25" thickBot="1" x14ac:dyDescent="0.3">
      <c r="A85" s="19" t="s">
        <v>47</v>
      </c>
      <c r="B85" s="10"/>
      <c r="C85" s="14">
        <v>46128</v>
      </c>
      <c r="D85" s="11"/>
      <c r="E85" s="11"/>
      <c r="F85" s="12">
        <f t="shared" si="1"/>
        <v>0</v>
      </c>
      <c r="G85" s="20"/>
      <c r="H85" s="20"/>
      <c r="I85" s="9"/>
      <c r="J85" s="9"/>
      <c r="K85" s="9"/>
    </row>
    <row r="86" spans="1:11" s="13" customFormat="1" ht="29.25" thickBot="1" x14ac:dyDescent="0.3">
      <c r="A86" s="19" t="s">
        <v>47</v>
      </c>
      <c r="B86" s="10"/>
      <c r="C86" s="14">
        <v>46128</v>
      </c>
      <c r="D86" s="11"/>
      <c r="E86" s="11"/>
      <c r="F86" s="12">
        <f t="shared" si="1"/>
        <v>0</v>
      </c>
      <c r="G86" s="20"/>
      <c r="H86" s="20"/>
      <c r="I86" s="9"/>
      <c r="J86" s="9"/>
      <c r="K86" s="9"/>
    </row>
    <row r="87" spans="1:11" s="13" customFormat="1" ht="29.25" thickBot="1" x14ac:dyDescent="0.3">
      <c r="A87" s="19" t="s">
        <v>47</v>
      </c>
      <c r="B87" s="10"/>
      <c r="C87" s="14">
        <v>46128</v>
      </c>
      <c r="D87" s="11"/>
      <c r="E87" s="11"/>
      <c r="F87" s="12">
        <f t="shared" si="1"/>
        <v>0</v>
      </c>
      <c r="G87" s="20"/>
      <c r="H87" s="20"/>
      <c r="I87" s="9"/>
      <c r="J87" s="9"/>
      <c r="K87" s="9"/>
    </row>
    <row r="88" spans="1:11" s="13" customFormat="1" ht="29.25" thickBot="1" x14ac:dyDescent="0.3">
      <c r="A88" s="19" t="s">
        <v>47</v>
      </c>
      <c r="B88" s="10"/>
      <c r="C88" s="14">
        <v>46129</v>
      </c>
      <c r="D88" s="11"/>
      <c r="E88" s="11"/>
      <c r="F88" s="12">
        <f t="shared" si="1"/>
        <v>0</v>
      </c>
      <c r="G88" s="20"/>
      <c r="H88" s="20"/>
      <c r="I88" s="9"/>
      <c r="J88" s="9"/>
      <c r="K88" s="9"/>
    </row>
    <row r="89" spans="1:11" s="13" customFormat="1" ht="29.25" thickBot="1" x14ac:dyDescent="0.3">
      <c r="A89" s="19" t="s">
        <v>47</v>
      </c>
      <c r="B89" s="10"/>
      <c r="C89" s="14">
        <v>46129</v>
      </c>
      <c r="D89" s="11"/>
      <c r="E89" s="11"/>
      <c r="F89" s="12">
        <f t="shared" si="1"/>
        <v>0</v>
      </c>
      <c r="G89" s="20"/>
      <c r="H89" s="20"/>
      <c r="I89" s="9"/>
      <c r="J89" s="9"/>
      <c r="K89" s="9"/>
    </row>
    <row r="90" spans="1:11" s="13" customFormat="1" ht="29.25" thickBot="1" x14ac:dyDescent="0.3">
      <c r="A90" s="19" t="s">
        <v>47</v>
      </c>
      <c r="B90" s="10"/>
      <c r="C90" s="14">
        <v>46129</v>
      </c>
      <c r="D90" s="11"/>
      <c r="E90" s="11"/>
      <c r="F90" s="12">
        <f t="shared" si="1"/>
        <v>0</v>
      </c>
      <c r="G90" s="20"/>
      <c r="H90" s="20"/>
      <c r="I90" s="9"/>
      <c r="J90" s="9"/>
      <c r="K90" s="9"/>
    </row>
    <row r="91" spans="1:11" s="13" customFormat="1" ht="29.25" thickBot="1" x14ac:dyDescent="0.3">
      <c r="A91" s="19" t="s">
        <v>47</v>
      </c>
      <c r="B91" s="10"/>
      <c r="C91" s="14">
        <v>46129</v>
      </c>
      <c r="D91" s="11"/>
      <c r="E91" s="11"/>
      <c r="F91" s="12">
        <f t="shared" si="1"/>
        <v>0</v>
      </c>
      <c r="G91" s="20"/>
      <c r="H91" s="20"/>
      <c r="I91" s="9"/>
      <c r="J91" s="9"/>
      <c r="K91" s="9"/>
    </row>
    <row r="92" spans="1:11" s="13" customFormat="1" ht="29.25" thickBot="1" x14ac:dyDescent="0.3">
      <c r="A92" s="19" t="s">
        <v>47</v>
      </c>
      <c r="B92" s="10"/>
      <c r="C92" s="14">
        <v>46129</v>
      </c>
      <c r="D92" s="11"/>
      <c r="E92" s="11"/>
      <c r="F92" s="12">
        <f t="shared" si="1"/>
        <v>0</v>
      </c>
      <c r="G92" s="20"/>
      <c r="H92" s="20"/>
      <c r="I92" s="9"/>
      <c r="J92" s="9"/>
      <c r="K92" s="9"/>
    </row>
    <row r="93" spans="1:11" s="13" customFormat="1" ht="29.25" thickBot="1" x14ac:dyDescent="0.3">
      <c r="A93" s="19" t="s">
        <v>47</v>
      </c>
      <c r="B93" s="10"/>
      <c r="C93" s="14">
        <v>46129</v>
      </c>
      <c r="D93" s="11"/>
      <c r="E93" s="11"/>
      <c r="F93" s="12">
        <f t="shared" si="1"/>
        <v>0</v>
      </c>
      <c r="G93" s="20"/>
      <c r="H93" s="20"/>
      <c r="I93" s="9"/>
      <c r="J93" s="9"/>
      <c r="K93" s="9"/>
    </row>
    <row r="94" spans="1:11" s="13" customFormat="1" ht="29.25" thickBot="1" x14ac:dyDescent="0.3">
      <c r="A94" s="19" t="s">
        <v>47</v>
      </c>
      <c r="B94" s="10"/>
      <c r="C94" s="14">
        <v>46129</v>
      </c>
      <c r="D94" s="11"/>
      <c r="E94" s="11"/>
      <c r="F94" s="12">
        <f t="shared" si="1"/>
        <v>0</v>
      </c>
      <c r="G94" s="20"/>
      <c r="H94" s="20"/>
      <c r="I94" s="9"/>
      <c r="J94" s="9"/>
      <c r="K94" s="9"/>
    </row>
    <row r="95" spans="1:11" s="13" customFormat="1" ht="29.25" thickBot="1" x14ac:dyDescent="0.3">
      <c r="A95" s="19" t="s">
        <v>47</v>
      </c>
      <c r="B95" s="10"/>
      <c r="C95" s="14">
        <v>46129</v>
      </c>
      <c r="D95" s="11"/>
      <c r="E95" s="11"/>
      <c r="F95" s="12">
        <f t="shared" si="1"/>
        <v>0</v>
      </c>
      <c r="G95" s="20"/>
      <c r="H95" s="20"/>
      <c r="I95" s="9"/>
      <c r="J95" s="9"/>
      <c r="K95" s="9"/>
    </row>
    <row r="96" spans="1:11" s="13" customFormat="1" ht="29.25" thickBot="1" x14ac:dyDescent="0.3">
      <c r="A96" s="19" t="s">
        <v>47</v>
      </c>
      <c r="B96" s="10"/>
      <c r="C96" s="14">
        <v>46130</v>
      </c>
      <c r="D96" s="11">
        <v>0.35416666666666669</v>
      </c>
      <c r="E96" s="11">
        <v>0.6875</v>
      </c>
      <c r="F96" s="12">
        <f t="shared" si="1"/>
        <v>8</v>
      </c>
      <c r="G96" s="20" t="s">
        <v>21</v>
      </c>
      <c r="H96" s="20" t="s">
        <v>30</v>
      </c>
      <c r="I96" s="9"/>
      <c r="J96" s="9" t="s">
        <v>71</v>
      </c>
      <c r="K96" s="9"/>
    </row>
    <row r="97" spans="1:11" s="13" customFormat="1" ht="29.25" thickBot="1" x14ac:dyDescent="0.3">
      <c r="A97" s="19" t="s">
        <v>47</v>
      </c>
      <c r="B97" s="10"/>
      <c r="C97" s="14">
        <v>46131</v>
      </c>
      <c r="D97" s="11">
        <v>0.35416666666666669</v>
      </c>
      <c r="E97" s="11">
        <v>0.6875</v>
      </c>
      <c r="F97" s="12">
        <f t="shared" si="1"/>
        <v>8</v>
      </c>
      <c r="G97" s="20" t="s">
        <v>21</v>
      </c>
      <c r="H97" s="20" t="s">
        <v>30</v>
      </c>
      <c r="I97" s="9"/>
      <c r="J97" s="9" t="s">
        <v>71</v>
      </c>
      <c r="K97" s="9"/>
    </row>
    <row r="98" spans="1:11" s="13" customFormat="1" ht="29.25" thickBot="1" x14ac:dyDescent="0.3">
      <c r="A98" s="19" t="s">
        <v>47</v>
      </c>
      <c r="B98" s="10"/>
      <c r="C98" s="14">
        <v>46132</v>
      </c>
      <c r="D98" s="11"/>
      <c r="E98" s="11"/>
      <c r="F98" s="12">
        <f t="shared" si="1"/>
        <v>0</v>
      </c>
      <c r="G98" s="20"/>
      <c r="H98" s="20"/>
      <c r="I98" s="9"/>
      <c r="J98" s="9"/>
      <c r="K98" s="9"/>
    </row>
    <row r="99" spans="1:11" s="13" customFormat="1" ht="29.25" thickBot="1" x14ac:dyDescent="0.3">
      <c r="A99" s="19" t="s">
        <v>47</v>
      </c>
      <c r="B99" s="10"/>
      <c r="C99" s="14">
        <v>46132</v>
      </c>
      <c r="D99" s="11"/>
      <c r="E99" s="11"/>
      <c r="F99" s="12">
        <f t="shared" si="1"/>
        <v>0</v>
      </c>
      <c r="G99" s="20"/>
      <c r="H99" s="20"/>
      <c r="I99" s="9"/>
      <c r="J99" s="9"/>
      <c r="K99" s="9"/>
    </row>
    <row r="100" spans="1:11" s="13" customFormat="1" ht="29.25" thickBot="1" x14ac:dyDescent="0.3">
      <c r="A100" s="19" t="s">
        <v>47</v>
      </c>
      <c r="B100" s="10"/>
      <c r="C100" s="14">
        <v>46132</v>
      </c>
      <c r="D100" s="11"/>
      <c r="E100" s="11"/>
      <c r="F100" s="12">
        <f t="shared" si="1"/>
        <v>0</v>
      </c>
      <c r="G100" s="20"/>
      <c r="H100" s="20"/>
      <c r="I100" s="9"/>
      <c r="J100" s="9"/>
      <c r="K100" s="9"/>
    </row>
    <row r="101" spans="1:11" s="13" customFormat="1" ht="29.25" thickBot="1" x14ac:dyDescent="0.3">
      <c r="A101" s="19" t="s">
        <v>47</v>
      </c>
      <c r="B101" s="10"/>
      <c r="C101" s="14">
        <v>46132</v>
      </c>
      <c r="D101" s="11"/>
      <c r="E101" s="11"/>
      <c r="F101" s="12">
        <f t="shared" si="1"/>
        <v>0</v>
      </c>
      <c r="G101" s="20"/>
      <c r="H101" s="20"/>
      <c r="I101" s="9"/>
      <c r="J101" s="9"/>
      <c r="K101" s="9"/>
    </row>
    <row r="102" spans="1:11" s="13" customFormat="1" ht="29.25" thickBot="1" x14ac:dyDescent="0.3">
      <c r="A102" s="19" t="s">
        <v>47</v>
      </c>
      <c r="B102" s="10"/>
      <c r="C102" s="14">
        <v>46132</v>
      </c>
      <c r="D102" s="11"/>
      <c r="E102" s="11"/>
      <c r="F102" s="12">
        <f t="shared" si="1"/>
        <v>0</v>
      </c>
      <c r="G102" s="20"/>
      <c r="H102" s="20"/>
      <c r="I102" s="9"/>
      <c r="J102" s="9"/>
      <c r="K102" s="9"/>
    </row>
    <row r="103" spans="1:11" s="13" customFormat="1" ht="29.25" thickBot="1" x14ac:dyDescent="0.3">
      <c r="A103" s="19" t="s">
        <v>47</v>
      </c>
      <c r="B103" s="10"/>
      <c r="C103" s="14">
        <v>46132</v>
      </c>
      <c r="D103" s="11"/>
      <c r="E103" s="11"/>
      <c r="F103" s="12">
        <f t="shared" si="1"/>
        <v>0</v>
      </c>
      <c r="G103" s="20"/>
      <c r="H103" s="20"/>
      <c r="I103" s="9"/>
      <c r="J103" s="9"/>
      <c r="K103" s="9"/>
    </row>
    <row r="104" spans="1:11" s="13" customFormat="1" ht="29.25" thickBot="1" x14ac:dyDescent="0.3">
      <c r="A104" s="19" t="s">
        <v>47</v>
      </c>
      <c r="B104" s="10"/>
      <c r="C104" s="14">
        <v>46132</v>
      </c>
      <c r="D104" s="11"/>
      <c r="E104" s="11"/>
      <c r="F104" s="12">
        <f t="shared" si="1"/>
        <v>0</v>
      </c>
      <c r="G104" s="20"/>
      <c r="H104" s="20"/>
      <c r="I104" s="9"/>
      <c r="J104" s="9"/>
      <c r="K104" s="9"/>
    </row>
    <row r="105" spans="1:11" s="13" customFormat="1" ht="29.25" thickBot="1" x14ac:dyDescent="0.3">
      <c r="A105" s="19" t="s">
        <v>47</v>
      </c>
      <c r="B105" s="10"/>
      <c r="C105" s="14">
        <v>46132</v>
      </c>
      <c r="D105" s="11"/>
      <c r="E105" s="11"/>
      <c r="F105" s="12">
        <f t="shared" si="1"/>
        <v>0</v>
      </c>
      <c r="G105" s="20"/>
      <c r="H105" s="20"/>
      <c r="I105" s="9"/>
      <c r="J105" s="9"/>
      <c r="K105" s="9"/>
    </row>
    <row r="106" spans="1:11" s="13" customFormat="1" ht="29.25" thickBot="1" x14ac:dyDescent="0.3">
      <c r="A106" s="19" t="s">
        <v>47</v>
      </c>
      <c r="B106" s="10"/>
      <c r="C106" s="14">
        <v>46133</v>
      </c>
      <c r="D106" s="11"/>
      <c r="E106" s="11"/>
      <c r="F106" s="12">
        <f t="shared" si="1"/>
        <v>0</v>
      </c>
      <c r="G106" s="20"/>
      <c r="H106" s="20"/>
      <c r="I106" s="9"/>
      <c r="J106" s="9"/>
      <c r="K106" s="9"/>
    </row>
    <row r="107" spans="1:11" s="13" customFormat="1" ht="29.25" thickBot="1" x14ac:dyDescent="0.3">
      <c r="A107" s="19" t="s">
        <v>47</v>
      </c>
      <c r="B107" s="10"/>
      <c r="C107" s="14">
        <v>46133</v>
      </c>
      <c r="D107" s="11"/>
      <c r="E107" s="11"/>
      <c r="F107" s="12">
        <f t="shared" si="1"/>
        <v>0</v>
      </c>
      <c r="G107" s="20"/>
      <c r="H107" s="20"/>
      <c r="I107" s="9"/>
      <c r="J107" s="9"/>
      <c r="K107" s="9"/>
    </row>
    <row r="108" spans="1:11" s="13" customFormat="1" ht="29.25" thickBot="1" x14ac:dyDescent="0.3">
      <c r="A108" s="19" t="s">
        <v>47</v>
      </c>
      <c r="B108" s="10"/>
      <c r="C108" s="14">
        <v>46133</v>
      </c>
      <c r="D108" s="11"/>
      <c r="E108" s="11"/>
      <c r="F108" s="12">
        <f t="shared" si="1"/>
        <v>0</v>
      </c>
      <c r="G108" s="20"/>
      <c r="H108" s="20"/>
      <c r="I108" s="9"/>
      <c r="J108" s="9"/>
      <c r="K108" s="9"/>
    </row>
    <row r="109" spans="1:11" s="13" customFormat="1" ht="29.25" thickBot="1" x14ac:dyDescent="0.3">
      <c r="A109" s="19" t="s">
        <v>47</v>
      </c>
      <c r="B109" s="10"/>
      <c r="C109" s="14">
        <v>46133</v>
      </c>
      <c r="D109" s="11"/>
      <c r="E109" s="11"/>
      <c r="F109" s="12">
        <f t="shared" si="1"/>
        <v>0</v>
      </c>
      <c r="G109" s="20"/>
      <c r="H109" s="20"/>
      <c r="I109" s="9"/>
      <c r="J109" s="9"/>
      <c r="K109" s="9"/>
    </row>
    <row r="110" spans="1:11" s="13" customFormat="1" ht="29.25" thickBot="1" x14ac:dyDescent="0.3">
      <c r="A110" s="19" t="s">
        <v>47</v>
      </c>
      <c r="B110" s="10"/>
      <c r="C110" s="14">
        <v>46133</v>
      </c>
      <c r="D110" s="11"/>
      <c r="E110" s="11"/>
      <c r="F110" s="12">
        <f t="shared" si="1"/>
        <v>0</v>
      </c>
      <c r="G110" s="20"/>
      <c r="H110" s="20"/>
      <c r="I110" s="9"/>
      <c r="J110" s="9"/>
      <c r="K110" s="9"/>
    </row>
    <row r="111" spans="1:11" s="13" customFormat="1" ht="29.25" thickBot="1" x14ac:dyDescent="0.3">
      <c r="A111" s="19" t="s">
        <v>47</v>
      </c>
      <c r="B111" s="10"/>
      <c r="C111" s="14">
        <v>46133</v>
      </c>
      <c r="D111" s="11"/>
      <c r="E111" s="11"/>
      <c r="F111" s="12">
        <f t="shared" si="1"/>
        <v>0</v>
      </c>
      <c r="G111" s="20"/>
      <c r="H111" s="20"/>
      <c r="I111" s="9"/>
      <c r="J111" s="9"/>
      <c r="K111" s="9"/>
    </row>
    <row r="112" spans="1:11" s="13" customFormat="1" ht="29.25" thickBot="1" x14ac:dyDescent="0.3">
      <c r="A112" s="19" t="s">
        <v>47</v>
      </c>
      <c r="B112" s="10"/>
      <c r="C112" s="14">
        <v>46133</v>
      </c>
      <c r="D112" s="11"/>
      <c r="E112" s="11"/>
      <c r="F112" s="12">
        <f t="shared" si="1"/>
        <v>0</v>
      </c>
      <c r="G112" s="20"/>
      <c r="H112" s="20"/>
      <c r="I112" s="9"/>
      <c r="J112" s="9"/>
      <c r="K112" s="9"/>
    </row>
    <row r="113" spans="1:11" s="13" customFormat="1" ht="29.25" thickBot="1" x14ac:dyDescent="0.3">
      <c r="A113" s="19" t="s">
        <v>47</v>
      </c>
      <c r="B113" s="10"/>
      <c r="C113" s="14">
        <v>46133</v>
      </c>
      <c r="D113" s="11"/>
      <c r="E113" s="11"/>
      <c r="F113" s="12">
        <f t="shared" si="1"/>
        <v>0</v>
      </c>
      <c r="G113" s="20"/>
      <c r="H113" s="20"/>
      <c r="I113" s="9"/>
      <c r="J113" s="9"/>
      <c r="K113" s="9"/>
    </row>
    <row r="114" spans="1:11" s="13" customFormat="1" ht="29.25" thickBot="1" x14ac:dyDescent="0.3">
      <c r="A114" s="19" t="s">
        <v>47</v>
      </c>
      <c r="B114" s="10"/>
      <c r="C114" s="14">
        <v>46134</v>
      </c>
      <c r="D114" s="11"/>
      <c r="E114" s="11"/>
      <c r="F114" s="12">
        <f t="shared" si="1"/>
        <v>0</v>
      </c>
      <c r="G114" s="20"/>
      <c r="H114" s="20"/>
      <c r="I114" s="9"/>
      <c r="J114" s="9"/>
      <c r="K114" s="9"/>
    </row>
    <row r="115" spans="1:11" s="13" customFormat="1" ht="29.25" thickBot="1" x14ac:dyDescent="0.3">
      <c r="A115" s="19" t="s">
        <v>47</v>
      </c>
      <c r="B115" s="10"/>
      <c r="C115" s="14">
        <v>46134</v>
      </c>
      <c r="D115" s="11"/>
      <c r="E115" s="11"/>
      <c r="F115" s="12">
        <f t="shared" si="1"/>
        <v>0</v>
      </c>
      <c r="G115" s="20"/>
      <c r="H115" s="20"/>
      <c r="I115" s="9"/>
      <c r="J115" s="9"/>
      <c r="K115" s="9"/>
    </row>
    <row r="116" spans="1:11" s="13" customFormat="1" ht="29.25" thickBot="1" x14ac:dyDescent="0.3">
      <c r="A116" s="19" t="s">
        <v>47</v>
      </c>
      <c r="B116" s="10"/>
      <c r="C116" s="14">
        <v>46134</v>
      </c>
      <c r="D116" s="11"/>
      <c r="E116" s="11"/>
      <c r="F116" s="12">
        <f t="shared" si="1"/>
        <v>0</v>
      </c>
      <c r="G116" s="20"/>
      <c r="H116" s="20"/>
      <c r="I116" s="9"/>
      <c r="J116" s="9"/>
      <c r="K116" s="9"/>
    </row>
    <row r="117" spans="1:11" s="13" customFormat="1" ht="29.25" thickBot="1" x14ac:dyDescent="0.3">
      <c r="A117" s="19" t="s">
        <v>47</v>
      </c>
      <c r="B117" s="10"/>
      <c r="C117" s="14">
        <v>46134</v>
      </c>
      <c r="D117" s="11"/>
      <c r="E117" s="11"/>
      <c r="F117" s="12">
        <f t="shared" si="1"/>
        <v>0</v>
      </c>
      <c r="G117" s="20"/>
      <c r="H117" s="20"/>
      <c r="I117" s="9"/>
      <c r="J117" s="9"/>
      <c r="K117" s="9"/>
    </row>
    <row r="118" spans="1:11" s="13" customFormat="1" ht="29.25" thickBot="1" x14ac:dyDescent="0.3">
      <c r="A118" s="19" t="s">
        <v>47</v>
      </c>
      <c r="B118" s="10"/>
      <c r="C118" s="14">
        <v>46134</v>
      </c>
      <c r="D118" s="11"/>
      <c r="E118" s="11"/>
      <c r="F118" s="12">
        <f t="shared" si="1"/>
        <v>0</v>
      </c>
      <c r="G118" s="20"/>
      <c r="H118" s="20"/>
      <c r="I118" s="9"/>
      <c r="J118" s="9"/>
      <c r="K118" s="9"/>
    </row>
    <row r="119" spans="1:11" s="13" customFormat="1" ht="29.25" thickBot="1" x14ac:dyDescent="0.3">
      <c r="A119" s="19" t="s">
        <v>47</v>
      </c>
      <c r="B119" s="10"/>
      <c r="C119" s="14">
        <v>46134</v>
      </c>
      <c r="D119" s="11"/>
      <c r="E119" s="11"/>
      <c r="F119" s="12">
        <f t="shared" si="1"/>
        <v>0</v>
      </c>
      <c r="G119" s="20"/>
      <c r="H119" s="20"/>
      <c r="I119" s="9"/>
      <c r="J119" s="9"/>
      <c r="K119" s="9"/>
    </row>
    <row r="120" spans="1:11" s="13" customFormat="1" ht="29.25" thickBot="1" x14ac:dyDescent="0.3">
      <c r="A120" s="19" t="s">
        <v>47</v>
      </c>
      <c r="B120" s="10"/>
      <c r="C120" s="14">
        <v>46134</v>
      </c>
      <c r="D120" s="11"/>
      <c r="E120" s="11"/>
      <c r="F120" s="12">
        <f t="shared" si="1"/>
        <v>0</v>
      </c>
      <c r="G120" s="20"/>
      <c r="H120" s="20"/>
      <c r="I120" s="9"/>
      <c r="J120" s="9"/>
      <c r="K120" s="9"/>
    </row>
    <row r="121" spans="1:11" s="13" customFormat="1" ht="29.25" thickBot="1" x14ac:dyDescent="0.3">
      <c r="A121" s="19" t="s">
        <v>47</v>
      </c>
      <c r="B121" s="10"/>
      <c r="C121" s="14">
        <v>46134</v>
      </c>
      <c r="D121" s="11"/>
      <c r="E121" s="11"/>
      <c r="F121" s="12">
        <f t="shared" si="1"/>
        <v>0</v>
      </c>
      <c r="G121" s="20"/>
      <c r="H121" s="20"/>
      <c r="I121" s="9"/>
      <c r="J121" s="9"/>
      <c r="K121" s="9"/>
    </row>
    <row r="122" spans="1:11" s="13" customFormat="1" ht="29.25" thickBot="1" x14ac:dyDescent="0.3">
      <c r="A122" s="19" t="s">
        <v>47</v>
      </c>
      <c r="B122" s="10"/>
      <c r="C122" s="14">
        <v>46135</v>
      </c>
      <c r="D122" s="11"/>
      <c r="E122" s="11"/>
      <c r="F122" s="12">
        <f t="shared" si="1"/>
        <v>0</v>
      </c>
      <c r="G122" s="20"/>
      <c r="H122" s="20"/>
      <c r="I122" s="9"/>
      <c r="J122" s="9"/>
      <c r="K122" s="9"/>
    </row>
    <row r="123" spans="1:11" s="13" customFormat="1" ht="29.25" thickBot="1" x14ac:dyDescent="0.3">
      <c r="A123" s="19" t="s">
        <v>47</v>
      </c>
      <c r="B123" s="10"/>
      <c r="C123" s="14">
        <v>46135</v>
      </c>
      <c r="D123" s="11"/>
      <c r="E123" s="11"/>
      <c r="F123" s="12">
        <f t="shared" si="1"/>
        <v>0</v>
      </c>
      <c r="G123" s="20"/>
      <c r="H123" s="20"/>
      <c r="I123" s="9"/>
      <c r="J123" s="9"/>
      <c r="K123" s="9"/>
    </row>
    <row r="124" spans="1:11" s="13" customFormat="1" ht="29.25" thickBot="1" x14ac:dyDescent="0.3">
      <c r="A124" s="19" t="s">
        <v>47</v>
      </c>
      <c r="B124" s="10"/>
      <c r="C124" s="14">
        <v>46135</v>
      </c>
      <c r="D124" s="11"/>
      <c r="E124" s="11"/>
      <c r="F124" s="12">
        <f t="shared" si="1"/>
        <v>0</v>
      </c>
      <c r="G124" s="20"/>
      <c r="H124" s="20"/>
      <c r="I124" s="9"/>
      <c r="J124" s="9"/>
      <c r="K124" s="9"/>
    </row>
    <row r="125" spans="1:11" s="13" customFormat="1" ht="29.25" thickBot="1" x14ac:dyDescent="0.3">
      <c r="A125" s="19" t="s">
        <v>47</v>
      </c>
      <c r="B125" s="10"/>
      <c r="C125" s="14">
        <v>46135</v>
      </c>
      <c r="D125" s="11"/>
      <c r="E125" s="11"/>
      <c r="F125" s="12">
        <f t="shared" si="1"/>
        <v>0</v>
      </c>
      <c r="G125" s="20"/>
      <c r="H125" s="20"/>
      <c r="I125" s="9"/>
      <c r="J125" s="9"/>
      <c r="K125" s="9"/>
    </row>
    <row r="126" spans="1:11" s="13" customFormat="1" ht="29.25" thickBot="1" x14ac:dyDescent="0.3">
      <c r="A126" s="19" t="s">
        <v>47</v>
      </c>
      <c r="B126" s="10"/>
      <c r="C126" s="14">
        <v>46135</v>
      </c>
      <c r="D126" s="11"/>
      <c r="E126" s="11"/>
      <c r="F126" s="12">
        <f t="shared" si="1"/>
        <v>0</v>
      </c>
      <c r="G126" s="20"/>
      <c r="H126" s="20"/>
      <c r="I126" s="9"/>
      <c r="J126" s="9"/>
      <c r="K126" s="9"/>
    </row>
    <row r="127" spans="1:11" s="13" customFormat="1" ht="29.25" thickBot="1" x14ac:dyDescent="0.3">
      <c r="A127" s="19" t="s">
        <v>47</v>
      </c>
      <c r="B127" s="10"/>
      <c r="C127" s="14">
        <v>46135</v>
      </c>
      <c r="D127" s="11"/>
      <c r="E127" s="11"/>
      <c r="F127" s="12">
        <f t="shared" si="1"/>
        <v>0</v>
      </c>
      <c r="G127" s="20"/>
      <c r="H127" s="20"/>
      <c r="I127" s="9"/>
      <c r="J127" s="9"/>
      <c r="K127" s="9"/>
    </row>
    <row r="128" spans="1:11" s="13" customFormat="1" ht="29.25" thickBot="1" x14ac:dyDescent="0.3">
      <c r="A128" s="19" t="s">
        <v>47</v>
      </c>
      <c r="B128" s="10"/>
      <c r="C128" s="14">
        <v>46135</v>
      </c>
      <c r="D128" s="11"/>
      <c r="E128" s="11"/>
      <c r="F128" s="12">
        <f t="shared" si="1"/>
        <v>0</v>
      </c>
      <c r="G128" s="20"/>
      <c r="H128" s="20"/>
      <c r="I128" s="9"/>
      <c r="J128" s="9"/>
      <c r="K128" s="9"/>
    </row>
    <row r="129" spans="1:11" s="13" customFormat="1" ht="29.25" thickBot="1" x14ac:dyDescent="0.3">
      <c r="A129" s="19" t="s">
        <v>47</v>
      </c>
      <c r="B129" s="10"/>
      <c r="C129" s="14">
        <v>46135</v>
      </c>
      <c r="D129" s="11"/>
      <c r="E129" s="11"/>
      <c r="F129" s="12">
        <f t="shared" si="1"/>
        <v>0</v>
      </c>
      <c r="G129" s="20"/>
      <c r="H129" s="20"/>
      <c r="I129" s="9"/>
      <c r="J129" s="9"/>
      <c r="K129" s="9"/>
    </row>
    <row r="130" spans="1:11" s="13" customFormat="1" ht="29.25" thickBot="1" x14ac:dyDescent="0.3">
      <c r="A130" s="19" t="s">
        <v>47</v>
      </c>
      <c r="B130" s="10"/>
      <c r="C130" s="14">
        <v>46136</v>
      </c>
      <c r="D130" s="11"/>
      <c r="E130" s="11"/>
      <c r="F130" s="12">
        <f t="shared" si="1"/>
        <v>0</v>
      </c>
      <c r="G130" s="20"/>
      <c r="H130" s="20"/>
      <c r="I130" s="9"/>
      <c r="J130" s="9"/>
      <c r="K130" s="9"/>
    </row>
    <row r="131" spans="1:11" s="13" customFormat="1" ht="29.25" thickBot="1" x14ac:dyDescent="0.3">
      <c r="A131" s="19" t="s">
        <v>47</v>
      </c>
      <c r="B131" s="10"/>
      <c r="C131" s="14">
        <v>46136</v>
      </c>
      <c r="D131" s="11"/>
      <c r="E131" s="11"/>
      <c r="F131" s="12">
        <f t="shared" si="1"/>
        <v>0</v>
      </c>
      <c r="G131" s="20"/>
      <c r="H131" s="20"/>
      <c r="I131" s="9"/>
      <c r="J131" s="9"/>
      <c r="K131" s="9"/>
    </row>
    <row r="132" spans="1:11" s="13" customFormat="1" ht="29.25" thickBot="1" x14ac:dyDescent="0.3">
      <c r="A132" s="19" t="s">
        <v>47</v>
      </c>
      <c r="B132" s="10"/>
      <c r="C132" s="14">
        <v>46136</v>
      </c>
      <c r="D132" s="11"/>
      <c r="E132" s="11"/>
      <c r="F132" s="12">
        <f t="shared" si="1"/>
        <v>0</v>
      </c>
      <c r="G132" s="20"/>
      <c r="H132" s="20"/>
      <c r="I132" s="9"/>
      <c r="J132" s="9"/>
      <c r="K132" s="9"/>
    </row>
    <row r="133" spans="1:11" s="13" customFormat="1" ht="29.25" thickBot="1" x14ac:dyDescent="0.3">
      <c r="A133" s="19" t="s">
        <v>47</v>
      </c>
      <c r="B133" s="10"/>
      <c r="C133" s="14">
        <v>46136</v>
      </c>
      <c r="D133" s="11"/>
      <c r="E133" s="11"/>
      <c r="F133" s="12">
        <f t="shared" si="1"/>
        <v>0</v>
      </c>
      <c r="G133" s="20"/>
      <c r="H133" s="20"/>
      <c r="I133" s="9"/>
      <c r="J133" s="9"/>
      <c r="K133" s="9"/>
    </row>
    <row r="134" spans="1:11" s="13" customFormat="1" ht="29.25" thickBot="1" x14ac:dyDescent="0.3">
      <c r="A134" s="19" t="s">
        <v>47</v>
      </c>
      <c r="B134" s="10"/>
      <c r="C134" s="14">
        <v>46136</v>
      </c>
      <c r="D134" s="11"/>
      <c r="E134" s="11"/>
      <c r="F134" s="12">
        <f t="shared" ref="F134:F197" si="2">+(E134-D134)*24</f>
        <v>0</v>
      </c>
      <c r="G134" s="20"/>
      <c r="H134" s="20"/>
      <c r="I134" s="9"/>
      <c r="J134" s="9"/>
      <c r="K134" s="9"/>
    </row>
    <row r="135" spans="1:11" s="13" customFormat="1" ht="29.25" thickBot="1" x14ac:dyDescent="0.3">
      <c r="A135" s="19" t="s">
        <v>47</v>
      </c>
      <c r="B135" s="10"/>
      <c r="C135" s="14">
        <v>46136</v>
      </c>
      <c r="D135" s="11"/>
      <c r="E135" s="11"/>
      <c r="F135" s="12">
        <f t="shared" si="2"/>
        <v>0</v>
      </c>
      <c r="G135" s="20"/>
      <c r="H135" s="20"/>
      <c r="I135" s="9"/>
      <c r="J135" s="9"/>
      <c r="K135" s="9"/>
    </row>
    <row r="136" spans="1:11" s="13" customFormat="1" ht="29.25" thickBot="1" x14ac:dyDescent="0.3">
      <c r="A136" s="19" t="s">
        <v>47</v>
      </c>
      <c r="B136" s="10"/>
      <c r="C136" s="14">
        <v>46136</v>
      </c>
      <c r="D136" s="11"/>
      <c r="E136" s="11"/>
      <c r="F136" s="12">
        <f t="shared" si="2"/>
        <v>0</v>
      </c>
      <c r="G136" s="20"/>
      <c r="H136" s="20"/>
      <c r="I136" s="9"/>
      <c r="J136" s="9"/>
      <c r="K136" s="9"/>
    </row>
    <row r="137" spans="1:11" s="13" customFormat="1" ht="29.25" thickBot="1" x14ac:dyDescent="0.3">
      <c r="A137" s="19" t="s">
        <v>47</v>
      </c>
      <c r="B137" s="10"/>
      <c r="C137" s="14">
        <v>46136</v>
      </c>
      <c r="D137" s="11"/>
      <c r="E137" s="11"/>
      <c r="F137" s="12">
        <f t="shared" si="2"/>
        <v>0</v>
      </c>
      <c r="G137" s="20"/>
      <c r="H137" s="20"/>
      <c r="I137" s="9"/>
      <c r="J137" s="9"/>
      <c r="K137" s="9"/>
    </row>
    <row r="138" spans="1:11" s="13" customFormat="1" ht="29.25" thickBot="1" x14ac:dyDescent="0.3">
      <c r="A138" s="19" t="s">
        <v>47</v>
      </c>
      <c r="B138" s="10"/>
      <c r="C138" s="14">
        <v>46137</v>
      </c>
      <c r="D138" s="11">
        <v>0.35416666666666669</v>
      </c>
      <c r="E138" s="11">
        <v>0.6875</v>
      </c>
      <c r="F138" s="12">
        <f t="shared" si="2"/>
        <v>8</v>
      </c>
      <c r="G138" s="20" t="s">
        <v>21</v>
      </c>
      <c r="H138" s="20" t="s">
        <v>30</v>
      </c>
      <c r="I138" s="9"/>
      <c r="J138" s="9" t="s">
        <v>71</v>
      </c>
      <c r="K138" s="9"/>
    </row>
    <row r="139" spans="1:11" s="13" customFormat="1" ht="29.25" thickBot="1" x14ac:dyDescent="0.3">
      <c r="A139" s="19" t="s">
        <v>47</v>
      </c>
      <c r="B139" s="10"/>
      <c r="C139" s="14">
        <v>46138</v>
      </c>
      <c r="D139" s="11">
        <v>0.35416666666666669</v>
      </c>
      <c r="E139" s="11">
        <v>0.6875</v>
      </c>
      <c r="F139" s="12">
        <f t="shared" si="2"/>
        <v>8</v>
      </c>
      <c r="G139" s="20" t="s">
        <v>21</v>
      </c>
      <c r="H139" s="20" t="s">
        <v>30</v>
      </c>
      <c r="I139" s="9"/>
      <c r="J139" s="9" t="s">
        <v>71</v>
      </c>
      <c r="K139" s="9"/>
    </row>
    <row r="140" spans="1:11" s="13" customFormat="1" ht="29.25" thickBot="1" x14ac:dyDescent="0.3">
      <c r="A140" s="19" t="s">
        <v>47</v>
      </c>
      <c r="B140" s="10"/>
      <c r="C140" s="14">
        <v>46139</v>
      </c>
      <c r="D140" s="11"/>
      <c r="E140" s="11"/>
      <c r="F140" s="12">
        <f t="shared" si="2"/>
        <v>0</v>
      </c>
      <c r="G140" s="20"/>
      <c r="H140" s="20"/>
      <c r="I140" s="9"/>
      <c r="J140" s="9"/>
      <c r="K140" s="9"/>
    </row>
    <row r="141" spans="1:11" s="13" customFormat="1" ht="29.25" thickBot="1" x14ac:dyDescent="0.3">
      <c r="A141" s="19" t="s">
        <v>47</v>
      </c>
      <c r="B141" s="10"/>
      <c r="C141" s="14">
        <v>46139</v>
      </c>
      <c r="D141" s="11"/>
      <c r="E141" s="11"/>
      <c r="F141" s="12">
        <f t="shared" si="2"/>
        <v>0</v>
      </c>
      <c r="G141" s="20"/>
      <c r="H141" s="20"/>
      <c r="I141" s="9"/>
      <c r="J141" s="9"/>
      <c r="K141" s="9"/>
    </row>
    <row r="142" spans="1:11" s="13" customFormat="1" ht="29.25" thickBot="1" x14ac:dyDescent="0.3">
      <c r="A142" s="19" t="s">
        <v>47</v>
      </c>
      <c r="B142" s="10"/>
      <c r="C142" s="14">
        <v>46139</v>
      </c>
      <c r="D142" s="11"/>
      <c r="E142" s="11"/>
      <c r="F142" s="12">
        <f t="shared" si="2"/>
        <v>0</v>
      </c>
      <c r="G142" s="20"/>
      <c r="H142" s="20"/>
      <c r="I142" s="9"/>
      <c r="J142" s="9"/>
      <c r="K142" s="9"/>
    </row>
    <row r="143" spans="1:11" s="13" customFormat="1" ht="29.25" thickBot="1" x14ac:dyDescent="0.3">
      <c r="A143" s="19" t="s">
        <v>47</v>
      </c>
      <c r="B143" s="10"/>
      <c r="C143" s="14">
        <v>46139</v>
      </c>
      <c r="D143" s="11"/>
      <c r="E143" s="11"/>
      <c r="F143" s="12">
        <f t="shared" si="2"/>
        <v>0</v>
      </c>
      <c r="G143" s="20"/>
      <c r="H143" s="20"/>
      <c r="I143" s="9"/>
      <c r="J143" s="9"/>
      <c r="K143" s="9"/>
    </row>
    <row r="144" spans="1:11" s="13" customFormat="1" ht="29.25" thickBot="1" x14ac:dyDescent="0.3">
      <c r="A144" s="19" t="s">
        <v>47</v>
      </c>
      <c r="B144" s="10"/>
      <c r="C144" s="14">
        <v>46139</v>
      </c>
      <c r="D144" s="11"/>
      <c r="E144" s="11"/>
      <c r="F144" s="12">
        <f t="shared" si="2"/>
        <v>0</v>
      </c>
      <c r="G144" s="20"/>
      <c r="H144" s="20"/>
      <c r="I144" s="9"/>
      <c r="J144" s="9"/>
      <c r="K144" s="9"/>
    </row>
    <row r="145" spans="1:11" s="13" customFormat="1" ht="29.25" thickBot="1" x14ac:dyDescent="0.3">
      <c r="A145" s="19" t="s">
        <v>47</v>
      </c>
      <c r="B145" s="10"/>
      <c r="C145" s="14">
        <v>46139</v>
      </c>
      <c r="D145" s="11"/>
      <c r="E145" s="11"/>
      <c r="F145" s="12">
        <f t="shared" si="2"/>
        <v>0</v>
      </c>
      <c r="G145" s="20"/>
      <c r="H145" s="20"/>
      <c r="I145" s="9"/>
      <c r="J145" s="9"/>
      <c r="K145" s="9"/>
    </row>
    <row r="146" spans="1:11" s="13" customFormat="1" ht="29.25" thickBot="1" x14ac:dyDescent="0.3">
      <c r="A146" s="19" t="s">
        <v>47</v>
      </c>
      <c r="B146" s="10"/>
      <c r="C146" s="14">
        <v>46139</v>
      </c>
      <c r="D146" s="11"/>
      <c r="E146" s="11"/>
      <c r="F146" s="12">
        <f t="shared" si="2"/>
        <v>0</v>
      </c>
      <c r="G146" s="20"/>
      <c r="H146" s="20"/>
      <c r="I146" s="9"/>
      <c r="J146" s="9"/>
      <c r="K146" s="9"/>
    </row>
    <row r="147" spans="1:11" s="13" customFormat="1" ht="29.25" thickBot="1" x14ac:dyDescent="0.3">
      <c r="A147" s="19" t="s">
        <v>47</v>
      </c>
      <c r="B147" s="10"/>
      <c r="C147" s="14">
        <v>46139</v>
      </c>
      <c r="D147" s="11"/>
      <c r="E147" s="11"/>
      <c r="F147" s="12">
        <f t="shared" si="2"/>
        <v>0</v>
      </c>
      <c r="G147" s="20"/>
      <c r="H147" s="20"/>
      <c r="I147" s="9"/>
      <c r="J147" s="9"/>
      <c r="K147" s="9"/>
    </row>
    <row r="148" spans="1:11" s="13" customFormat="1" ht="29.25" thickBot="1" x14ac:dyDescent="0.3">
      <c r="A148" s="19" t="s">
        <v>47</v>
      </c>
      <c r="B148" s="10"/>
      <c r="C148" s="14">
        <v>46140</v>
      </c>
      <c r="D148" s="11"/>
      <c r="E148" s="11"/>
      <c r="F148" s="12">
        <f t="shared" si="2"/>
        <v>0</v>
      </c>
      <c r="G148" s="20"/>
      <c r="H148" s="20"/>
      <c r="I148" s="9"/>
      <c r="J148" s="9"/>
      <c r="K148" s="9"/>
    </row>
    <row r="149" spans="1:11" s="13" customFormat="1" ht="29.25" thickBot="1" x14ac:dyDescent="0.3">
      <c r="A149" s="19" t="s">
        <v>47</v>
      </c>
      <c r="B149" s="10"/>
      <c r="C149" s="14">
        <v>46140</v>
      </c>
      <c r="D149" s="11"/>
      <c r="E149" s="11"/>
      <c r="F149" s="12">
        <f t="shared" si="2"/>
        <v>0</v>
      </c>
      <c r="G149" s="20"/>
      <c r="H149" s="20"/>
      <c r="I149" s="9"/>
      <c r="J149" s="9"/>
      <c r="K149" s="9"/>
    </row>
    <row r="150" spans="1:11" s="13" customFormat="1" ht="29.25" thickBot="1" x14ac:dyDescent="0.3">
      <c r="A150" s="19" t="s">
        <v>47</v>
      </c>
      <c r="B150" s="10"/>
      <c r="C150" s="14">
        <v>46140</v>
      </c>
      <c r="D150" s="11"/>
      <c r="E150" s="11"/>
      <c r="F150" s="12">
        <f t="shared" si="2"/>
        <v>0</v>
      </c>
      <c r="G150" s="20"/>
      <c r="H150" s="20"/>
      <c r="I150" s="9"/>
      <c r="J150" s="9"/>
      <c r="K150" s="9"/>
    </row>
    <row r="151" spans="1:11" s="13" customFormat="1" ht="29.25" thickBot="1" x14ac:dyDescent="0.3">
      <c r="A151" s="19" t="s">
        <v>47</v>
      </c>
      <c r="B151" s="10"/>
      <c r="C151" s="14">
        <v>46140</v>
      </c>
      <c r="D151" s="11"/>
      <c r="E151" s="11"/>
      <c r="F151" s="12">
        <f t="shared" si="2"/>
        <v>0</v>
      </c>
      <c r="G151" s="20"/>
      <c r="H151" s="20"/>
      <c r="I151" s="9"/>
      <c r="J151" s="9"/>
      <c r="K151" s="9"/>
    </row>
    <row r="152" spans="1:11" s="13" customFormat="1" ht="29.25" thickBot="1" x14ac:dyDescent="0.3">
      <c r="A152" s="19" t="s">
        <v>47</v>
      </c>
      <c r="B152" s="10"/>
      <c r="C152" s="14">
        <v>46140</v>
      </c>
      <c r="D152" s="11"/>
      <c r="E152" s="11"/>
      <c r="F152" s="12">
        <f t="shared" si="2"/>
        <v>0</v>
      </c>
      <c r="G152" s="20"/>
      <c r="H152" s="20"/>
      <c r="I152" s="9"/>
      <c r="J152" s="9"/>
      <c r="K152" s="9"/>
    </row>
    <row r="153" spans="1:11" s="13" customFormat="1" ht="29.25" thickBot="1" x14ac:dyDescent="0.3">
      <c r="A153" s="19" t="s">
        <v>47</v>
      </c>
      <c r="B153" s="10"/>
      <c r="C153" s="14">
        <v>46140</v>
      </c>
      <c r="D153" s="11"/>
      <c r="E153" s="11"/>
      <c r="F153" s="12">
        <f t="shared" si="2"/>
        <v>0</v>
      </c>
      <c r="G153" s="20"/>
      <c r="H153" s="20"/>
      <c r="I153" s="9"/>
      <c r="J153" s="9"/>
      <c r="K153" s="9"/>
    </row>
    <row r="154" spans="1:11" s="13" customFormat="1" ht="29.25" thickBot="1" x14ac:dyDescent="0.3">
      <c r="A154" s="19" t="s">
        <v>47</v>
      </c>
      <c r="B154" s="10"/>
      <c r="C154" s="14">
        <v>46140</v>
      </c>
      <c r="D154" s="11"/>
      <c r="E154" s="11"/>
      <c r="F154" s="12">
        <f t="shared" si="2"/>
        <v>0</v>
      </c>
      <c r="G154" s="20"/>
      <c r="H154" s="20"/>
      <c r="I154" s="9"/>
      <c r="J154" s="9"/>
      <c r="K154" s="9"/>
    </row>
    <row r="155" spans="1:11" s="13" customFormat="1" ht="29.25" thickBot="1" x14ac:dyDescent="0.3">
      <c r="A155" s="19" t="s">
        <v>47</v>
      </c>
      <c r="B155" s="10"/>
      <c r="C155" s="14">
        <v>46140</v>
      </c>
      <c r="D155" s="11"/>
      <c r="E155" s="11"/>
      <c r="F155" s="12">
        <f t="shared" si="2"/>
        <v>0</v>
      </c>
      <c r="G155" s="20"/>
      <c r="H155" s="20"/>
      <c r="I155" s="9"/>
      <c r="J155" s="9"/>
      <c r="K155" s="9"/>
    </row>
    <row r="156" spans="1:11" s="13" customFormat="1" ht="29.25" thickBot="1" x14ac:dyDescent="0.3">
      <c r="A156" s="19" t="s">
        <v>47</v>
      </c>
      <c r="B156" s="10"/>
      <c r="C156" s="14">
        <v>46141</v>
      </c>
      <c r="D156" s="11"/>
      <c r="E156" s="11"/>
      <c r="F156" s="12">
        <f t="shared" si="2"/>
        <v>0</v>
      </c>
      <c r="G156" s="20"/>
      <c r="H156" s="20"/>
      <c r="I156" s="9"/>
      <c r="J156" s="9"/>
      <c r="K156" s="9"/>
    </row>
    <row r="157" spans="1:11" s="13" customFormat="1" ht="29.25" thickBot="1" x14ac:dyDescent="0.3">
      <c r="A157" s="19" t="s">
        <v>47</v>
      </c>
      <c r="B157" s="10"/>
      <c r="C157" s="14">
        <v>46141</v>
      </c>
      <c r="D157" s="11"/>
      <c r="E157" s="11"/>
      <c r="F157" s="12">
        <f t="shared" si="2"/>
        <v>0</v>
      </c>
      <c r="G157" s="20"/>
      <c r="H157" s="20"/>
      <c r="I157" s="9"/>
      <c r="J157" s="9"/>
      <c r="K157" s="9"/>
    </row>
    <row r="158" spans="1:11" s="13" customFormat="1" ht="29.25" thickBot="1" x14ac:dyDescent="0.3">
      <c r="A158" s="19" t="s">
        <v>47</v>
      </c>
      <c r="B158" s="10"/>
      <c r="C158" s="14">
        <v>46141</v>
      </c>
      <c r="D158" s="11"/>
      <c r="E158" s="11"/>
      <c r="F158" s="12">
        <f t="shared" si="2"/>
        <v>0</v>
      </c>
      <c r="G158" s="20"/>
      <c r="H158" s="20"/>
      <c r="I158" s="9"/>
      <c r="J158" s="9"/>
      <c r="K158" s="9"/>
    </row>
    <row r="159" spans="1:11" s="13" customFormat="1" ht="29.25" thickBot="1" x14ac:dyDescent="0.3">
      <c r="A159" s="19" t="s">
        <v>47</v>
      </c>
      <c r="B159" s="10"/>
      <c r="C159" s="14">
        <v>46141</v>
      </c>
      <c r="D159" s="11"/>
      <c r="E159" s="11"/>
      <c r="F159" s="12">
        <f t="shared" si="2"/>
        <v>0</v>
      </c>
      <c r="G159" s="20"/>
      <c r="H159" s="20"/>
      <c r="I159" s="9"/>
      <c r="J159" s="9"/>
      <c r="K159" s="9"/>
    </row>
    <row r="160" spans="1:11" s="13" customFormat="1" ht="29.25" thickBot="1" x14ac:dyDescent="0.3">
      <c r="A160" s="19" t="s">
        <v>47</v>
      </c>
      <c r="B160" s="10"/>
      <c r="C160" s="14">
        <v>46141</v>
      </c>
      <c r="D160" s="11"/>
      <c r="E160" s="11"/>
      <c r="F160" s="12">
        <f t="shared" si="2"/>
        <v>0</v>
      </c>
      <c r="G160" s="20"/>
      <c r="H160" s="20"/>
      <c r="I160" s="9"/>
      <c r="J160" s="9"/>
      <c r="K160" s="9"/>
    </row>
    <row r="161" spans="1:11" s="13" customFormat="1" ht="29.25" thickBot="1" x14ac:dyDescent="0.3">
      <c r="A161" s="19" t="s">
        <v>47</v>
      </c>
      <c r="B161" s="10"/>
      <c r="C161" s="14">
        <v>46141</v>
      </c>
      <c r="D161" s="11"/>
      <c r="E161" s="11"/>
      <c r="F161" s="12">
        <f t="shared" si="2"/>
        <v>0</v>
      </c>
      <c r="G161" s="20"/>
      <c r="H161" s="20"/>
      <c r="I161" s="9"/>
      <c r="J161" s="9"/>
      <c r="K161" s="9"/>
    </row>
    <row r="162" spans="1:11" s="13" customFormat="1" ht="29.25" thickBot="1" x14ac:dyDescent="0.3">
      <c r="A162" s="19" t="s">
        <v>47</v>
      </c>
      <c r="B162" s="10"/>
      <c r="C162" s="14">
        <v>46141</v>
      </c>
      <c r="D162" s="11"/>
      <c r="E162" s="11"/>
      <c r="F162" s="12">
        <f t="shared" si="2"/>
        <v>0</v>
      </c>
      <c r="G162" s="20"/>
      <c r="H162" s="20"/>
      <c r="I162" s="9"/>
      <c r="J162" s="9"/>
      <c r="K162" s="9"/>
    </row>
    <row r="163" spans="1:11" s="13" customFormat="1" ht="29.25" thickBot="1" x14ac:dyDescent="0.3">
      <c r="A163" s="19" t="s">
        <v>47</v>
      </c>
      <c r="B163" s="10"/>
      <c r="C163" s="14">
        <v>46141</v>
      </c>
      <c r="D163" s="11"/>
      <c r="E163" s="11"/>
      <c r="F163" s="12">
        <f t="shared" si="2"/>
        <v>0</v>
      </c>
      <c r="G163" s="20"/>
      <c r="H163" s="20"/>
      <c r="I163" s="9"/>
      <c r="J163" s="9"/>
      <c r="K163" s="9"/>
    </row>
    <row r="164" spans="1:11" s="13" customFormat="1" ht="29.25" thickBot="1" x14ac:dyDescent="0.3">
      <c r="A164" s="19" t="s">
        <v>47</v>
      </c>
      <c r="B164" s="10"/>
      <c r="C164" s="14">
        <v>46142</v>
      </c>
      <c r="D164" s="11"/>
      <c r="E164" s="11"/>
      <c r="F164" s="12">
        <f t="shared" si="2"/>
        <v>0</v>
      </c>
      <c r="G164" s="20"/>
      <c r="H164" s="20"/>
      <c r="I164" s="9"/>
      <c r="J164" s="9"/>
      <c r="K164" s="9"/>
    </row>
    <row r="165" spans="1:11" s="13" customFormat="1" ht="29.25" thickBot="1" x14ac:dyDescent="0.3">
      <c r="A165" s="19" t="s">
        <v>47</v>
      </c>
      <c r="B165" s="10"/>
      <c r="C165" s="14">
        <v>46142</v>
      </c>
      <c r="D165" s="11"/>
      <c r="E165" s="11"/>
      <c r="F165" s="12">
        <f t="shared" si="2"/>
        <v>0</v>
      </c>
      <c r="G165" s="20"/>
      <c r="H165" s="20"/>
      <c r="I165" s="9"/>
      <c r="J165" s="9"/>
      <c r="K165" s="9"/>
    </row>
    <row r="166" spans="1:11" s="13" customFormat="1" ht="29.25" thickBot="1" x14ac:dyDescent="0.3">
      <c r="A166" s="19" t="s">
        <v>47</v>
      </c>
      <c r="B166" s="10"/>
      <c r="C166" s="14">
        <v>46142</v>
      </c>
      <c r="D166" s="11"/>
      <c r="E166" s="11"/>
      <c r="F166" s="12">
        <f t="shared" si="2"/>
        <v>0</v>
      </c>
      <c r="G166" s="20"/>
      <c r="H166" s="20"/>
      <c r="I166" s="9"/>
      <c r="J166" s="9"/>
      <c r="K166" s="9"/>
    </row>
    <row r="167" spans="1:11" s="13" customFormat="1" ht="29.25" thickBot="1" x14ac:dyDescent="0.3">
      <c r="A167" s="19" t="s">
        <v>47</v>
      </c>
      <c r="B167" s="10"/>
      <c r="C167" s="14">
        <v>46142</v>
      </c>
      <c r="D167" s="11"/>
      <c r="E167" s="11"/>
      <c r="F167" s="12">
        <f t="shared" si="2"/>
        <v>0</v>
      </c>
      <c r="G167" s="20"/>
      <c r="H167" s="20"/>
      <c r="I167" s="9"/>
      <c r="J167" s="9"/>
      <c r="K167" s="9"/>
    </row>
    <row r="168" spans="1:11" s="13" customFormat="1" ht="29.25" thickBot="1" x14ac:dyDescent="0.3">
      <c r="A168" s="19" t="s">
        <v>47</v>
      </c>
      <c r="B168" s="10"/>
      <c r="C168" s="14">
        <v>46142</v>
      </c>
      <c r="D168" s="11"/>
      <c r="E168" s="11"/>
      <c r="F168" s="12">
        <f t="shared" si="2"/>
        <v>0</v>
      </c>
      <c r="G168" s="20"/>
      <c r="H168" s="20"/>
      <c r="I168" s="9"/>
      <c r="J168" s="9"/>
      <c r="K168" s="9"/>
    </row>
    <row r="169" spans="1:11" s="13" customFormat="1" ht="29.25" thickBot="1" x14ac:dyDescent="0.3">
      <c r="A169" s="19" t="s">
        <v>47</v>
      </c>
      <c r="B169" s="10"/>
      <c r="C169" s="14">
        <v>46142</v>
      </c>
      <c r="D169" s="11"/>
      <c r="E169" s="11"/>
      <c r="F169" s="12">
        <f t="shared" si="2"/>
        <v>0</v>
      </c>
      <c r="G169" s="20"/>
      <c r="H169" s="20"/>
      <c r="I169" s="9"/>
      <c r="J169" s="9"/>
      <c r="K169" s="9"/>
    </row>
    <row r="170" spans="1:11" s="13" customFormat="1" ht="29.25" thickBot="1" x14ac:dyDescent="0.3">
      <c r="A170" s="19" t="s">
        <v>47</v>
      </c>
      <c r="B170" s="10"/>
      <c r="C170" s="14">
        <v>46142</v>
      </c>
      <c r="D170" s="11"/>
      <c r="E170" s="11"/>
      <c r="F170" s="12">
        <f t="shared" si="2"/>
        <v>0</v>
      </c>
      <c r="G170" s="20"/>
      <c r="H170" s="20"/>
      <c r="I170" s="9"/>
      <c r="J170" s="9"/>
      <c r="K170" s="9"/>
    </row>
    <row r="171" spans="1:11" s="13" customFormat="1" ht="29.25" thickBot="1" x14ac:dyDescent="0.3">
      <c r="A171" s="19" t="s">
        <v>47</v>
      </c>
      <c r="B171" s="10"/>
      <c r="C171" s="14">
        <v>46142</v>
      </c>
      <c r="D171" s="11"/>
      <c r="E171" s="11"/>
      <c r="F171" s="12">
        <f t="shared" si="2"/>
        <v>0</v>
      </c>
      <c r="G171" s="20"/>
      <c r="H171" s="20"/>
      <c r="I171" s="9"/>
      <c r="J171" s="9"/>
      <c r="K171" s="9"/>
    </row>
    <row r="172" spans="1:11" s="13" customFormat="1" ht="29.25" thickBot="1" x14ac:dyDescent="0.3">
      <c r="A172" s="19" t="s">
        <v>47</v>
      </c>
      <c r="B172" s="10"/>
      <c r="C172" s="14"/>
      <c r="D172" s="11"/>
      <c r="E172" s="11"/>
      <c r="F172" s="12">
        <f t="shared" si="2"/>
        <v>0</v>
      </c>
      <c r="G172" s="20"/>
      <c r="H172" s="20"/>
      <c r="I172" s="9"/>
      <c r="J172" s="9"/>
      <c r="K172" s="9"/>
    </row>
    <row r="173" spans="1:11" s="13" customFormat="1" ht="29.25" thickBot="1" x14ac:dyDescent="0.3">
      <c r="A173" s="19" t="s">
        <v>47</v>
      </c>
      <c r="B173" s="10"/>
      <c r="C173" s="14"/>
      <c r="D173" s="11"/>
      <c r="E173" s="11"/>
      <c r="F173" s="12">
        <f t="shared" si="2"/>
        <v>0</v>
      </c>
      <c r="G173" s="20"/>
      <c r="H173" s="20"/>
      <c r="I173" s="9"/>
      <c r="J173" s="9"/>
      <c r="K173" s="9"/>
    </row>
    <row r="174" spans="1:11" s="13" customFormat="1" ht="29.25" thickBot="1" x14ac:dyDescent="0.3">
      <c r="A174" s="19" t="s">
        <v>47</v>
      </c>
      <c r="B174" s="10"/>
      <c r="C174" s="14"/>
      <c r="D174" s="11"/>
      <c r="E174" s="11"/>
      <c r="F174" s="12">
        <f t="shared" si="2"/>
        <v>0</v>
      </c>
      <c r="G174" s="20"/>
      <c r="H174" s="20"/>
      <c r="I174" s="9"/>
      <c r="J174" s="9"/>
      <c r="K174" s="9"/>
    </row>
    <row r="175" spans="1:11" s="13" customFormat="1" ht="29.25" thickBot="1" x14ac:dyDescent="0.3">
      <c r="A175" s="19" t="s">
        <v>47</v>
      </c>
      <c r="B175" s="10"/>
      <c r="C175" s="14"/>
      <c r="D175" s="11"/>
      <c r="E175" s="11"/>
      <c r="F175" s="12">
        <f t="shared" si="2"/>
        <v>0</v>
      </c>
      <c r="G175" s="20"/>
      <c r="H175" s="20"/>
      <c r="I175" s="9"/>
      <c r="J175" s="9"/>
      <c r="K175" s="9"/>
    </row>
    <row r="176" spans="1:11" s="13" customFormat="1" ht="29.25" thickBot="1" x14ac:dyDescent="0.3">
      <c r="A176" s="19" t="s">
        <v>47</v>
      </c>
      <c r="B176" s="10"/>
      <c r="C176" s="14"/>
      <c r="D176" s="11"/>
      <c r="E176" s="11"/>
      <c r="F176" s="12">
        <f t="shared" si="2"/>
        <v>0</v>
      </c>
      <c r="G176" s="20"/>
      <c r="H176" s="20"/>
      <c r="I176" s="9"/>
      <c r="J176" s="9"/>
      <c r="K176" s="9"/>
    </row>
    <row r="177" spans="1:11" s="13" customFormat="1" ht="29.25" thickBot="1" x14ac:dyDescent="0.3">
      <c r="A177" s="19" t="s">
        <v>47</v>
      </c>
      <c r="B177" s="10"/>
      <c r="C177" s="14"/>
      <c r="D177" s="11"/>
      <c r="E177" s="11"/>
      <c r="F177" s="12">
        <f t="shared" si="2"/>
        <v>0</v>
      </c>
      <c r="G177" s="20"/>
      <c r="H177" s="20"/>
      <c r="I177" s="9"/>
      <c r="J177" s="9"/>
      <c r="K177" s="9"/>
    </row>
    <row r="178" spans="1:11" s="13" customFormat="1" ht="29.25" thickBot="1" x14ac:dyDescent="0.3">
      <c r="A178" s="19" t="s">
        <v>47</v>
      </c>
      <c r="B178" s="10"/>
      <c r="C178" s="14"/>
      <c r="D178" s="11"/>
      <c r="E178" s="11"/>
      <c r="F178" s="12">
        <f t="shared" si="2"/>
        <v>0</v>
      </c>
      <c r="G178" s="20"/>
      <c r="H178" s="20"/>
      <c r="I178" s="9"/>
      <c r="J178" s="9"/>
      <c r="K178" s="9"/>
    </row>
    <row r="179" spans="1:11" s="13" customFormat="1" ht="29.25" thickBot="1" x14ac:dyDescent="0.3">
      <c r="A179" s="19" t="s">
        <v>47</v>
      </c>
      <c r="B179" s="10"/>
      <c r="C179" s="14"/>
      <c r="D179" s="11"/>
      <c r="E179" s="11"/>
      <c r="F179" s="12">
        <f t="shared" si="2"/>
        <v>0</v>
      </c>
      <c r="G179" s="20"/>
      <c r="H179" s="20"/>
      <c r="I179" s="9"/>
      <c r="J179" s="9"/>
      <c r="K179" s="9"/>
    </row>
    <row r="180" spans="1:11" s="13" customFormat="1" ht="29.25" thickBot="1" x14ac:dyDescent="0.3">
      <c r="A180" s="19" t="s">
        <v>47</v>
      </c>
      <c r="B180" s="10"/>
      <c r="C180" s="14"/>
      <c r="D180" s="11"/>
      <c r="E180" s="11"/>
      <c r="F180" s="12">
        <f t="shared" si="2"/>
        <v>0</v>
      </c>
      <c r="G180" s="20"/>
      <c r="H180" s="20"/>
      <c r="I180" s="9"/>
      <c r="J180" s="9"/>
      <c r="K180" s="9"/>
    </row>
    <row r="181" spans="1:11" s="13" customFormat="1" ht="29.25" thickBot="1" x14ac:dyDescent="0.3">
      <c r="A181" s="19" t="s">
        <v>47</v>
      </c>
      <c r="B181" s="10"/>
      <c r="C181" s="14"/>
      <c r="D181" s="11"/>
      <c r="E181" s="11"/>
      <c r="F181" s="12">
        <f t="shared" si="2"/>
        <v>0</v>
      </c>
      <c r="G181" s="20"/>
      <c r="H181" s="20"/>
      <c r="I181" s="9"/>
      <c r="J181" s="9"/>
      <c r="K181" s="9"/>
    </row>
    <row r="182" spans="1:11" s="13" customFormat="1" ht="29.25" thickBot="1" x14ac:dyDescent="0.3">
      <c r="A182" s="19" t="s">
        <v>47</v>
      </c>
      <c r="B182" s="10"/>
      <c r="C182" s="14"/>
      <c r="D182" s="11"/>
      <c r="E182" s="11"/>
      <c r="F182" s="12">
        <f t="shared" si="2"/>
        <v>0</v>
      </c>
      <c r="G182" s="20"/>
      <c r="H182" s="20"/>
      <c r="I182" s="9"/>
      <c r="J182" s="9"/>
      <c r="K182" s="9"/>
    </row>
    <row r="183" spans="1:11" s="13" customFormat="1" ht="29.25" thickBot="1" x14ac:dyDescent="0.3">
      <c r="A183" s="19" t="s">
        <v>47</v>
      </c>
      <c r="B183" s="10"/>
      <c r="C183" s="14"/>
      <c r="D183" s="11"/>
      <c r="E183" s="11"/>
      <c r="F183" s="12">
        <f t="shared" si="2"/>
        <v>0</v>
      </c>
      <c r="G183" s="20"/>
      <c r="H183" s="20"/>
      <c r="I183" s="9"/>
      <c r="J183" s="9"/>
      <c r="K183" s="9"/>
    </row>
    <row r="184" spans="1:11" s="13" customFormat="1" ht="29.25" thickBot="1" x14ac:dyDescent="0.3">
      <c r="A184" s="19" t="s">
        <v>47</v>
      </c>
      <c r="B184" s="10"/>
      <c r="C184" s="14"/>
      <c r="D184" s="11"/>
      <c r="E184" s="11"/>
      <c r="F184" s="12">
        <f t="shared" si="2"/>
        <v>0</v>
      </c>
      <c r="G184" s="20"/>
      <c r="H184" s="20"/>
      <c r="I184" s="9"/>
      <c r="J184" s="9"/>
      <c r="K184" s="9"/>
    </row>
    <row r="185" spans="1:11" s="13" customFormat="1" ht="29.25" thickBot="1" x14ac:dyDescent="0.3">
      <c r="A185" s="19" t="s">
        <v>47</v>
      </c>
      <c r="B185" s="10"/>
      <c r="C185" s="14"/>
      <c r="D185" s="11"/>
      <c r="E185" s="11"/>
      <c r="F185" s="12">
        <f t="shared" si="2"/>
        <v>0</v>
      </c>
      <c r="G185" s="20"/>
      <c r="H185" s="20"/>
      <c r="I185" s="9"/>
      <c r="J185" s="9"/>
      <c r="K185" s="9"/>
    </row>
    <row r="186" spans="1:11" s="13" customFormat="1" ht="29.25" thickBot="1" x14ac:dyDescent="0.3">
      <c r="A186" s="19" t="s">
        <v>47</v>
      </c>
      <c r="B186" s="10"/>
      <c r="C186" s="14"/>
      <c r="D186" s="11"/>
      <c r="E186" s="11"/>
      <c r="F186" s="12">
        <f t="shared" si="2"/>
        <v>0</v>
      </c>
      <c r="G186" s="20"/>
      <c r="H186" s="20"/>
      <c r="I186" s="9"/>
      <c r="J186" s="9"/>
      <c r="K186" s="9"/>
    </row>
    <row r="187" spans="1:11" s="13" customFormat="1" ht="29.25" thickBot="1" x14ac:dyDescent="0.3">
      <c r="A187" s="19" t="s">
        <v>47</v>
      </c>
      <c r="B187" s="10"/>
      <c r="C187" s="14"/>
      <c r="D187" s="11"/>
      <c r="E187" s="11"/>
      <c r="F187" s="12">
        <f t="shared" si="2"/>
        <v>0</v>
      </c>
      <c r="G187" s="20"/>
      <c r="H187" s="20"/>
      <c r="I187" s="9"/>
      <c r="J187" s="9"/>
      <c r="K187" s="9"/>
    </row>
    <row r="188" spans="1:11" s="13" customFormat="1" ht="29.25" thickBot="1" x14ac:dyDescent="0.3">
      <c r="A188" s="19" t="s">
        <v>47</v>
      </c>
      <c r="B188" s="10"/>
      <c r="C188" s="14"/>
      <c r="D188" s="11"/>
      <c r="E188" s="11"/>
      <c r="F188" s="12">
        <f t="shared" si="2"/>
        <v>0</v>
      </c>
      <c r="G188" s="20"/>
      <c r="H188" s="20"/>
      <c r="I188" s="9"/>
      <c r="J188" s="9"/>
      <c r="K188" s="9"/>
    </row>
    <row r="189" spans="1:11" s="13" customFormat="1" ht="29.25" thickBot="1" x14ac:dyDescent="0.3">
      <c r="A189" s="19" t="s">
        <v>47</v>
      </c>
      <c r="B189" s="10"/>
      <c r="C189" s="14"/>
      <c r="D189" s="11"/>
      <c r="E189" s="11"/>
      <c r="F189" s="12">
        <f t="shared" si="2"/>
        <v>0</v>
      </c>
      <c r="G189" s="20"/>
      <c r="H189" s="20"/>
      <c r="I189" s="9"/>
      <c r="J189" s="9"/>
      <c r="K189" s="9"/>
    </row>
    <row r="190" spans="1:11" s="13" customFormat="1" ht="29.25" thickBot="1" x14ac:dyDescent="0.3">
      <c r="A190" s="19" t="s">
        <v>47</v>
      </c>
      <c r="B190" s="10"/>
      <c r="C190" s="14"/>
      <c r="D190" s="11"/>
      <c r="E190" s="11"/>
      <c r="F190" s="12">
        <f t="shared" si="2"/>
        <v>0</v>
      </c>
      <c r="G190" s="20"/>
      <c r="H190" s="20"/>
      <c r="I190" s="9"/>
      <c r="J190" s="9"/>
      <c r="K190" s="9"/>
    </row>
    <row r="191" spans="1:11" s="13" customFormat="1" ht="29.25" thickBot="1" x14ac:dyDescent="0.3">
      <c r="A191" s="19" t="s">
        <v>47</v>
      </c>
      <c r="B191" s="10"/>
      <c r="C191" s="14"/>
      <c r="D191" s="11"/>
      <c r="E191" s="11"/>
      <c r="F191" s="12">
        <f t="shared" si="2"/>
        <v>0</v>
      </c>
      <c r="G191" s="20"/>
      <c r="H191" s="20"/>
      <c r="I191" s="9"/>
      <c r="J191" s="9"/>
      <c r="K191" s="9"/>
    </row>
    <row r="192" spans="1:11" s="13" customFormat="1" ht="29.25" thickBot="1" x14ac:dyDescent="0.3">
      <c r="A192" s="19" t="s">
        <v>47</v>
      </c>
      <c r="B192" s="10"/>
      <c r="C192" s="14"/>
      <c r="D192" s="11"/>
      <c r="E192" s="11"/>
      <c r="F192" s="12">
        <f t="shared" si="2"/>
        <v>0</v>
      </c>
      <c r="G192" s="20"/>
      <c r="H192" s="20"/>
      <c r="I192" s="9"/>
      <c r="J192" s="9"/>
      <c r="K192" s="9"/>
    </row>
    <row r="193" spans="1:11" s="13" customFormat="1" ht="29.25" thickBot="1" x14ac:dyDescent="0.3">
      <c r="A193" s="19" t="s">
        <v>47</v>
      </c>
      <c r="B193" s="10"/>
      <c r="C193" s="14"/>
      <c r="D193" s="11"/>
      <c r="E193" s="11"/>
      <c r="F193" s="12">
        <f t="shared" si="2"/>
        <v>0</v>
      </c>
      <c r="G193" s="20"/>
      <c r="H193" s="20"/>
      <c r="I193" s="9"/>
      <c r="J193" s="9"/>
      <c r="K193" s="9"/>
    </row>
    <row r="194" spans="1:11" s="13" customFormat="1" ht="29.25" thickBot="1" x14ac:dyDescent="0.3">
      <c r="A194" s="19" t="s">
        <v>47</v>
      </c>
      <c r="B194" s="10"/>
      <c r="C194" s="14"/>
      <c r="D194" s="11"/>
      <c r="E194" s="11"/>
      <c r="F194" s="12">
        <f t="shared" si="2"/>
        <v>0</v>
      </c>
      <c r="G194" s="20"/>
      <c r="H194" s="20"/>
      <c r="I194" s="9"/>
      <c r="J194" s="9"/>
      <c r="K194" s="9"/>
    </row>
    <row r="195" spans="1:11" s="13" customFormat="1" ht="29.25" thickBot="1" x14ac:dyDescent="0.3">
      <c r="A195" s="19" t="s">
        <v>47</v>
      </c>
      <c r="B195" s="10"/>
      <c r="C195" s="14"/>
      <c r="D195" s="11"/>
      <c r="E195" s="11"/>
      <c r="F195" s="12">
        <f t="shared" si="2"/>
        <v>0</v>
      </c>
      <c r="G195" s="20"/>
      <c r="H195" s="20"/>
      <c r="I195" s="9"/>
      <c r="J195" s="9"/>
      <c r="K195" s="9"/>
    </row>
    <row r="196" spans="1:11" s="13" customFormat="1" ht="29.25" thickBot="1" x14ac:dyDescent="0.3">
      <c r="A196" s="19" t="s">
        <v>47</v>
      </c>
      <c r="B196" s="10"/>
      <c r="C196" s="14"/>
      <c r="D196" s="11"/>
      <c r="E196" s="11"/>
      <c r="F196" s="12">
        <f t="shared" si="2"/>
        <v>0</v>
      </c>
      <c r="G196" s="20"/>
      <c r="H196" s="20"/>
      <c r="I196" s="9"/>
      <c r="J196" s="9"/>
      <c r="K196" s="9"/>
    </row>
    <row r="197" spans="1:11" s="13" customFormat="1" ht="29.25" thickBot="1" x14ac:dyDescent="0.3">
      <c r="A197" s="19" t="s">
        <v>47</v>
      </c>
      <c r="B197" s="10"/>
      <c r="C197" s="14"/>
      <c r="D197" s="11"/>
      <c r="E197" s="11"/>
      <c r="F197" s="12">
        <f t="shared" si="2"/>
        <v>0</v>
      </c>
      <c r="G197" s="20"/>
      <c r="H197" s="20"/>
      <c r="I197" s="9"/>
      <c r="J197" s="9"/>
      <c r="K197" s="9"/>
    </row>
    <row r="198" spans="1:11" s="13" customFormat="1" ht="29.25" thickBot="1" x14ac:dyDescent="0.3">
      <c r="A198" s="19" t="s">
        <v>47</v>
      </c>
      <c r="B198" s="10"/>
      <c r="C198" s="14"/>
      <c r="D198" s="11"/>
      <c r="E198" s="11"/>
      <c r="F198" s="12">
        <f t="shared" ref="F198:F261" si="3">+(E198-D198)*24</f>
        <v>0</v>
      </c>
      <c r="G198" s="20"/>
      <c r="H198" s="20"/>
      <c r="I198" s="9"/>
      <c r="J198" s="9"/>
      <c r="K198" s="9"/>
    </row>
    <row r="199" spans="1:11" s="13" customFormat="1" ht="29.25" thickBot="1" x14ac:dyDescent="0.3">
      <c r="A199" s="19" t="s">
        <v>47</v>
      </c>
      <c r="B199" s="10"/>
      <c r="C199" s="14"/>
      <c r="D199" s="11"/>
      <c r="E199" s="11"/>
      <c r="F199" s="12">
        <f t="shared" si="3"/>
        <v>0</v>
      </c>
      <c r="G199" s="20"/>
      <c r="H199" s="20"/>
      <c r="I199" s="9"/>
      <c r="J199" s="9"/>
      <c r="K199" s="9"/>
    </row>
    <row r="200" spans="1:11" s="13" customFormat="1" ht="29.25" thickBot="1" x14ac:dyDescent="0.3">
      <c r="A200" s="19" t="s">
        <v>47</v>
      </c>
      <c r="B200" s="10"/>
      <c r="C200" s="14"/>
      <c r="D200" s="11"/>
      <c r="E200" s="11"/>
      <c r="F200" s="12">
        <f t="shared" si="3"/>
        <v>0</v>
      </c>
      <c r="G200" s="20"/>
      <c r="H200" s="20"/>
      <c r="I200" s="9"/>
      <c r="J200" s="9"/>
      <c r="K200" s="9"/>
    </row>
    <row r="201" spans="1:11" s="13" customFormat="1" ht="29.25" thickBot="1" x14ac:dyDescent="0.3">
      <c r="A201" s="19" t="s">
        <v>47</v>
      </c>
      <c r="B201" s="10"/>
      <c r="C201" s="14"/>
      <c r="D201" s="11"/>
      <c r="E201" s="11"/>
      <c r="F201" s="12">
        <f t="shared" si="3"/>
        <v>0</v>
      </c>
      <c r="G201" s="20"/>
      <c r="H201" s="20"/>
      <c r="I201" s="9"/>
      <c r="J201" s="9"/>
      <c r="K201" s="9"/>
    </row>
    <row r="202" spans="1:11" s="13" customFormat="1" ht="29.25" thickBot="1" x14ac:dyDescent="0.3">
      <c r="A202" s="19" t="s">
        <v>47</v>
      </c>
      <c r="B202" s="10"/>
      <c r="C202" s="14"/>
      <c r="D202" s="11"/>
      <c r="E202" s="11"/>
      <c r="F202" s="12">
        <f t="shared" si="3"/>
        <v>0</v>
      </c>
      <c r="G202" s="20"/>
      <c r="H202" s="20"/>
      <c r="I202" s="9"/>
      <c r="J202" s="9"/>
      <c r="K202" s="9"/>
    </row>
    <row r="203" spans="1:11" s="13" customFormat="1" ht="29.25" thickBot="1" x14ac:dyDescent="0.3">
      <c r="A203" s="19" t="s">
        <v>47</v>
      </c>
      <c r="B203" s="10"/>
      <c r="C203" s="14"/>
      <c r="D203" s="11"/>
      <c r="E203" s="11"/>
      <c r="F203" s="12">
        <f t="shared" si="3"/>
        <v>0</v>
      </c>
      <c r="G203" s="20"/>
      <c r="H203" s="20"/>
      <c r="I203" s="9"/>
      <c r="J203" s="9"/>
      <c r="K203" s="9"/>
    </row>
    <row r="204" spans="1:11" s="13" customFormat="1" ht="29.25" thickBot="1" x14ac:dyDescent="0.3">
      <c r="A204" s="19" t="s">
        <v>47</v>
      </c>
      <c r="B204" s="10"/>
      <c r="C204" s="14"/>
      <c r="D204" s="11"/>
      <c r="E204" s="11"/>
      <c r="F204" s="12">
        <f t="shared" si="3"/>
        <v>0</v>
      </c>
      <c r="G204" s="20"/>
      <c r="H204" s="20"/>
      <c r="I204" s="9"/>
      <c r="J204" s="9"/>
      <c r="K204" s="9"/>
    </row>
    <row r="205" spans="1:11" s="13" customFormat="1" ht="29.25" thickBot="1" x14ac:dyDescent="0.3">
      <c r="A205" s="19" t="s">
        <v>47</v>
      </c>
      <c r="B205" s="10"/>
      <c r="C205" s="14"/>
      <c r="D205" s="11"/>
      <c r="E205" s="11"/>
      <c r="F205" s="12">
        <f t="shared" si="3"/>
        <v>0</v>
      </c>
      <c r="G205" s="20"/>
      <c r="H205" s="20"/>
      <c r="I205" s="9"/>
      <c r="J205" s="9"/>
      <c r="K205" s="9"/>
    </row>
    <row r="206" spans="1:11" s="13" customFormat="1" ht="29.25" thickBot="1" x14ac:dyDescent="0.3">
      <c r="A206" s="19" t="s">
        <v>47</v>
      </c>
      <c r="B206" s="10"/>
      <c r="C206" s="14"/>
      <c r="D206" s="11"/>
      <c r="E206" s="11"/>
      <c r="F206" s="12">
        <f t="shared" si="3"/>
        <v>0</v>
      </c>
      <c r="G206" s="20"/>
      <c r="H206" s="20"/>
      <c r="I206" s="9"/>
      <c r="J206" s="9"/>
      <c r="K206" s="9"/>
    </row>
    <row r="207" spans="1:11" s="13" customFormat="1" ht="29.25" thickBot="1" x14ac:dyDescent="0.3">
      <c r="A207" s="19" t="s">
        <v>47</v>
      </c>
      <c r="B207" s="10"/>
      <c r="C207" s="14"/>
      <c r="D207" s="11"/>
      <c r="E207" s="11"/>
      <c r="F207" s="12">
        <f t="shared" si="3"/>
        <v>0</v>
      </c>
      <c r="G207" s="20"/>
      <c r="H207" s="20"/>
      <c r="I207" s="9"/>
      <c r="J207" s="9"/>
      <c r="K207" s="9"/>
    </row>
    <row r="208" spans="1:11" s="13" customFormat="1" ht="29.25" thickBot="1" x14ac:dyDescent="0.3">
      <c r="A208" s="19" t="s">
        <v>47</v>
      </c>
      <c r="B208" s="10"/>
      <c r="C208" s="14"/>
      <c r="D208" s="11"/>
      <c r="E208" s="11"/>
      <c r="F208" s="12">
        <f t="shared" si="3"/>
        <v>0</v>
      </c>
      <c r="G208" s="20"/>
      <c r="H208" s="20"/>
      <c r="I208" s="9"/>
      <c r="J208" s="9"/>
      <c r="K208" s="9"/>
    </row>
    <row r="209" spans="1:11" s="13" customFormat="1" ht="29.25" thickBot="1" x14ac:dyDescent="0.3">
      <c r="A209" s="19" t="s">
        <v>47</v>
      </c>
      <c r="B209" s="10"/>
      <c r="C209" s="14"/>
      <c r="D209" s="11"/>
      <c r="E209" s="11"/>
      <c r="F209" s="12">
        <f t="shared" si="3"/>
        <v>0</v>
      </c>
      <c r="G209" s="20"/>
      <c r="H209" s="20"/>
      <c r="I209" s="9"/>
      <c r="J209" s="9"/>
      <c r="K209" s="9"/>
    </row>
    <row r="210" spans="1:11" s="13" customFormat="1" ht="29.25" thickBot="1" x14ac:dyDescent="0.3">
      <c r="A210" s="19" t="s">
        <v>47</v>
      </c>
      <c r="B210" s="10"/>
      <c r="C210" s="14"/>
      <c r="D210" s="11"/>
      <c r="E210" s="11"/>
      <c r="F210" s="12">
        <f t="shared" si="3"/>
        <v>0</v>
      </c>
      <c r="G210" s="20"/>
      <c r="H210" s="20"/>
      <c r="I210" s="9"/>
      <c r="J210" s="9"/>
      <c r="K210" s="9"/>
    </row>
    <row r="211" spans="1:11" s="13" customFormat="1" ht="29.25" thickBot="1" x14ac:dyDescent="0.3">
      <c r="A211" s="19" t="s">
        <v>47</v>
      </c>
      <c r="B211" s="10"/>
      <c r="C211" s="14"/>
      <c r="D211" s="11"/>
      <c r="E211" s="11"/>
      <c r="F211" s="12">
        <f t="shared" si="3"/>
        <v>0</v>
      </c>
      <c r="G211" s="20"/>
      <c r="H211" s="20"/>
      <c r="I211" s="9"/>
      <c r="J211" s="9"/>
      <c r="K211" s="9"/>
    </row>
    <row r="212" spans="1:11" s="13" customFormat="1" ht="29.25" thickBot="1" x14ac:dyDescent="0.3">
      <c r="A212" s="19" t="s">
        <v>47</v>
      </c>
      <c r="B212" s="10"/>
      <c r="C212" s="14"/>
      <c r="D212" s="11"/>
      <c r="E212" s="11"/>
      <c r="F212" s="12">
        <f t="shared" si="3"/>
        <v>0</v>
      </c>
      <c r="G212" s="20"/>
      <c r="H212" s="20"/>
      <c r="I212" s="9"/>
      <c r="J212" s="9"/>
      <c r="K212" s="9"/>
    </row>
    <row r="213" spans="1:11" s="13" customFormat="1" ht="29.25" thickBot="1" x14ac:dyDescent="0.3">
      <c r="A213" s="19" t="s">
        <v>47</v>
      </c>
      <c r="B213" s="10"/>
      <c r="C213" s="14"/>
      <c r="D213" s="11"/>
      <c r="E213" s="11"/>
      <c r="F213" s="12">
        <f t="shared" si="3"/>
        <v>0</v>
      </c>
      <c r="G213" s="20"/>
      <c r="H213" s="20"/>
      <c r="I213" s="9"/>
      <c r="J213" s="9"/>
      <c r="K213" s="9"/>
    </row>
    <row r="214" spans="1:11" s="13" customFormat="1" ht="29.25" thickBot="1" x14ac:dyDescent="0.3">
      <c r="A214" s="19" t="s">
        <v>47</v>
      </c>
      <c r="B214" s="10"/>
      <c r="C214" s="14"/>
      <c r="D214" s="11"/>
      <c r="E214" s="11"/>
      <c r="F214" s="12">
        <f t="shared" si="3"/>
        <v>0</v>
      </c>
      <c r="G214" s="20"/>
      <c r="H214" s="20"/>
      <c r="I214" s="9"/>
      <c r="J214" s="9"/>
      <c r="K214" s="9"/>
    </row>
    <row r="215" spans="1:11" s="13" customFormat="1" ht="29.25" thickBot="1" x14ac:dyDescent="0.3">
      <c r="A215" s="19" t="s">
        <v>47</v>
      </c>
      <c r="B215" s="10"/>
      <c r="C215" s="14"/>
      <c r="D215" s="11"/>
      <c r="E215" s="11"/>
      <c r="F215" s="12">
        <f t="shared" si="3"/>
        <v>0</v>
      </c>
      <c r="G215" s="20"/>
      <c r="H215" s="20"/>
      <c r="I215" s="9"/>
      <c r="J215" s="9"/>
      <c r="K215" s="9"/>
    </row>
    <row r="216" spans="1:11" s="13" customFormat="1" ht="29.25" thickBot="1" x14ac:dyDescent="0.3">
      <c r="A216" s="19" t="s">
        <v>47</v>
      </c>
      <c r="B216" s="10"/>
      <c r="C216" s="14"/>
      <c r="D216" s="11"/>
      <c r="E216" s="11"/>
      <c r="F216" s="12">
        <f t="shared" si="3"/>
        <v>0</v>
      </c>
      <c r="G216" s="20"/>
      <c r="H216" s="20"/>
      <c r="I216" s="9"/>
      <c r="J216" s="9"/>
      <c r="K216" s="9"/>
    </row>
    <row r="217" spans="1:11" s="13" customFormat="1" ht="29.25" thickBot="1" x14ac:dyDescent="0.3">
      <c r="A217" s="19" t="s">
        <v>47</v>
      </c>
      <c r="B217" s="10"/>
      <c r="C217" s="14"/>
      <c r="D217" s="11"/>
      <c r="E217" s="11"/>
      <c r="F217" s="12">
        <f t="shared" si="3"/>
        <v>0</v>
      </c>
      <c r="G217" s="20"/>
      <c r="H217" s="20"/>
      <c r="I217" s="9"/>
      <c r="J217" s="9"/>
      <c r="K217" s="9"/>
    </row>
    <row r="218" spans="1:11" s="13" customFormat="1" ht="29.25" thickBot="1" x14ac:dyDescent="0.3">
      <c r="A218" s="19" t="s">
        <v>47</v>
      </c>
      <c r="B218" s="10"/>
      <c r="C218" s="14"/>
      <c r="D218" s="11"/>
      <c r="E218" s="11"/>
      <c r="F218" s="12">
        <f t="shared" si="3"/>
        <v>0</v>
      </c>
      <c r="G218" s="20"/>
      <c r="H218" s="20"/>
      <c r="I218" s="9"/>
      <c r="J218" s="9"/>
      <c r="K218" s="9"/>
    </row>
    <row r="219" spans="1:11" ht="29.25" thickBot="1" x14ac:dyDescent="0.25">
      <c r="A219" s="19" t="s">
        <v>47</v>
      </c>
      <c r="B219" s="10"/>
      <c r="C219" s="14"/>
      <c r="D219" s="11"/>
      <c r="E219" s="11"/>
      <c r="F219" s="12">
        <f t="shared" si="3"/>
        <v>0</v>
      </c>
      <c r="G219" s="20"/>
      <c r="H219" s="20"/>
      <c r="I219" s="9"/>
      <c r="J219" s="9"/>
      <c r="K219" s="9"/>
    </row>
    <row r="220" spans="1:11" ht="29.25" thickBot="1" x14ac:dyDescent="0.25">
      <c r="A220" s="19" t="s">
        <v>47</v>
      </c>
      <c r="B220" s="10"/>
      <c r="C220" s="14"/>
      <c r="D220" s="11"/>
      <c r="E220" s="11"/>
      <c r="F220" s="12">
        <f t="shared" si="3"/>
        <v>0</v>
      </c>
      <c r="G220" s="20"/>
      <c r="H220" s="20"/>
      <c r="I220" s="9"/>
      <c r="J220" s="9"/>
      <c r="K220" s="9"/>
    </row>
    <row r="221" spans="1:11" ht="29.25" thickBot="1" x14ac:dyDescent="0.25">
      <c r="A221" s="19" t="s">
        <v>47</v>
      </c>
      <c r="B221" s="10"/>
      <c r="C221" s="14"/>
      <c r="D221" s="11"/>
      <c r="E221" s="11"/>
      <c r="F221" s="12">
        <f t="shared" si="3"/>
        <v>0</v>
      </c>
      <c r="G221" s="20"/>
      <c r="H221" s="20"/>
      <c r="I221" s="9"/>
      <c r="J221" s="9"/>
      <c r="K221" s="9"/>
    </row>
    <row r="222" spans="1:11" ht="29.25" thickBot="1" x14ac:dyDescent="0.25">
      <c r="A222" s="19" t="s">
        <v>47</v>
      </c>
      <c r="B222" s="10"/>
      <c r="C222" s="14"/>
      <c r="D222" s="11"/>
      <c r="E222" s="11"/>
      <c r="F222" s="12">
        <f t="shared" si="3"/>
        <v>0</v>
      </c>
      <c r="G222" s="20"/>
      <c r="H222" s="20"/>
      <c r="I222" s="9"/>
      <c r="J222" s="9"/>
      <c r="K222" s="9"/>
    </row>
    <row r="223" spans="1:11" ht="29.25" thickBot="1" x14ac:dyDescent="0.25">
      <c r="A223" s="19" t="s">
        <v>47</v>
      </c>
      <c r="B223" s="10"/>
      <c r="C223" s="14"/>
      <c r="D223" s="11"/>
      <c r="E223" s="11"/>
      <c r="F223" s="12">
        <f t="shared" si="3"/>
        <v>0</v>
      </c>
      <c r="G223" s="20"/>
      <c r="H223" s="20"/>
      <c r="I223" s="9"/>
      <c r="J223" s="9"/>
      <c r="K223" s="9"/>
    </row>
    <row r="224" spans="1:11" ht="29.25" thickBot="1" x14ac:dyDescent="0.25">
      <c r="A224" s="19" t="s">
        <v>47</v>
      </c>
      <c r="B224" s="10"/>
      <c r="C224" s="14"/>
      <c r="D224" s="11"/>
      <c r="E224" s="11"/>
      <c r="F224" s="12">
        <f t="shared" si="3"/>
        <v>0</v>
      </c>
      <c r="G224" s="20"/>
      <c r="H224" s="20"/>
      <c r="I224" s="9"/>
      <c r="J224" s="9"/>
      <c r="K224" s="9"/>
    </row>
    <row r="225" spans="1:11" ht="29.25" thickBot="1" x14ac:dyDescent="0.25">
      <c r="A225" s="19" t="s">
        <v>47</v>
      </c>
      <c r="B225" s="10"/>
      <c r="C225" s="14"/>
      <c r="D225" s="11"/>
      <c r="E225" s="11"/>
      <c r="F225" s="12">
        <f t="shared" si="3"/>
        <v>0</v>
      </c>
      <c r="G225" s="20"/>
      <c r="H225" s="20"/>
      <c r="I225" s="9"/>
      <c r="J225" s="9"/>
      <c r="K225" s="9"/>
    </row>
    <row r="226" spans="1:11" ht="29.25" thickBot="1" x14ac:dyDescent="0.25">
      <c r="A226" s="19" t="s">
        <v>47</v>
      </c>
      <c r="B226" s="10"/>
      <c r="C226" s="14"/>
      <c r="D226" s="11"/>
      <c r="E226" s="11"/>
      <c r="F226" s="12">
        <f t="shared" si="3"/>
        <v>0</v>
      </c>
      <c r="G226" s="20"/>
      <c r="H226" s="20"/>
      <c r="I226" s="9"/>
      <c r="J226" s="9"/>
      <c r="K226" s="9"/>
    </row>
    <row r="227" spans="1:11" ht="29.25" thickBot="1" x14ac:dyDescent="0.25">
      <c r="A227" s="19" t="s">
        <v>47</v>
      </c>
      <c r="B227" s="10"/>
      <c r="C227" s="14"/>
      <c r="D227" s="11"/>
      <c r="E227" s="11"/>
      <c r="F227" s="12">
        <f t="shared" si="3"/>
        <v>0</v>
      </c>
      <c r="G227" s="20"/>
      <c r="H227" s="20"/>
      <c r="I227" s="9"/>
      <c r="J227" s="9"/>
      <c r="K227" s="9"/>
    </row>
    <row r="228" spans="1:11" ht="29.25" thickBot="1" x14ac:dyDescent="0.25">
      <c r="A228" s="19" t="s">
        <v>47</v>
      </c>
      <c r="B228" s="10"/>
      <c r="C228" s="14"/>
      <c r="D228" s="11"/>
      <c r="E228" s="11"/>
      <c r="F228" s="12">
        <f t="shared" si="3"/>
        <v>0</v>
      </c>
      <c r="G228" s="20"/>
      <c r="H228" s="20"/>
      <c r="I228" s="9"/>
      <c r="J228" s="9"/>
      <c r="K228" s="9"/>
    </row>
    <row r="229" spans="1:11" ht="29.25" thickBot="1" x14ac:dyDescent="0.25">
      <c r="A229" s="19" t="s">
        <v>47</v>
      </c>
      <c r="B229" s="10"/>
      <c r="C229" s="14"/>
      <c r="D229" s="11"/>
      <c r="E229" s="11"/>
      <c r="F229" s="12">
        <f t="shared" si="3"/>
        <v>0</v>
      </c>
      <c r="G229" s="20"/>
      <c r="H229" s="20"/>
      <c r="I229" s="9"/>
      <c r="J229" s="9"/>
      <c r="K229" s="9"/>
    </row>
    <row r="230" spans="1:11" ht="29.25" thickBot="1" x14ac:dyDescent="0.25">
      <c r="A230" s="19" t="s">
        <v>47</v>
      </c>
      <c r="B230" s="10"/>
      <c r="C230" s="14"/>
      <c r="D230" s="11"/>
      <c r="E230" s="11"/>
      <c r="F230" s="12">
        <f t="shared" si="3"/>
        <v>0</v>
      </c>
      <c r="G230" s="20"/>
      <c r="H230" s="20"/>
      <c r="I230" s="9"/>
      <c r="J230" s="9"/>
      <c r="K230" s="9"/>
    </row>
    <row r="231" spans="1:11" ht="29.25" thickBot="1" x14ac:dyDescent="0.25">
      <c r="A231" s="19" t="s">
        <v>47</v>
      </c>
      <c r="B231" s="10"/>
      <c r="C231" s="14"/>
      <c r="D231" s="11"/>
      <c r="E231" s="11"/>
      <c r="F231" s="12">
        <f t="shared" si="3"/>
        <v>0</v>
      </c>
      <c r="G231" s="20"/>
      <c r="H231" s="20"/>
      <c r="I231" s="9"/>
      <c r="J231" s="9"/>
      <c r="K231" s="9"/>
    </row>
    <row r="232" spans="1:11" ht="29.25" thickBot="1" x14ac:dyDescent="0.25">
      <c r="A232" s="19" t="s">
        <v>47</v>
      </c>
      <c r="B232" s="10"/>
      <c r="C232" s="14"/>
      <c r="D232" s="11"/>
      <c r="E232" s="11"/>
      <c r="F232" s="12">
        <f t="shared" si="3"/>
        <v>0</v>
      </c>
      <c r="G232" s="20"/>
      <c r="H232" s="20"/>
      <c r="I232" s="9"/>
      <c r="J232" s="9"/>
      <c r="K232" s="9"/>
    </row>
    <row r="233" spans="1:11" ht="29.25" thickBot="1" x14ac:dyDescent="0.25">
      <c r="A233" s="19" t="s">
        <v>47</v>
      </c>
      <c r="B233" s="10"/>
      <c r="C233" s="14"/>
      <c r="D233" s="11"/>
      <c r="E233" s="11"/>
      <c r="F233" s="12">
        <f t="shared" si="3"/>
        <v>0</v>
      </c>
      <c r="G233" s="20"/>
      <c r="H233" s="20"/>
      <c r="I233" s="9"/>
      <c r="J233" s="9"/>
      <c r="K233" s="9"/>
    </row>
    <row r="234" spans="1:11" ht="29.25" thickBot="1" x14ac:dyDescent="0.25">
      <c r="A234" s="19" t="s">
        <v>47</v>
      </c>
      <c r="B234" s="10"/>
      <c r="C234" s="14"/>
      <c r="D234" s="11"/>
      <c r="E234" s="11"/>
      <c r="F234" s="12">
        <f t="shared" si="3"/>
        <v>0</v>
      </c>
      <c r="G234" s="20"/>
      <c r="H234" s="20"/>
      <c r="I234" s="9"/>
      <c r="J234" s="9"/>
      <c r="K234" s="9"/>
    </row>
    <row r="235" spans="1:11" ht="29.25" thickBot="1" x14ac:dyDescent="0.25">
      <c r="A235" s="19" t="s">
        <v>47</v>
      </c>
      <c r="B235" s="10"/>
      <c r="C235" s="14"/>
      <c r="D235" s="11"/>
      <c r="E235" s="11"/>
      <c r="F235" s="12">
        <f t="shared" si="3"/>
        <v>0</v>
      </c>
      <c r="G235" s="20"/>
      <c r="H235" s="20"/>
      <c r="I235" s="9"/>
      <c r="J235" s="9"/>
      <c r="K235" s="9"/>
    </row>
    <row r="236" spans="1:11" ht="29.25" thickBot="1" x14ac:dyDescent="0.25">
      <c r="A236" s="19" t="s">
        <v>47</v>
      </c>
      <c r="B236" s="10"/>
      <c r="C236" s="14"/>
      <c r="D236" s="11"/>
      <c r="E236" s="11"/>
      <c r="F236" s="12">
        <f t="shared" si="3"/>
        <v>0</v>
      </c>
      <c r="G236" s="20"/>
      <c r="H236" s="20"/>
      <c r="I236" s="9"/>
      <c r="J236" s="9"/>
      <c r="K236" s="9"/>
    </row>
    <row r="237" spans="1:11" ht="29.25" thickBot="1" x14ac:dyDescent="0.25">
      <c r="A237" s="19" t="s">
        <v>47</v>
      </c>
      <c r="B237" s="10"/>
      <c r="C237" s="14"/>
      <c r="D237" s="11"/>
      <c r="E237" s="11"/>
      <c r="F237" s="12">
        <f t="shared" si="3"/>
        <v>0</v>
      </c>
      <c r="G237" s="20"/>
      <c r="H237" s="20"/>
      <c r="I237" s="9"/>
      <c r="J237" s="9"/>
      <c r="K237" s="9"/>
    </row>
    <row r="238" spans="1:11" ht="29.25" thickBot="1" x14ac:dyDescent="0.25">
      <c r="A238" s="19" t="s">
        <v>47</v>
      </c>
      <c r="B238" s="10"/>
      <c r="C238" s="14"/>
      <c r="D238" s="11"/>
      <c r="E238" s="11"/>
      <c r="F238" s="12">
        <f t="shared" si="3"/>
        <v>0</v>
      </c>
      <c r="G238" s="20"/>
      <c r="H238" s="20"/>
      <c r="I238" s="9"/>
      <c r="J238" s="9"/>
      <c r="K238" s="9"/>
    </row>
    <row r="239" spans="1:11" ht="29.25" thickBot="1" x14ac:dyDescent="0.25">
      <c r="A239" s="19" t="s">
        <v>47</v>
      </c>
      <c r="B239" s="10"/>
      <c r="C239" s="14"/>
      <c r="D239" s="11"/>
      <c r="E239" s="11"/>
      <c r="F239" s="12">
        <f t="shared" si="3"/>
        <v>0</v>
      </c>
      <c r="G239" s="20"/>
      <c r="H239" s="20"/>
      <c r="I239" s="9"/>
      <c r="J239" s="9"/>
      <c r="K239" s="9"/>
    </row>
    <row r="240" spans="1:11" ht="29.25" thickBot="1" x14ac:dyDescent="0.25">
      <c r="A240" s="19" t="s">
        <v>47</v>
      </c>
      <c r="B240" s="10"/>
      <c r="C240" s="14"/>
      <c r="D240" s="11"/>
      <c r="E240" s="11"/>
      <c r="F240" s="12">
        <f t="shared" si="3"/>
        <v>0</v>
      </c>
      <c r="G240" s="20"/>
      <c r="H240" s="20"/>
      <c r="I240" s="9"/>
      <c r="J240" s="9"/>
      <c r="K240" s="9"/>
    </row>
    <row r="241" spans="1:11" ht="29.25" thickBot="1" x14ac:dyDescent="0.25">
      <c r="A241" s="19" t="s">
        <v>47</v>
      </c>
      <c r="B241" s="10"/>
      <c r="C241" s="14"/>
      <c r="D241" s="11"/>
      <c r="E241" s="11"/>
      <c r="F241" s="12">
        <f t="shared" si="3"/>
        <v>0</v>
      </c>
      <c r="G241" s="20"/>
      <c r="H241" s="20"/>
      <c r="I241" s="9"/>
      <c r="J241" s="9"/>
      <c r="K241" s="9"/>
    </row>
    <row r="242" spans="1:11" ht="29.25" thickBot="1" x14ac:dyDescent="0.25">
      <c r="A242" s="19" t="s">
        <v>47</v>
      </c>
      <c r="B242" s="10"/>
      <c r="C242" s="14"/>
      <c r="D242" s="11"/>
      <c r="E242" s="11"/>
      <c r="F242" s="12">
        <f t="shared" si="3"/>
        <v>0</v>
      </c>
      <c r="G242" s="20"/>
      <c r="H242" s="20"/>
      <c r="I242" s="9"/>
      <c r="J242" s="9"/>
      <c r="K242" s="9"/>
    </row>
    <row r="243" spans="1:11" ht="29.25" thickBot="1" x14ac:dyDescent="0.25">
      <c r="A243" s="19" t="s">
        <v>47</v>
      </c>
      <c r="B243" s="10"/>
      <c r="C243" s="14"/>
      <c r="D243" s="11"/>
      <c r="E243" s="11"/>
      <c r="F243" s="12">
        <f t="shared" si="3"/>
        <v>0</v>
      </c>
      <c r="G243" s="20"/>
      <c r="H243" s="20"/>
      <c r="I243" s="9"/>
      <c r="J243" s="9"/>
      <c r="K243" s="9"/>
    </row>
    <row r="244" spans="1:11" ht="29.25" thickBot="1" x14ac:dyDescent="0.25">
      <c r="A244" s="19" t="s">
        <v>47</v>
      </c>
      <c r="B244" s="10"/>
      <c r="C244" s="14"/>
      <c r="D244" s="11"/>
      <c r="E244" s="11"/>
      <c r="F244" s="12">
        <f t="shared" si="3"/>
        <v>0</v>
      </c>
      <c r="G244" s="20"/>
      <c r="H244" s="20"/>
      <c r="I244" s="9"/>
      <c r="J244" s="9"/>
      <c r="K244" s="9"/>
    </row>
    <row r="245" spans="1:11" ht="29.25" thickBot="1" x14ac:dyDescent="0.25">
      <c r="A245" s="19" t="s">
        <v>47</v>
      </c>
      <c r="B245" s="10"/>
      <c r="C245" s="14"/>
      <c r="D245" s="11"/>
      <c r="E245" s="11"/>
      <c r="F245" s="12">
        <f t="shared" si="3"/>
        <v>0</v>
      </c>
      <c r="G245" s="20"/>
      <c r="H245" s="20"/>
      <c r="I245" s="9"/>
      <c r="J245" s="9"/>
      <c r="K245" s="9"/>
    </row>
    <row r="246" spans="1:11" ht="29.25" thickBot="1" x14ac:dyDescent="0.25">
      <c r="A246" s="19" t="s">
        <v>47</v>
      </c>
      <c r="B246" s="10"/>
      <c r="C246" s="14"/>
      <c r="D246" s="11"/>
      <c r="E246" s="11"/>
      <c r="F246" s="12">
        <f t="shared" si="3"/>
        <v>0</v>
      </c>
      <c r="G246" s="20"/>
      <c r="H246" s="20"/>
      <c r="I246" s="9"/>
      <c r="J246" s="9"/>
      <c r="K246" s="9"/>
    </row>
    <row r="247" spans="1:11" ht="29.25" thickBot="1" x14ac:dyDescent="0.25">
      <c r="A247" s="19" t="s">
        <v>47</v>
      </c>
      <c r="B247" s="10"/>
      <c r="C247" s="14"/>
      <c r="D247" s="11"/>
      <c r="E247" s="11"/>
      <c r="F247" s="12">
        <f t="shared" si="3"/>
        <v>0</v>
      </c>
      <c r="G247" s="20"/>
      <c r="H247" s="20"/>
      <c r="I247" s="9"/>
      <c r="J247" s="9"/>
      <c r="K247" s="9"/>
    </row>
    <row r="248" spans="1:11" ht="29.25" thickBot="1" x14ac:dyDescent="0.25">
      <c r="A248" s="19" t="s">
        <v>47</v>
      </c>
      <c r="B248" s="10"/>
      <c r="C248" s="14"/>
      <c r="D248" s="11"/>
      <c r="E248" s="11"/>
      <c r="F248" s="12">
        <f t="shared" si="3"/>
        <v>0</v>
      </c>
      <c r="G248" s="20"/>
      <c r="H248" s="20"/>
      <c r="I248" s="9"/>
      <c r="J248" s="9"/>
      <c r="K248" s="9"/>
    </row>
    <row r="249" spans="1:11" ht="29.25" thickBot="1" x14ac:dyDescent="0.25">
      <c r="A249" s="19" t="s">
        <v>47</v>
      </c>
      <c r="B249" s="10"/>
      <c r="C249" s="14"/>
      <c r="D249" s="11"/>
      <c r="E249" s="11"/>
      <c r="F249" s="12">
        <f t="shared" si="3"/>
        <v>0</v>
      </c>
      <c r="G249" s="20"/>
      <c r="H249" s="20"/>
      <c r="I249" s="9"/>
      <c r="J249" s="9"/>
      <c r="K249" s="9"/>
    </row>
    <row r="250" spans="1:11" ht="29.25" thickBot="1" x14ac:dyDescent="0.25">
      <c r="A250" s="19" t="s">
        <v>47</v>
      </c>
      <c r="B250" s="10"/>
      <c r="C250" s="14"/>
      <c r="D250" s="11"/>
      <c r="E250" s="11"/>
      <c r="F250" s="12">
        <f t="shared" si="3"/>
        <v>0</v>
      </c>
      <c r="G250" s="20"/>
      <c r="H250" s="20"/>
      <c r="I250" s="9"/>
      <c r="J250" s="9"/>
      <c r="K250" s="9"/>
    </row>
    <row r="251" spans="1:11" ht="29.25" thickBot="1" x14ac:dyDescent="0.25">
      <c r="A251" s="19" t="s">
        <v>47</v>
      </c>
      <c r="B251" s="10"/>
      <c r="C251" s="14"/>
      <c r="D251" s="11"/>
      <c r="E251" s="11"/>
      <c r="F251" s="12">
        <f t="shared" si="3"/>
        <v>0</v>
      </c>
      <c r="G251" s="20"/>
      <c r="H251" s="20"/>
      <c r="I251" s="9"/>
      <c r="J251" s="9"/>
      <c r="K251" s="9"/>
    </row>
    <row r="252" spans="1:11" ht="29.25" thickBot="1" x14ac:dyDescent="0.25">
      <c r="A252" s="19" t="s">
        <v>47</v>
      </c>
      <c r="B252" s="10"/>
      <c r="C252" s="14"/>
      <c r="D252" s="11"/>
      <c r="E252" s="11"/>
      <c r="F252" s="12">
        <f t="shared" si="3"/>
        <v>0</v>
      </c>
      <c r="G252" s="20"/>
      <c r="H252" s="20"/>
      <c r="I252" s="9"/>
      <c r="J252" s="9"/>
      <c r="K252" s="9"/>
    </row>
    <row r="253" spans="1:11" ht="29.25" thickBot="1" x14ac:dyDescent="0.25">
      <c r="A253" s="19" t="s">
        <v>47</v>
      </c>
      <c r="B253" s="10"/>
      <c r="C253" s="14"/>
      <c r="D253" s="11"/>
      <c r="E253" s="11"/>
      <c r="F253" s="12">
        <f t="shared" si="3"/>
        <v>0</v>
      </c>
      <c r="G253" s="20"/>
      <c r="H253" s="20"/>
      <c r="I253" s="9"/>
      <c r="J253" s="9"/>
      <c r="K253" s="9"/>
    </row>
    <row r="254" spans="1:11" ht="29.25" thickBot="1" x14ac:dyDescent="0.25">
      <c r="A254" s="19" t="s">
        <v>47</v>
      </c>
      <c r="B254" s="10"/>
      <c r="C254" s="14"/>
      <c r="D254" s="11"/>
      <c r="E254" s="11"/>
      <c r="F254" s="12">
        <f t="shared" si="3"/>
        <v>0</v>
      </c>
      <c r="G254" s="20"/>
      <c r="H254" s="20"/>
      <c r="I254" s="9"/>
      <c r="J254" s="9"/>
      <c r="K254" s="9"/>
    </row>
    <row r="255" spans="1:11" ht="29.25" thickBot="1" x14ac:dyDescent="0.25">
      <c r="A255" s="19" t="s">
        <v>47</v>
      </c>
      <c r="B255" s="10"/>
      <c r="C255" s="14"/>
      <c r="D255" s="11"/>
      <c r="E255" s="11"/>
      <c r="F255" s="12">
        <f t="shared" si="3"/>
        <v>0</v>
      </c>
      <c r="G255" s="20"/>
      <c r="H255" s="20"/>
      <c r="I255" s="9"/>
      <c r="J255" s="9"/>
      <c r="K255" s="9"/>
    </row>
    <row r="256" spans="1:11" ht="29.25" thickBot="1" x14ac:dyDescent="0.25">
      <c r="A256" s="19" t="s">
        <v>47</v>
      </c>
      <c r="B256" s="10"/>
      <c r="C256" s="14"/>
      <c r="D256" s="11"/>
      <c r="E256" s="11"/>
      <c r="F256" s="12">
        <f t="shared" si="3"/>
        <v>0</v>
      </c>
      <c r="G256" s="20"/>
      <c r="H256" s="20"/>
      <c r="I256" s="9"/>
      <c r="J256" s="9"/>
      <c r="K256" s="9"/>
    </row>
    <row r="257" spans="1:11" ht="29.25" thickBot="1" x14ac:dyDescent="0.25">
      <c r="A257" s="19" t="s">
        <v>47</v>
      </c>
      <c r="B257" s="10"/>
      <c r="C257" s="14"/>
      <c r="D257" s="11"/>
      <c r="E257" s="11"/>
      <c r="F257" s="12">
        <f t="shared" si="3"/>
        <v>0</v>
      </c>
      <c r="G257" s="20"/>
      <c r="H257" s="20"/>
      <c r="I257" s="9"/>
      <c r="J257" s="9"/>
      <c r="K257" s="9"/>
    </row>
    <row r="258" spans="1:11" s="7" customFormat="1" ht="29.25" thickBot="1" x14ac:dyDescent="0.25">
      <c r="A258" s="19" t="s">
        <v>47</v>
      </c>
      <c r="B258" s="10"/>
      <c r="C258" s="14"/>
      <c r="D258" s="11"/>
      <c r="E258" s="11"/>
      <c r="F258" s="12">
        <f t="shared" si="3"/>
        <v>0</v>
      </c>
      <c r="G258" s="20"/>
      <c r="H258" s="20"/>
      <c r="I258" s="9"/>
      <c r="J258" s="9"/>
      <c r="K258" s="9"/>
    </row>
    <row r="259" spans="1:11" s="7" customFormat="1" ht="29.25" thickBot="1" x14ac:dyDescent="0.25">
      <c r="A259" s="19" t="s">
        <v>47</v>
      </c>
      <c r="B259" s="10"/>
      <c r="C259" s="14"/>
      <c r="D259" s="11"/>
      <c r="E259" s="11"/>
      <c r="F259" s="12">
        <f t="shared" si="3"/>
        <v>0</v>
      </c>
      <c r="G259" s="20"/>
      <c r="H259" s="20"/>
      <c r="I259" s="9"/>
      <c r="J259" s="9"/>
      <c r="K259" s="9"/>
    </row>
    <row r="260" spans="1:11" s="7" customFormat="1" ht="29.25" thickBot="1" x14ac:dyDescent="0.25">
      <c r="A260" s="19" t="s">
        <v>47</v>
      </c>
      <c r="B260" s="10"/>
      <c r="C260" s="14"/>
      <c r="D260" s="11"/>
      <c r="E260" s="11"/>
      <c r="F260" s="12">
        <f t="shared" si="3"/>
        <v>0</v>
      </c>
      <c r="G260" s="20"/>
      <c r="H260" s="20"/>
      <c r="I260" s="9"/>
      <c r="J260" s="9"/>
      <c r="K260" s="9"/>
    </row>
    <row r="261" spans="1:11" s="7" customFormat="1" ht="29.25" thickBot="1" x14ac:dyDescent="0.25">
      <c r="A261" s="19" t="s">
        <v>47</v>
      </c>
      <c r="B261" s="10"/>
      <c r="C261" s="14"/>
      <c r="D261" s="11"/>
      <c r="E261" s="11"/>
      <c r="F261" s="12">
        <f t="shared" si="3"/>
        <v>0</v>
      </c>
      <c r="G261" s="20"/>
      <c r="H261" s="20"/>
      <c r="I261" s="9"/>
      <c r="J261" s="9"/>
      <c r="K261" s="9"/>
    </row>
    <row r="262" spans="1:11" s="7" customFormat="1" ht="29.25" thickBot="1" x14ac:dyDescent="0.25">
      <c r="A262" s="19" t="s">
        <v>47</v>
      </c>
      <c r="B262" s="10"/>
      <c r="C262" s="14"/>
      <c r="D262" s="11"/>
      <c r="E262" s="11"/>
      <c r="F262" s="12">
        <f t="shared" ref="F262:F298" si="4">+(E262-D262)*24</f>
        <v>0</v>
      </c>
      <c r="G262" s="20"/>
      <c r="H262" s="20"/>
      <c r="I262" s="9"/>
      <c r="J262" s="9"/>
      <c r="K262" s="9"/>
    </row>
    <row r="263" spans="1:11" s="7" customFormat="1" ht="29.25" thickBot="1" x14ac:dyDescent="0.25">
      <c r="A263" s="19" t="s">
        <v>47</v>
      </c>
      <c r="B263" s="10"/>
      <c r="C263" s="14"/>
      <c r="D263" s="11"/>
      <c r="E263" s="11"/>
      <c r="F263" s="12">
        <f t="shared" si="4"/>
        <v>0</v>
      </c>
      <c r="G263" s="20"/>
      <c r="H263" s="20"/>
      <c r="I263" s="9"/>
      <c r="J263" s="9"/>
      <c r="K263" s="9"/>
    </row>
    <row r="264" spans="1:11" s="7" customFormat="1" ht="29.25" thickBot="1" x14ac:dyDescent="0.25">
      <c r="A264" s="19" t="s">
        <v>47</v>
      </c>
      <c r="B264" s="10"/>
      <c r="C264" s="14"/>
      <c r="D264" s="11"/>
      <c r="E264" s="11"/>
      <c r="F264" s="12">
        <f t="shared" si="4"/>
        <v>0</v>
      </c>
      <c r="G264" s="20"/>
      <c r="H264" s="20"/>
      <c r="I264" s="9"/>
      <c r="J264" s="9"/>
      <c r="K264" s="9"/>
    </row>
    <row r="265" spans="1:11" s="7" customFormat="1" ht="29.25" thickBot="1" x14ac:dyDescent="0.25">
      <c r="A265" s="19" t="s">
        <v>47</v>
      </c>
      <c r="B265" s="10"/>
      <c r="C265" s="14"/>
      <c r="D265" s="11"/>
      <c r="E265" s="11"/>
      <c r="F265" s="12">
        <f t="shared" si="4"/>
        <v>0</v>
      </c>
      <c r="G265" s="20"/>
      <c r="H265" s="20"/>
      <c r="I265" s="9"/>
      <c r="J265" s="9"/>
      <c r="K265" s="9"/>
    </row>
    <row r="266" spans="1:11" s="7" customFormat="1" ht="29.25" thickBot="1" x14ac:dyDescent="0.25">
      <c r="A266" s="19" t="s">
        <v>47</v>
      </c>
      <c r="B266" s="10"/>
      <c r="C266" s="14"/>
      <c r="D266" s="11"/>
      <c r="E266" s="11"/>
      <c r="F266" s="12">
        <f t="shared" si="4"/>
        <v>0</v>
      </c>
      <c r="G266" s="20"/>
      <c r="H266" s="20"/>
      <c r="I266" s="9"/>
      <c r="J266" s="9"/>
      <c r="K266" s="9"/>
    </row>
    <row r="267" spans="1:11" s="7" customFormat="1" ht="29.25" thickBot="1" x14ac:dyDescent="0.25">
      <c r="A267" s="19" t="s">
        <v>47</v>
      </c>
      <c r="B267" s="10"/>
      <c r="C267" s="14"/>
      <c r="D267" s="11"/>
      <c r="E267" s="11"/>
      <c r="F267" s="12">
        <f t="shared" si="4"/>
        <v>0</v>
      </c>
      <c r="G267" s="20"/>
      <c r="H267" s="20"/>
      <c r="I267" s="9"/>
      <c r="J267" s="9"/>
      <c r="K267" s="9"/>
    </row>
    <row r="268" spans="1:11" s="7" customFormat="1" ht="29.25" thickBot="1" x14ac:dyDescent="0.25">
      <c r="A268" s="19" t="s">
        <v>47</v>
      </c>
      <c r="B268" s="10"/>
      <c r="C268" s="14"/>
      <c r="D268" s="11"/>
      <c r="E268" s="11"/>
      <c r="F268" s="12">
        <f t="shared" si="4"/>
        <v>0</v>
      </c>
      <c r="G268" s="20"/>
      <c r="H268" s="20"/>
      <c r="I268" s="9"/>
      <c r="J268" s="9"/>
      <c r="K268" s="9"/>
    </row>
    <row r="269" spans="1:11" s="7" customFormat="1" ht="29.25" thickBot="1" x14ac:dyDescent="0.25">
      <c r="A269" s="19" t="s">
        <v>47</v>
      </c>
      <c r="B269" s="10"/>
      <c r="C269" s="14"/>
      <c r="D269" s="11"/>
      <c r="E269" s="11"/>
      <c r="F269" s="12">
        <f t="shared" si="4"/>
        <v>0</v>
      </c>
      <c r="G269" s="20"/>
      <c r="H269" s="20"/>
      <c r="I269" s="9"/>
      <c r="J269" s="9"/>
      <c r="K269" s="9"/>
    </row>
    <row r="270" spans="1:11" s="7" customFormat="1" ht="29.25" thickBot="1" x14ac:dyDescent="0.25">
      <c r="A270" s="19" t="s">
        <v>47</v>
      </c>
      <c r="B270" s="10"/>
      <c r="C270" s="14"/>
      <c r="D270" s="11"/>
      <c r="E270" s="11"/>
      <c r="F270" s="12">
        <f t="shared" si="4"/>
        <v>0</v>
      </c>
      <c r="G270" s="20"/>
      <c r="H270" s="20"/>
      <c r="I270" s="9"/>
      <c r="J270" s="9"/>
      <c r="K270" s="9"/>
    </row>
    <row r="271" spans="1:11" s="7" customFormat="1" ht="29.25" thickBot="1" x14ac:dyDescent="0.25">
      <c r="A271" s="19" t="s">
        <v>47</v>
      </c>
      <c r="B271" s="10"/>
      <c r="C271" s="14"/>
      <c r="D271" s="11"/>
      <c r="E271" s="11"/>
      <c r="F271" s="12">
        <f t="shared" si="4"/>
        <v>0</v>
      </c>
      <c r="G271" s="20"/>
      <c r="H271" s="20"/>
      <c r="I271" s="9"/>
      <c r="J271" s="9"/>
      <c r="K271" s="9"/>
    </row>
    <row r="272" spans="1:11" s="7" customFormat="1" ht="29.25" thickBot="1" x14ac:dyDescent="0.25">
      <c r="A272" s="19" t="s">
        <v>47</v>
      </c>
      <c r="B272" s="10"/>
      <c r="C272" s="14"/>
      <c r="D272" s="11"/>
      <c r="E272" s="11"/>
      <c r="F272" s="12">
        <f t="shared" si="4"/>
        <v>0</v>
      </c>
      <c r="G272" s="20"/>
      <c r="H272" s="20"/>
      <c r="I272" s="9"/>
      <c r="J272" s="9"/>
      <c r="K272" s="9"/>
    </row>
    <row r="273" spans="1:11" s="7" customFormat="1" ht="29.25" thickBot="1" x14ac:dyDescent="0.25">
      <c r="A273" s="19" t="s">
        <v>47</v>
      </c>
      <c r="B273" s="10"/>
      <c r="C273" s="14"/>
      <c r="D273" s="11"/>
      <c r="E273" s="11"/>
      <c r="F273" s="12">
        <f t="shared" si="4"/>
        <v>0</v>
      </c>
      <c r="G273" s="20"/>
      <c r="H273" s="20"/>
      <c r="I273" s="9"/>
      <c r="J273" s="9"/>
      <c r="K273" s="9"/>
    </row>
    <row r="274" spans="1:11" s="7" customFormat="1" ht="29.25" thickBot="1" x14ac:dyDescent="0.25">
      <c r="A274" s="19" t="s">
        <v>47</v>
      </c>
      <c r="B274" s="10"/>
      <c r="C274" s="14"/>
      <c r="D274" s="11"/>
      <c r="E274" s="11"/>
      <c r="F274" s="12">
        <f t="shared" si="4"/>
        <v>0</v>
      </c>
      <c r="G274" s="20"/>
      <c r="H274" s="20"/>
      <c r="I274" s="9"/>
      <c r="J274" s="9"/>
      <c r="K274" s="9"/>
    </row>
    <row r="275" spans="1:11" s="7" customFormat="1" ht="29.25" thickBot="1" x14ac:dyDescent="0.25">
      <c r="A275" s="19" t="s">
        <v>47</v>
      </c>
      <c r="B275" s="10"/>
      <c r="C275" s="14"/>
      <c r="D275" s="11"/>
      <c r="E275" s="11"/>
      <c r="F275" s="12">
        <f t="shared" si="4"/>
        <v>0</v>
      </c>
      <c r="G275" s="20"/>
      <c r="H275" s="20"/>
      <c r="I275" s="9"/>
      <c r="J275" s="9"/>
      <c r="K275" s="9"/>
    </row>
    <row r="276" spans="1:11" s="7" customFormat="1" ht="29.25" thickBot="1" x14ac:dyDescent="0.25">
      <c r="A276" s="19" t="s">
        <v>47</v>
      </c>
      <c r="B276" s="10"/>
      <c r="C276" s="14"/>
      <c r="D276" s="11"/>
      <c r="E276" s="11"/>
      <c r="F276" s="12">
        <f t="shared" si="4"/>
        <v>0</v>
      </c>
      <c r="G276" s="20"/>
      <c r="H276" s="20"/>
      <c r="I276" s="9"/>
      <c r="J276" s="9"/>
      <c r="K276" s="9"/>
    </row>
    <row r="277" spans="1:11" s="7" customFormat="1" ht="29.25" thickBot="1" x14ac:dyDescent="0.25">
      <c r="A277" s="19" t="s">
        <v>47</v>
      </c>
      <c r="B277" s="10"/>
      <c r="C277" s="14"/>
      <c r="D277" s="11"/>
      <c r="E277" s="11"/>
      <c r="F277" s="12">
        <f t="shared" si="4"/>
        <v>0</v>
      </c>
      <c r="G277" s="20"/>
      <c r="H277" s="20"/>
      <c r="I277" s="9"/>
      <c r="J277" s="9"/>
      <c r="K277" s="9"/>
    </row>
    <row r="278" spans="1:11" s="7" customFormat="1" ht="29.25" thickBot="1" x14ac:dyDescent="0.25">
      <c r="A278" s="19" t="s">
        <v>47</v>
      </c>
      <c r="B278" s="10"/>
      <c r="C278" s="14"/>
      <c r="D278" s="11"/>
      <c r="E278" s="11"/>
      <c r="F278" s="12">
        <f t="shared" si="4"/>
        <v>0</v>
      </c>
      <c r="G278" s="20"/>
      <c r="H278" s="20"/>
      <c r="I278" s="9"/>
      <c r="J278" s="9"/>
      <c r="K278" s="9"/>
    </row>
    <row r="279" spans="1:11" s="7" customFormat="1" ht="29.25" thickBot="1" x14ac:dyDescent="0.25">
      <c r="A279" s="19" t="s">
        <v>47</v>
      </c>
      <c r="B279" s="10"/>
      <c r="C279" s="14"/>
      <c r="D279" s="11"/>
      <c r="E279" s="11"/>
      <c r="F279" s="12">
        <f t="shared" si="4"/>
        <v>0</v>
      </c>
      <c r="G279" s="20"/>
      <c r="H279" s="20"/>
      <c r="I279" s="9"/>
      <c r="J279" s="9"/>
      <c r="K279" s="9"/>
    </row>
    <row r="280" spans="1:11" s="7" customFormat="1" ht="29.25" thickBot="1" x14ac:dyDescent="0.25">
      <c r="A280" s="19" t="s">
        <v>47</v>
      </c>
      <c r="B280" s="10"/>
      <c r="C280" s="14"/>
      <c r="D280" s="11"/>
      <c r="E280" s="11"/>
      <c r="F280" s="12">
        <f t="shared" si="4"/>
        <v>0</v>
      </c>
      <c r="G280" s="20"/>
      <c r="H280" s="20"/>
      <c r="I280" s="9"/>
      <c r="J280" s="9"/>
      <c r="K280" s="9"/>
    </row>
    <row r="281" spans="1:11" s="7" customFormat="1" ht="29.25" thickBot="1" x14ac:dyDescent="0.25">
      <c r="A281" s="19" t="s">
        <v>47</v>
      </c>
      <c r="B281" s="10"/>
      <c r="C281" s="14"/>
      <c r="D281" s="11"/>
      <c r="E281" s="11"/>
      <c r="F281" s="12">
        <f t="shared" si="4"/>
        <v>0</v>
      </c>
      <c r="G281" s="20"/>
      <c r="H281" s="20"/>
      <c r="I281" s="9"/>
      <c r="J281" s="9"/>
      <c r="K281" s="9"/>
    </row>
    <row r="282" spans="1:11" s="7" customFormat="1" ht="29.25" thickBot="1" x14ac:dyDescent="0.25">
      <c r="A282" s="19" t="s">
        <v>47</v>
      </c>
      <c r="B282" s="10"/>
      <c r="C282" s="14"/>
      <c r="D282" s="11"/>
      <c r="E282" s="11"/>
      <c r="F282" s="12">
        <f t="shared" si="4"/>
        <v>0</v>
      </c>
      <c r="G282" s="20"/>
      <c r="H282" s="20"/>
      <c r="I282" s="9"/>
      <c r="J282" s="9"/>
      <c r="K282" s="9"/>
    </row>
    <row r="283" spans="1:11" s="7" customFormat="1" ht="29.25" thickBot="1" x14ac:dyDescent="0.25">
      <c r="A283" s="19" t="s">
        <v>47</v>
      </c>
      <c r="B283" s="10"/>
      <c r="C283" s="14"/>
      <c r="D283" s="11"/>
      <c r="E283" s="11"/>
      <c r="F283" s="12">
        <f t="shared" si="4"/>
        <v>0</v>
      </c>
      <c r="G283" s="20"/>
      <c r="H283" s="20"/>
      <c r="I283" s="9"/>
      <c r="J283" s="9"/>
      <c r="K283" s="9"/>
    </row>
    <row r="284" spans="1:11" s="7" customFormat="1" ht="29.25" thickBot="1" x14ac:dyDescent="0.25">
      <c r="A284" s="19" t="s">
        <v>47</v>
      </c>
      <c r="B284" s="10"/>
      <c r="C284" s="14"/>
      <c r="D284" s="11"/>
      <c r="E284" s="11"/>
      <c r="F284" s="12">
        <f t="shared" si="4"/>
        <v>0</v>
      </c>
      <c r="G284" s="20"/>
      <c r="H284" s="20"/>
      <c r="I284" s="9"/>
      <c r="J284" s="9"/>
      <c r="K284" s="9"/>
    </row>
    <row r="285" spans="1:11" s="7" customFormat="1" ht="29.25" thickBot="1" x14ac:dyDescent="0.25">
      <c r="A285" s="19" t="s">
        <v>47</v>
      </c>
      <c r="B285" s="10"/>
      <c r="C285" s="14"/>
      <c r="D285" s="11"/>
      <c r="E285" s="11"/>
      <c r="F285" s="12">
        <f t="shared" si="4"/>
        <v>0</v>
      </c>
      <c r="G285" s="20"/>
      <c r="H285" s="20"/>
      <c r="I285" s="9"/>
      <c r="J285" s="9"/>
      <c r="K285" s="9"/>
    </row>
    <row r="286" spans="1:11" s="7" customFormat="1" ht="29.25" thickBot="1" x14ac:dyDescent="0.25">
      <c r="A286" s="19" t="s">
        <v>47</v>
      </c>
      <c r="B286" s="10"/>
      <c r="C286" s="14"/>
      <c r="D286" s="11"/>
      <c r="E286" s="11"/>
      <c r="F286" s="12">
        <f t="shared" si="4"/>
        <v>0</v>
      </c>
      <c r="G286" s="20"/>
      <c r="H286" s="20"/>
      <c r="I286" s="9"/>
      <c r="J286" s="9"/>
      <c r="K286" s="9"/>
    </row>
    <row r="287" spans="1:11" s="7" customFormat="1" ht="29.25" thickBot="1" x14ac:dyDescent="0.25">
      <c r="A287" s="19" t="s">
        <v>47</v>
      </c>
      <c r="B287" s="10"/>
      <c r="C287" s="14"/>
      <c r="D287" s="11"/>
      <c r="E287" s="11"/>
      <c r="F287" s="12">
        <f t="shared" si="4"/>
        <v>0</v>
      </c>
      <c r="G287" s="20"/>
      <c r="H287" s="20"/>
      <c r="I287" s="9"/>
      <c r="J287" s="9"/>
      <c r="K287" s="9"/>
    </row>
    <row r="288" spans="1:11" s="7" customFormat="1" ht="29.25" thickBot="1" x14ac:dyDescent="0.25">
      <c r="A288" s="19" t="s">
        <v>47</v>
      </c>
      <c r="B288" s="10"/>
      <c r="C288" s="14"/>
      <c r="D288" s="11"/>
      <c r="E288" s="11"/>
      <c r="F288" s="12">
        <f t="shared" si="4"/>
        <v>0</v>
      </c>
      <c r="G288" s="20"/>
      <c r="H288" s="20"/>
      <c r="I288" s="9"/>
      <c r="J288" s="9"/>
      <c r="K288" s="9"/>
    </row>
    <row r="289" spans="1:11" s="7" customFormat="1" ht="29.25" thickBot="1" x14ac:dyDescent="0.25">
      <c r="A289" s="19" t="s">
        <v>47</v>
      </c>
      <c r="B289" s="10"/>
      <c r="C289" s="14"/>
      <c r="D289" s="11"/>
      <c r="E289" s="11"/>
      <c r="F289" s="12">
        <f t="shared" si="4"/>
        <v>0</v>
      </c>
      <c r="G289" s="20"/>
      <c r="H289" s="20"/>
      <c r="I289" s="9"/>
      <c r="J289" s="9"/>
      <c r="K289" s="9"/>
    </row>
    <row r="290" spans="1:11" s="7" customFormat="1" ht="29.25" thickBot="1" x14ac:dyDescent="0.25">
      <c r="A290" s="19" t="s">
        <v>47</v>
      </c>
      <c r="B290" s="10"/>
      <c r="C290" s="14"/>
      <c r="D290" s="11"/>
      <c r="E290" s="11"/>
      <c r="F290" s="12">
        <f t="shared" si="4"/>
        <v>0</v>
      </c>
      <c r="G290" s="20"/>
      <c r="H290" s="20"/>
      <c r="I290" s="9"/>
      <c r="J290" s="9"/>
      <c r="K290" s="9"/>
    </row>
    <row r="291" spans="1:11" s="7" customFormat="1" ht="29.25" thickBot="1" x14ac:dyDescent="0.25">
      <c r="A291" s="19" t="s">
        <v>47</v>
      </c>
      <c r="B291" s="10"/>
      <c r="C291" s="14"/>
      <c r="D291" s="11"/>
      <c r="E291" s="11"/>
      <c r="F291" s="12">
        <f t="shared" si="4"/>
        <v>0</v>
      </c>
      <c r="G291" s="20"/>
      <c r="H291" s="20"/>
      <c r="I291" s="9"/>
      <c r="J291" s="9"/>
      <c r="K291" s="9"/>
    </row>
    <row r="292" spans="1:11" s="7" customFormat="1" ht="29.25" thickBot="1" x14ac:dyDescent="0.25">
      <c r="A292" s="19" t="s">
        <v>47</v>
      </c>
      <c r="B292" s="10"/>
      <c r="C292" s="14"/>
      <c r="D292" s="11"/>
      <c r="E292" s="11"/>
      <c r="F292" s="12">
        <f t="shared" si="4"/>
        <v>0</v>
      </c>
      <c r="G292" s="20"/>
      <c r="H292" s="20"/>
      <c r="I292" s="9"/>
      <c r="J292" s="9"/>
      <c r="K292" s="9"/>
    </row>
    <row r="293" spans="1:11" s="7" customFormat="1" ht="29.25" thickBot="1" x14ac:dyDescent="0.25">
      <c r="A293" s="19" t="s">
        <v>47</v>
      </c>
      <c r="B293" s="10"/>
      <c r="C293" s="14"/>
      <c r="D293" s="11"/>
      <c r="E293" s="11"/>
      <c r="F293" s="12">
        <f t="shared" si="4"/>
        <v>0</v>
      </c>
      <c r="G293" s="20"/>
      <c r="H293" s="20"/>
      <c r="I293" s="9"/>
      <c r="J293" s="9"/>
      <c r="K293" s="9"/>
    </row>
    <row r="294" spans="1:11" s="7" customFormat="1" ht="29.25" thickBot="1" x14ac:dyDescent="0.25">
      <c r="A294" s="19" t="s">
        <v>47</v>
      </c>
      <c r="B294" s="10"/>
      <c r="C294" s="14"/>
      <c r="D294" s="11"/>
      <c r="E294" s="11"/>
      <c r="F294" s="12">
        <f t="shared" si="4"/>
        <v>0</v>
      </c>
      <c r="G294" s="20"/>
      <c r="H294" s="20"/>
      <c r="I294" s="9"/>
      <c r="J294" s="9"/>
      <c r="K294" s="9"/>
    </row>
    <row r="295" spans="1:11" s="7" customFormat="1" ht="29.25" thickBot="1" x14ac:dyDescent="0.25">
      <c r="A295" s="19" t="s">
        <v>47</v>
      </c>
      <c r="B295" s="10"/>
      <c r="C295" s="14"/>
      <c r="D295" s="11"/>
      <c r="E295" s="11"/>
      <c r="F295" s="12">
        <f t="shared" si="4"/>
        <v>0</v>
      </c>
      <c r="G295" s="20"/>
      <c r="H295" s="20"/>
      <c r="I295" s="9"/>
      <c r="J295" s="9"/>
      <c r="K295" s="9"/>
    </row>
    <row r="296" spans="1:11" s="7" customFormat="1" ht="29.25" thickBot="1" x14ac:dyDescent="0.25">
      <c r="A296" s="19" t="s">
        <v>47</v>
      </c>
      <c r="B296" s="10"/>
      <c r="C296" s="14"/>
      <c r="D296" s="11"/>
      <c r="E296" s="11"/>
      <c r="F296" s="12">
        <f t="shared" si="4"/>
        <v>0</v>
      </c>
      <c r="G296" s="20"/>
      <c r="H296" s="20"/>
      <c r="I296" s="9"/>
      <c r="J296" s="9"/>
      <c r="K296" s="9"/>
    </row>
    <row r="297" spans="1:11" s="7" customFormat="1" ht="29.25" thickBot="1" x14ac:dyDescent="0.25">
      <c r="A297" s="19" t="s">
        <v>47</v>
      </c>
      <c r="B297" s="10"/>
      <c r="C297" s="14"/>
      <c r="D297" s="11"/>
      <c r="E297" s="11"/>
      <c r="F297" s="12">
        <f t="shared" si="4"/>
        <v>0</v>
      </c>
      <c r="G297" s="20"/>
      <c r="H297" s="20"/>
      <c r="I297" s="9"/>
      <c r="J297" s="9"/>
      <c r="K297" s="9"/>
    </row>
    <row r="298" spans="1:11" s="7" customFormat="1" ht="29.25" thickBot="1" x14ac:dyDescent="0.25">
      <c r="A298" s="19" t="s">
        <v>47</v>
      </c>
      <c r="B298" s="10"/>
      <c r="C298" s="14"/>
      <c r="D298" s="11"/>
      <c r="E298" s="11"/>
      <c r="F298" s="12">
        <f t="shared" si="4"/>
        <v>0</v>
      </c>
      <c r="G298" s="20"/>
      <c r="H298" s="20"/>
      <c r="I298" s="9"/>
      <c r="J298" s="9"/>
      <c r="K298" s="9"/>
    </row>
    <row r="299" spans="1:11" s="7" customFormat="1" ht="15" thickBot="1" x14ac:dyDescent="0.25">
      <c r="A299" s="19"/>
      <c r="B299" s="10"/>
      <c r="C299" s="14"/>
      <c r="D299" s="11"/>
      <c r="E299" s="11"/>
      <c r="F299" s="12"/>
      <c r="G299" s="9"/>
      <c r="H299" s="20"/>
      <c r="I299" s="9"/>
      <c r="J299" s="9"/>
      <c r="K299" s="9"/>
    </row>
    <row r="300" spans="1:11" s="7" customFormat="1" ht="15" thickBot="1" x14ac:dyDescent="0.25">
      <c r="A300" s="9"/>
      <c r="B300" s="9"/>
      <c r="C300" s="9"/>
      <c r="D300" s="9"/>
      <c r="E300" s="9"/>
      <c r="F300" s="9">
        <f>SUBTOTAL(9,$F$2:$F$299)</f>
        <v>80</v>
      </c>
      <c r="G300" s="9" t="s">
        <v>11</v>
      </c>
      <c r="H300" s="9"/>
      <c r="I300" s="9"/>
      <c r="J300" s="9"/>
      <c r="K300" s="9"/>
    </row>
    <row r="301" spans="1:11" s="7" customFormat="1" ht="15" thickBot="1" x14ac:dyDescent="0.25">
      <c r="A301" s="9"/>
      <c r="B301" s="9"/>
      <c r="C301" s="9"/>
      <c r="D301" s="9"/>
      <c r="E301" s="9"/>
      <c r="F301" s="9">
        <v>0</v>
      </c>
      <c r="G301" s="9" t="s">
        <v>19</v>
      </c>
      <c r="H301" s="9"/>
      <c r="I301" s="9"/>
      <c r="J301" s="9"/>
      <c r="K301" s="9"/>
    </row>
    <row r="302" spans="1:11" s="7" customFormat="1" ht="15" thickBot="1" x14ac:dyDescent="0.25">
      <c r="A302" s="9"/>
      <c r="B302" s="9"/>
      <c r="C302" s="9"/>
      <c r="D302" s="9"/>
      <c r="E302" s="9"/>
      <c r="F302" s="9">
        <v>0</v>
      </c>
      <c r="G302" s="9" t="s">
        <v>20</v>
      </c>
      <c r="H302" s="9"/>
      <c r="I302" s="9"/>
      <c r="J302" s="9"/>
      <c r="K302" s="9"/>
    </row>
    <row r="303" spans="1:11" s="7" customFormat="1" ht="15" thickBot="1" x14ac:dyDescent="0.25">
      <c r="A303" s="9"/>
      <c r="B303" s="9"/>
      <c r="C303" s="9"/>
      <c r="D303" s="9"/>
      <c r="E303" s="9"/>
      <c r="F303" s="9">
        <v>0</v>
      </c>
      <c r="G303" s="9" t="s">
        <v>22</v>
      </c>
      <c r="H303" s="9"/>
      <c r="I303" s="9"/>
      <c r="J303" s="9"/>
      <c r="K303" s="9"/>
    </row>
    <row r="304" spans="1:11" s="7" customFormat="1" ht="15" thickBot="1" x14ac:dyDescent="0.25">
      <c r="A304" s="9"/>
      <c r="B304" s="9"/>
      <c r="C304" s="9"/>
      <c r="D304" s="9"/>
      <c r="E304" s="9"/>
      <c r="F304" s="9">
        <v>0</v>
      </c>
      <c r="G304" s="9" t="s">
        <v>45</v>
      </c>
      <c r="H304" s="9"/>
      <c r="I304" s="9"/>
      <c r="J304" s="9"/>
      <c r="K304" s="9"/>
    </row>
    <row r="305" spans="1:11" s="7" customFormat="1" ht="15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s="7" customFormat="1" ht="15" thickBot="1" x14ac:dyDescent="0.25">
      <c r="A306" s="9"/>
      <c r="B306" s="9"/>
      <c r="C306" s="9"/>
      <c r="D306" s="9"/>
      <c r="E306" s="9"/>
      <c r="F306" s="9">
        <f>SUBTOTAL(9,F301:F304)</f>
        <v>0</v>
      </c>
      <c r="G306" s="9" t="s">
        <v>12</v>
      </c>
      <c r="H306" s="9"/>
      <c r="I306" s="9"/>
      <c r="J306" s="9"/>
      <c r="K306" s="9"/>
    </row>
    <row r="307" spans="1:11" s="7" customFormat="1" ht="15" thickBot="1" x14ac:dyDescent="0.25">
      <c r="A307" s="9"/>
      <c r="B307" s="9"/>
      <c r="C307" s="9"/>
      <c r="D307" s="9"/>
      <c r="E307" s="9"/>
      <c r="F307" s="9">
        <f>F306/8</f>
        <v>0</v>
      </c>
      <c r="G307" s="9" t="s">
        <v>13</v>
      </c>
      <c r="H307" s="9"/>
      <c r="I307" s="9"/>
      <c r="J307" s="9"/>
      <c r="K307" s="9"/>
    </row>
    <row r="308" spans="1:11" s="7" customFormat="1" ht="15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s="7" customFormat="1" ht="15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s="7" customFormat="1" ht="15" thickBot="1" x14ac:dyDescent="0.25">
      <c r="A310" s="9"/>
      <c r="B310" s="9"/>
      <c r="C310" s="9"/>
      <c r="D310" s="9"/>
      <c r="E310" s="9"/>
      <c r="F310" s="9">
        <v>0</v>
      </c>
      <c r="G310" s="9" t="s">
        <v>74</v>
      </c>
      <c r="H310" s="9"/>
      <c r="I310" s="9"/>
      <c r="J310" s="9"/>
      <c r="K310" s="9"/>
    </row>
    <row r="311" spans="1:11" s="7" customFormat="1" ht="15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s="7" customFormat="1" ht="15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s="7" customFormat="1" ht="15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s="7" customFormat="1" ht="15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s="7" customFormat="1" ht="15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s="7" customFormat="1" ht="15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s="7" customFormat="1" ht="15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s="7" customFormat="1" ht="15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s="7" customFormat="1" ht="15" thickBo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s="7" customFormat="1" ht="15" thickBo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s="7" customFormat="1" ht="15" thickBo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s="7" customFormat="1" ht="15" thickBo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s="7" customFormat="1" ht="15" thickBo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s="7" customFormat="1" ht="15" thickBo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s="7" customFormat="1" ht="15" thickBo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s="7" customFormat="1" ht="15" thickBo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s="7" customFormat="1" ht="15" thickBo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s="7" customFormat="1" ht="15" thickBo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s="7" customFormat="1" ht="15" thickBo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s="7" customFormat="1" ht="15" thickBo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s="7" customFormat="1" ht="15" thickBo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s="7" customFormat="1" ht="15" thickBo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s="7" customFormat="1" ht="15" thickBo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s="7" customFormat="1" ht="15" thickBo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s="7" customFormat="1" ht="15" thickBo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s="7" customFormat="1" ht="15" thickBo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s="7" customFormat="1" ht="15" thickBo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s="7" customFormat="1" ht="15" thickBo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s="7" customFormat="1" ht="15" thickBo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s="7" customFormat="1" ht="15" thickBo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s="7" customFormat="1" ht="15" thickBo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s="7" customFormat="1" ht="15" thickBo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s="7" customFormat="1" ht="15" thickBo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s="7" customFormat="1" ht="15" thickBo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s="7" customFormat="1" ht="15" thickBo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s="7" customFormat="1" ht="15" thickBo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s="7" customFormat="1" ht="15" thickBo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s="7" customFormat="1" ht="15" thickBo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s="7" customFormat="1" ht="15" thickBo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s="7" customFormat="1" ht="15" thickBo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s="7" customFormat="1" x14ac:dyDescent="0.2">
      <c r="B351" s="5"/>
      <c r="C351" s="5"/>
      <c r="D351" s="5"/>
      <c r="E351" s="5"/>
      <c r="F351" s="5"/>
      <c r="I351" s="5"/>
      <c r="J351" s="5"/>
    </row>
    <row r="352" spans="1:11" s="7" customFormat="1" x14ac:dyDescent="0.2">
      <c r="B352" s="5"/>
      <c r="C352" s="5"/>
      <c r="D352" s="5"/>
      <c r="E352" s="5"/>
      <c r="F352" s="5"/>
      <c r="I352" s="5"/>
      <c r="J352" s="5"/>
    </row>
    <row r="353" spans="2:10" s="7" customFormat="1" x14ac:dyDescent="0.2">
      <c r="B353" s="5"/>
      <c r="C353" s="5"/>
      <c r="D353" s="5"/>
      <c r="E353" s="5"/>
      <c r="F353" s="5"/>
      <c r="I353" s="5"/>
      <c r="J353" s="5"/>
    </row>
    <row r="354" spans="2:10" s="7" customFormat="1" x14ac:dyDescent="0.2">
      <c r="B354" s="5"/>
      <c r="C354" s="5"/>
      <c r="D354" s="5"/>
      <c r="E354" s="5"/>
      <c r="F354" s="5"/>
      <c r="I354" s="5"/>
      <c r="J354" s="5"/>
    </row>
    <row r="355" spans="2:10" s="7" customFormat="1" x14ac:dyDescent="0.2">
      <c r="B355" s="5"/>
      <c r="C355" s="5"/>
      <c r="D355" s="5"/>
      <c r="E355" s="5"/>
      <c r="F355" s="5"/>
      <c r="I355" s="5"/>
      <c r="J355" s="5"/>
    </row>
    <row r="356" spans="2:10" s="7" customFormat="1" x14ac:dyDescent="0.2">
      <c r="B356" s="5"/>
      <c r="C356" s="5"/>
      <c r="D356" s="5"/>
      <c r="E356" s="5"/>
      <c r="F356" s="5"/>
      <c r="I356" s="5"/>
      <c r="J356" s="5"/>
    </row>
    <row r="357" spans="2:10" s="7" customFormat="1" x14ac:dyDescent="0.2">
      <c r="B357" s="5"/>
      <c r="C357" s="5"/>
      <c r="D357" s="5"/>
      <c r="E357" s="5"/>
      <c r="F357" s="5"/>
      <c r="I357" s="5"/>
      <c r="J357" s="5"/>
    </row>
    <row r="358" spans="2:10" s="7" customFormat="1" x14ac:dyDescent="0.2">
      <c r="B358" s="5"/>
      <c r="C358" s="5"/>
      <c r="D358" s="5"/>
      <c r="E358" s="5"/>
      <c r="F358" s="5"/>
      <c r="I358" s="5"/>
      <c r="J358" s="5"/>
    </row>
    <row r="359" spans="2:10" s="7" customFormat="1" x14ac:dyDescent="0.2">
      <c r="B359" s="5"/>
      <c r="C359" s="5"/>
      <c r="D359" s="5"/>
      <c r="E359" s="5"/>
      <c r="F359" s="5"/>
      <c r="I359" s="5"/>
      <c r="J359" s="5"/>
    </row>
    <row r="360" spans="2:10" s="7" customFormat="1" x14ac:dyDescent="0.2">
      <c r="B360" s="5"/>
      <c r="C360" s="5"/>
      <c r="D360" s="5"/>
      <c r="E360" s="5"/>
      <c r="F360" s="5"/>
      <c r="I360" s="5"/>
      <c r="J360" s="5"/>
    </row>
    <row r="361" spans="2:10" s="7" customFormat="1" x14ac:dyDescent="0.2">
      <c r="B361" s="5"/>
      <c r="C361" s="5"/>
      <c r="D361" s="5"/>
      <c r="E361" s="5"/>
      <c r="F361" s="5"/>
      <c r="I361" s="5"/>
      <c r="J361" s="5"/>
    </row>
    <row r="362" spans="2:10" s="7" customFormat="1" x14ac:dyDescent="0.2">
      <c r="B362" s="5"/>
      <c r="C362" s="5"/>
      <c r="D362" s="5"/>
      <c r="E362" s="5"/>
      <c r="F362" s="5"/>
      <c r="I362" s="5"/>
      <c r="J362" s="5"/>
    </row>
    <row r="363" spans="2:10" s="7" customFormat="1" x14ac:dyDescent="0.2">
      <c r="B363" s="5"/>
      <c r="C363" s="5"/>
      <c r="D363" s="5"/>
      <c r="E363" s="5"/>
      <c r="F363" s="5"/>
      <c r="I363" s="5"/>
      <c r="J363" s="5"/>
    </row>
    <row r="364" spans="2:10" s="7" customFormat="1" x14ac:dyDescent="0.2">
      <c r="B364" s="5"/>
      <c r="C364" s="5"/>
      <c r="D364" s="5"/>
      <c r="E364" s="5"/>
      <c r="F364" s="5"/>
      <c r="I364" s="5"/>
      <c r="J364" s="5"/>
    </row>
    <row r="365" spans="2:10" s="7" customFormat="1" x14ac:dyDescent="0.2">
      <c r="B365" s="5"/>
      <c r="C365" s="5"/>
      <c r="D365" s="5"/>
      <c r="E365" s="5"/>
      <c r="F365" s="5"/>
      <c r="I365" s="5"/>
      <c r="J365" s="5"/>
    </row>
    <row r="366" spans="2:10" s="7" customFormat="1" x14ac:dyDescent="0.2">
      <c r="B366" s="5"/>
      <c r="C366" s="5"/>
      <c r="D366" s="5"/>
      <c r="E366" s="5"/>
      <c r="F366" s="5"/>
      <c r="I366" s="5"/>
      <c r="J366" s="5"/>
    </row>
    <row r="367" spans="2:10" s="7" customFormat="1" x14ac:dyDescent="0.2">
      <c r="B367" s="5"/>
      <c r="C367" s="5"/>
      <c r="D367" s="5"/>
      <c r="E367" s="5"/>
      <c r="F367" s="5"/>
      <c r="I367" s="5"/>
      <c r="J367" s="5"/>
    </row>
    <row r="368" spans="2:10" s="7" customFormat="1" x14ac:dyDescent="0.2">
      <c r="B368" s="5"/>
      <c r="C368" s="5"/>
      <c r="D368" s="5"/>
      <c r="E368" s="5"/>
      <c r="F368" s="5"/>
      <c r="I368" s="5"/>
      <c r="J368" s="5"/>
    </row>
    <row r="369" spans="2:10" s="7" customFormat="1" x14ac:dyDescent="0.2">
      <c r="B369" s="5"/>
      <c r="C369" s="5"/>
      <c r="D369" s="5"/>
      <c r="E369" s="5"/>
      <c r="F369" s="5"/>
      <c r="I369" s="5"/>
      <c r="J369" s="5"/>
    </row>
    <row r="370" spans="2:10" s="7" customFormat="1" x14ac:dyDescent="0.2">
      <c r="B370" s="5"/>
      <c r="C370" s="5"/>
      <c r="D370" s="5"/>
      <c r="E370" s="5"/>
      <c r="F370" s="5"/>
      <c r="I370" s="5"/>
      <c r="J370" s="5"/>
    </row>
    <row r="371" spans="2:10" s="7" customFormat="1" x14ac:dyDescent="0.2">
      <c r="B371" s="5"/>
      <c r="C371" s="5"/>
      <c r="D371" s="5"/>
      <c r="E371" s="5"/>
      <c r="F371" s="5"/>
      <c r="I371" s="5"/>
      <c r="J371" s="5"/>
    </row>
    <row r="372" spans="2:10" s="7" customFormat="1" x14ac:dyDescent="0.2">
      <c r="B372" s="5"/>
      <c r="C372" s="5"/>
      <c r="D372" s="5"/>
      <c r="E372" s="5"/>
      <c r="F372" s="5"/>
      <c r="I372" s="5"/>
      <c r="J372" s="5"/>
    </row>
    <row r="373" spans="2:10" s="7" customFormat="1" x14ac:dyDescent="0.2">
      <c r="B373" s="5"/>
      <c r="C373" s="5"/>
      <c r="D373" s="5"/>
      <c r="E373" s="5"/>
      <c r="F373" s="5"/>
      <c r="I373" s="5"/>
      <c r="J373" s="5"/>
    </row>
    <row r="374" spans="2:10" s="7" customFormat="1" x14ac:dyDescent="0.2">
      <c r="B374" s="5"/>
      <c r="C374" s="5"/>
      <c r="D374" s="5"/>
      <c r="E374" s="5"/>
      <c r="F374" s="5"/>
      <c r="I374" s="5"/>
      <c r="J374" s="5"/>
    </row>
    <row r="375" spans="2:10" s="7" customFormat="1" x14ac:dyDescent="0.2">
      <c r="B375" s="5"/>
      <c r="C375" s="5"/>
      <c r="D375" s="5"/>
      <c r="E375" s="5"/>
      <c r="F375" s="5"/>
      <c r="I375" s="5"/>
      <c r="J375" s="5"/>
    </row>
    <row r="376" spans="2:10" s="7" customFormat="1" x14ac:dyDescent="0.2">
      <c r="B376" s="5"/>
      <c r="C376" s="5"/>
      <c r="D376" s="5"/>
      <c r="E376" s="5"/>
      <c r="F376" s="5"/>
      <c r="I376" s="5"/>
      <c r="J376" s="5"/>
    </row>
    <row r="377" spans="2:10" s="7" customFormat="1" x14ac:dyDescent="0.2">
      <c r="B377" s="5"/>
      <c r="C377" s="5"/>
      <c r="D377" s="5"/>
      <c r="E377" s="5"/>
      <c r="F377" s="5"/>
      <c r="I377" s="5"/>
      <c r="J377" s="5"/>
    </row>
    <row r="378" spans="2:10" s="7" customFormat="1" x14ac:dyDescent="0.2">
      <c r="B378" s="5"/>
      <c r="C378" s="5"/>
      <c r="D378" s="5"/>
      <c r="E378" s="5"/>
      <c r="F378" s="5"/>
      <c r="I378" s="5"/>
      <c r="J378" s="5"/>
    </row>
    <row r="379" spans="2:10" s="7" customFormat="1" x14ac:dyDescent="0.2">
      <c r="B379" s="5"/>
      <c r="C379" s="5"/>
      <c r="D379" s="5"/>
      <c r="E379" s="5"/>
      <c r="F379" s="5"/>
      <c r="I379" s="5"/>
      <c r="J379" s="5"/>
    </row>
    <row r="380" spans="2:10" s="7" customFormat="1" x14ac:dyDescent="0.2">
      <c r="B380" s="5"/>
      <c r="C380" s="5"/>
      <c r="D380" s="5"/>
      <c r="E380" s="5"/>
      <c r="F380" s="5"/>
      <c r="I380" s="5"/>
      <c r="J380" s="5"/>
    </row>
    <row r="381" spans="2:10" s="7" customFormat="1" x14ac:dyDescent="0.2">
      <c r="B381" s="5"/>
      <c r="C381" s="5"/>
      <c r="D381" s="5"/>
      <c r="E381" s="5"/>
      <c r="F381" s="5"/>
      <c r="I381" s="5"/>
      <c r="J381" s="5"/>
    </row>
    <row r="382" spans="2:10" s="7" customFormat="1" x14ac:dyDescent="0.2">
      <c r="B382" s="5"/>
      <c r="C382" s="5"/>
      <c r="D382" s="5"/>
      <c r="E382" s="5"/>
      <c r="F382" s="5"/>
      <c r="I382" s="5"/>
      <c r="J382" s="5"/>
    </row>
    <row r="383" spans="2:10" s="7" customFormat="1" x14ac:dyDescent="0.2">
      <c r="B383" s="5"/>
      <c r="C383" s="5"/>
      <c r="D383" s="5"/>
      <c r="E383" s="5"/>
      <c r="F383" s="5"/>
      <c r="I383" s="5"/>
      <c r="J383" s="5"/>
    </row>
    <row r="384" spans="2:10" s="7" customFormat="1" x14ac:dyDescent="0.2">
      <c r="B384" s="5"/>
      <c r="C384" s="5"/>
      <c r="D384" s="5"/>
      <c r="E384" s="5"/>
      <c r="F384" s="5"/>
      <c r="I384" s="5"/>
      <c r="J384" s="5"/>
    </row>
    <row r="385" spans="2:10" s="7" customFormat="1" x14ac:dyDescent="0.2">
      <c r="B385" s="5"/>
      <c r="C385" s="5"/>
      <c r="D385" s="5"/>
      <c r="E385" s="5"/>
      <c r="F385" s="5"/>
      <c r="I385" s="5"/>
      <c r="J385" s="5"/>
    </row>
    <row r="386" spans="2:10" s="7" customFormat="1" x14ac:dyDescent="0.2">
      <c r="B386" s="5"/>
      <c r="C386" s="5"/>
      <c r="D386" s="5"/>
      <c r="E386" s="5"/>
      <c r="F386" s="5"/>
      <c r="I386" s="5"/>
      <c r="J386" s="5"/>
    </row>
    <row r="387" spans="2:10" s="7" customFormat="1" x14ac:dyDescent="0.2">
      <c r="B387" s="5"/>
      <c r="C387" s="5"/>
      <c r="D387" s="5"/>
      <c r="E387" s="5"/>
      <c r="F387" s="5"/>
      <c r="I387" s="5"/>
      <c r="J387" s="5"/>
    </row>
    <row r="388" spans="2:10" s="7" customFormat="1" x14ac:dyDescent="0.2">
      <c r="B388" s="5"/>
      <c r="C388" s="5"/>
      <c r="D388" s="5"/>
      <c r="E388" s="5"/>
      <c r="F388" s="5"/>
      <c r="I388" s="5"/>
      <c r="J388" s="5"/>
    </row>
    <row r="389" spans="2:10" s="7" customFormat="1" x14ac:dyDescent="0.2">
      <c r="B389" s="5"/>
      <c r="C389" s="5"/>
      <c r="D389" s="5"/>
      <c r="E389" s="5"/>
      <c r="F389" s="5"/>
      <c r="I389" s="5"/>
      <c r="J389" s="5"/>
    </row>
    <row r="390" spans="2:10" s="7" customFormat="1" x14ac:dyDescent="0.2">
      <c r="B390" s="5"/>
      <c r="C390" s="5"/>
      <c r="D390" s="5"/>
      <c r="E390" s="5"/>
      <c r="F390" s="5"/>
      <c r="I390" s="5"/>
      <c r="J390" s="5"/>
    </row>
    <row r="391" spans="2:10" s="7" customFormat="1" x14ac:dyDescent="0.2">
      <c r="B391" s="5"/>
      <c r="C391" s="5"/>
      <c r="D391" s="5"/>
      <c r="E391" s="5"/>
      <c r="F391" s="5"/>
      <c r="I391" s="5"/>
      <c r="J391" s="5"/>
    </row>
    <row r="392" spans="2:10" s="7" customFormat="1" x14ac:dyDescent="0.2">
      <c r="B392" s="5"/>
      <c r="C392" s="5"/>
      <c r="D392" s="5"/>
      <c r="E392" s="5"/>
      <c r="F392" s="5"/>
      <c r="I392" s="5"/>
      <c r="J392" s="5"/>
    </row>
    <row r="393" spans="2:10" s="7" customFormat="1" x14ac:dyDescent="0.2">
      <c r="B393" s="5"/>
      <c r="C393" s="5"/>
      <c r="D393" s="5"/>
      <c r="E393" s="5"/>
      <c r="F393" s="5"/>
      <c r="I393" s="5"/>
      <c r="J393" s="5"/>
    </row>
    <row r="394" spans="2:10" s="7" customFormat="1" x14ac:dyDescent="0.2">
      <c r="B394" s="5"/>
      <c r="C394" s="5"/>
      <c r="D394" s="5"/>
      <c r="E394" s="5"/>
      <c r="F394" s="5"/>
      <c r="I394" s="5"/>
      <c r="J394" s="5"/>
    </row>
    <row r="395" spans="2:10" s="7" customFormat="1" x14ac:dyDescent="0.2">
      <c r="B395" s="5"/>
      <c r="C395" s="5"/>
      <c r="D395" s="5"/>
      <c r="E395" s="5"/>
      <c r="F395" s="5"/>
      <c r="I395" s="5"/>
      <c r="J395" s="5"/>
    </row>
    <row r="396" spans="2:10" s="7" customFormat="1" x14ac:dyDescent="0.2">
      <c r="B396" s="5"/>
      <c r="C396" s="5"/>
      <c r="D396" s="5"/>
      <c r="E396" s="5"/>
      <c r="F396" s="5"/>
      <c r="I396" s="5"/>
      <c r="J396" s="5"/>
    </row>
    <row r="397" spans="2:10" s="7" customFormat="1" x14ac:dyDescent="0.2">
      <c r="B397" s="5"/>
      <c r="C397" s="5"/>
      <c r="D397" s="5"/>
      <c r="E397" s="5"/>
      <c r="F397" s="5"/>
      <c r="I397" s="5"/>
      <c r="J397" s="5"/>
    </row>
    <row r="398" spans="2:10" s="7" customFormat="1" x14ac:dyDescent="0.2">
      <c r="B398" s="5"/>
      <c r="C398" s="5"/>
      <c r="D398" s="5"/>
      <c r="E398" s="5"/>
      <c r="F398" s="5"/>
      <c r="I398" s="5"/>
      <c r="J398" s="5"/>
    </row>
    <row r="399" spans="2:10" s="7" customFormat="1" x14ac:dyDescent="0.2">
      <c r="B399" s="5"/>
      <c r="C399" s="5"/>
      <c r="D399" s="5"/>
      <c r="E399" s="5"/>
      <c r="F399" s="5"/>
      <c r="I399" s="5"/>
      <c r="J399" s="5"/>
    </row>
    <row r="400" spans="2:10" s="7" customFormat="1" x14ac:dyDescent="0.2">
      <c r="B400" s="5"/>
      <c r="C400" s="5"/>
      <c r="D400" s="5"/>
      <c r="E400" s="5"/>
      <c r="F400" s="5"/>
      <c r="I400" s="5"/>
      <c r="J400" s="5"/>
    </row>
    <row r="401" spans="2:10" s="7" customFormat="1" x14ac:dyDescent="0.2">
      <c r="B401" s="5"/>
      <c r="C401" s="5"/>
      <c r="D401" s="5"/>
      <c r="E401" s="5"/>
      <c r="F401" s="5"/>
      <c r="I401" s="5"/>
      <c r="J401" s="5"/>
    </row>
    <row r="402" spans="2:10" s="7" customFormat="1" x14ac:dyDescent="0.2">
      <c r="B402" s="5"/>
      <c r="C402" s="5"/>
      <c r="D402" s="5"/>
      <c r="E402" s="5"/>
      <c r="F402" s="5"/>
      <c r="I402" s="5"/>
      <c r="J402" s="5"/>
    </row>
    <row r="403" spans="2:10" s="7" customFormat="1" x14ac:dyDescent="0.2">
      <c r="B403" s="5"/>
      <c r="C403" s="5"/>
      <c r="D403" s="5"/>
      <c r="E403" s="5"/>
      <c r="F403" s="5"/>
      <c r="I403" s="5"/>
      <c r="J403" s="5"/>
    </row>
    <row r="404" spans="2:10" s="7" customFormat="1" x14ac:dyDescent="0.2">
      <c r="B404" s="5"/>
      <c r="C404" s="5"/>
      <c r="D404" s="5"/>
      <c r="E404" s="5"/>
      <c r="F404" s="5"/>
      <c r="I404" s="5"/>
      <c r="J404" s="5"/>
    </row>
    <row r="405" spans="2:10" s="7" customFormat="1" x14ac:dyDescent="0.2">
      <c r="B405" s="5"/>
      <c r="C405" s="5"/>
      <c r="D405" s="5"/>
      <c r="E405" s="5"/>
      <c r="F405" s="5"/>
      <c r="I405" s="5"/>
      <c r="J405" s="5"/>
    </row>
    <row r="406" spans="2:10" s="7" customFormat="1" x14ac:dyDescent="0.2">
      <c r="B406" s="5"/>
      <c r="C406" s="5"/>
      <c r="D406" s="5"/>
      <c r="E406" s="5"/>
      <c r="F406" s="5"/>
      <c r="I406" s="5"/>
      <c r="J406" s="5"/>
    </row>
    <row r="407" spans="2:10" s="7" customFormat="1" x14ac:dyDescent="0.2">
      <c r="B407" s="5"/>
      <c r="C407" s="5"/>
      <c r="D407" s="5"/>
      <c r="E407" s="5"/>
      <c r="F407" s="5"/>
      <c r="I407" s="5"/>
      <c r="J407" s="5"/>
    </row>
    <row r="408" spans="2:10" s="7" customFormat="1" x14ac:dyDescent="0.2">
      <c r="B408" s="5"/>
      <c r="C408" s="5"/>
      <c r="D408" s="5"/>
      <c r="E408" s="5"/>
      <c r="F408" s="5"/>
      <c r="I408" s="5"/>
      <c r="J408" s="5"/>
    </row>
    <row r="409" spans="2:10" s="7" customFormat="1" x14ac:dyDescent="0.2">
      <c r="B409" s="5"/>
      <c r="C409" s="5"/>
      <c r="D409" s="5"/>
      <c r="E409" s="5"/>
      <c r="F409" s="5"/>
      <c r="I409" s="5"/>
      <c r="J409" s="5"/>
    </row>
    <row r="410" spans="2:10" s="7" customFormat="1" x14ac:dyDescent="0.2">
      <c r="B410" s="5"/>
      <c r="C410" s="5"/>
      <c r="D410" s="5"/>
      <c r="E410" s="5"/>
      <c r="F410" s="5"/>
      <c r="I410" s="5"/>
      <c r="J410" s="5"/>
    </row>
    <row r="411" spans="2:10" s="7" customFormat="1" x14ac:dyDescent="0.2">
      <c r="B411" s="5"/>
      <c r="C411" s="5"/>
      <c r="D411" s="5"/>
      <c r="E411" s="5"/>
      <c r="F411" s="5"/>
      <c r="I411" s="5"/>
      <c r="J411" s="5"/>
    </row>
    <row r="412" spans="2:10" s="7" customFormat="1" x14ac:dyDescent="0.2">
      <c r="B412" s="5"/>
      <c r="C412" s="5"/>
      <c r="D412" s="5"/>
      <c r="E412" s="5"/>
      <c r="F412" s="5"/>
      <c r="I412" s="5"/>
      <c r="J412" s="5"/>
    </row>
    <row r="413" spans="2:10" s="7" customFormat="1" x14ac:dyDescent="0.2">
      <c r="B413" s="5"/>
      <c r="C413" s="5"/>
      <c r="D413" s="5"/>
      <c r="E413" s="5"/>
      <c r="F413" s="5"/>
      <c r="I413" s="5"/>
      <c r="J413" s="5"/>
    </row>
    <row r="414" spans="2:10" s="7" customFormat="1" x14ac:dyDescent="0.2">
      <c r="B414" s="5"/>
      <c r="C414" s="5"/>
      <c r="D414" s="5"/>
      <c r="E414" s="5"/>
      <c r="F414" s="5"/>
      <c r="I414" s="5"/>
      <c r="J414" s="5"/>
    </row>
    <row r="415" spans="2:10" s="7" customFormat="1" x14ac:dyDescent="0.2">
      <c r="B415" s="5"/>
      <c r="C415" s="5"/>
      <c r="D415" s="5"/>
      <c r="E415" s="5"/>
      <c r="F415" s="5"/>
      <c r="I415" s="5"/>
      <c r="J415" s="5"/>
    </row>
    <row r="416" spans="2:10" s="7" customFormat="1" x14ac:dyDescent="0.2">
      <c r="B416" s="5"/>
      <c r="C416" s="5"/>
      <c r="D416" s="5"/>
      <c r="E416" s="5"/>
      <c r="F416" s="5"/>
      <c r="I416" s="5"/>
      <c r="J416" s="5"/>
    </row>
    <row r="417" spans="2:10" s="7" customFormat="1" x14ac:dyDescent="0.2">
      <c r="B417" s="5"/>
      <c r="C417" s="5"/>
      <c r="D417" s="5"/>
      <c r="E417" s="5"/>
      <c r="F417" s="5"/>
      <c r="I417" s="5"/>
      <c r="J417" s="5"/>
    </row>
    <row r="418" spans="2:10" s="7" customFormat="1" x14ac:dyDescent="0.2">
      <c r="B418" s="5"/>
      <c r="C418" s="5"/>
      <c r="D418" s="5"/>
      <c r="E418" s="5"/>
      <c r="F418" s="5"/>
      <c r="I418" s="5"/>
      <c r="J418" s="5"/>
    </row>
    <row r="419" spans="2:10" s="7" customFormat="1" x14ac:dyDescent="0.2">
      <c r="B419" s="5"/>
      <c r="C419" s="5"/>
      <c r="D419" s="5"/>
      <c r="E419" s="5"/>
      <c r="F419" s="5"/>
      <c r="I419" s="5"/>
      <c r="J419" s="5"/>
    </row>
    <row r="420" spans="2:10" s="7" customFormat="1" x14ac:dyDescent="0.2">
      <c r="B420" s="5"/>
      <c r="C420" s="5"/>
      <c r="D420" s="5"/>
      <c r="E420" s="5"/>
      <c r="F420" s="5"/>
      <c r="I420" s="5"/>
      <c r="J420" s="5"/>
    </row>
    <row r="421" spans="2:10" s="7" customFormat="1" x14ac:dyDescent="0.2">
      <c r="B421" s="5"/>
      <c r="C421" s="5"/>
      <c r="D421" s="5"/>
      <c r="E421" s="5"/>
      <c r="F421" s="5"/>
      <c r="I421" s="5"/>
      <c r="J421" s="5"/>
    </row>
    <row r="422" spans="2:10" s="7" customFormat="1" x14ac:dyDescent="0.2">
      <c r="B422" s="5"/>
      <c r="C422" s="5"/>
      <c r="D422" s="5"/>
      <c r="E422" s="5"/>
      <c r="F422" s="5"/>
      <c r="I422" s="5"/>
      <c r="J422" s="5"/>
    </row>
    <row r="423" spans="2:10" s="7" customFormat="1" x14ac:dyDescent="0.2">
      <c r="B423" s="5"/>
      <c r="C423" s="5"/>
      <c r="D423" s="5"/>
      <c r="E423" s="5"/>
      <c r="F423" s="5"/>
      <c r="I423" s="5"/>
      <c r="J423" s="5"/>
    </row>
    <row r="424" spans="2:10" s="7" customFormat="1" x14ac:dyDescent="0.2">
      <c r="B424" s="5"/>
      <c r="C424" s="5"/>
      <c r="D424" s="5"/>
      <c r="E424" s="5"/>
      <c r="F424" s="5"/>
      <c r="I424" s="5"/>
      <c r="J424" s="5"/>
    </row>
    <row r="425" spans="2:10" s="7" customFormat="1" x14ac:dyDescent="0.2">
      <c r="B425" s="5"/>
      <c r="C425" s="5"/>
      <c r="D425" s="5"/>
      <c r="E425" s="5"/>
      <c r="F425" s="5"/>
      <c r="I425" s="5"/>
      <c r="J425" s="5"/>
    </row>
    <row r="426" spans="2:10" s="7" customFormat="1" x14ac:dyDescent="0.2">
      <c r="B426" s="5"/>
      <c r="C426" s="5"/>
      <c r="D426" s="5"/>
      <c r="E426" s="5"/>
      <c r="F426" s="5"/>
      <c r="I426" s="5"/>
      <c r="J426" s="5"/>
    </row>
    <row r="427" spans="2:10" s="7" customFormat="1" x14ac:dyDescent="0.2">
      <c r="B427" s="5"/>
      <c r="C427" s="5"/>
      <c r="D427" s="5"/>
      <c r="E427" s="5"/>
      <c r="F427" s="5"/>
      <c r="I427" s="5"/>
      <c r="J427" s="5"/>
    </row>
    <row r="428" spans="2:10" s="7" customFormat="1" x14ac:dyDescent="0.2">
      <c r="B428" s="5"/>
      <c r="C428" s="5"/>
      <c r="D428" s="5"/>
      <c r="E428" s="5"/>
      <c r="F428" s="5"/>
      <c r="I428" s="5"/>
      <c r="J428" s="5"/>
    </row>
    <row r="429" spans="2:10" s="7" customFormat="1" x14ac:dyDescent="0.2">
      <c r="B429" s="5"/>
      <c r="C429" s="5"/>
      <c r="D429" s="5"/>
      <c r="E429" s="5"/>
      <c r="F429" s="5"/>
      <c r="I429" s="5"/>
      <c r="J429" s="5"/>
    </row>
    <row r="430" spans="2:10" s="7" customFormat="1" x14ac:dyDescent="0.2">
      <c r="B430" s="5"/>
      <c r="C430" s="5"/>
      <c r="D430" s="5"/>
      <c r="E430" s="5"/>
      <c r="F430" s="5"/>
      <c r="I430" s="5"/>
      <c r="J430" s="5"/>
    </row>
    <row r="431" spans="2:10" s="7" customFormat="1" x14ac:dyDescent="0.2">
      <c r="B431" s="5"/>
      <c r="C431" s="5"/>
      <c r="D431" s="5"/>
      <c r="E431" s="5"/>
      <c r="F431" s="5"/>
      <c r="I431" s="5"/>
      <c r="J431" s="5"/>
    </row>
    <row r="432" spans="2:10" s="7" customFormat="1" x14ac:dyDescent="0.2">
      <c r="B432" s="5"/>
      <c r="C432" s="5"/>
      <c r="D432" s="5"/>
      <c r="E432" s="5"/>
      <c r="F432" s="5"/>
      <c r="I432" s="5"/>
      <c r="J432" s="5"/>
    </row>
    <row r="433" spans="2:10" s="7" customFormat="1" x14ac:dyDescent="0.2">
      <c r="B433" s="5"/>
      <c r="C433" s="5"/>
      <c r="D433" s="5"/>
      <c r="E433" s="5"/>
      <c r="F433" s="5"/>
      <c r="I433" s="5"/>
      <c r="J433" s="5"/>
    </row>
    <row r="434" spans="2:10" s="7" customFormat="1" x14ac:dyDescent="0.2">
      <c r="B434" s="5"/>
      <c r="C434" s="5"/>
      <c r="D434" s="5"/>
      <c r="E434" s="5"/>
      <c r="F434" s="5"/>
      <c r="I434" s="5"/>
      <c r="J434" s="5"/>
    </row>
    <row r="435" spans="2:10" s="7" customFormat="1" x14ac:dyDescent="0.2">
      <c r="B435" s="5"/>
      <c r="C435" s="5"/>
      <c r="D435" s="5"/>
      <c r="E435" s="5"/>
      <c r="F435" s="5"/>
      <c r="I435" s="5"/>
      <c r="J435" s="5"/>
    </row>
    <row r="436" spans="2:10" s="7" customFormat="1" x14ac:dyDescent="0.2">
      <c r="B436" s="5"/>
      <c r="C436" s="5"/>
      <c r="D436" s="5"/>
      <c r="E436" s="5"/>
      <c r="F436" s="5"/>
      <c r="I436" s="5"/>
      <c r="J436" s="5"/>
    </row>
    <row r="437" spans="2:10" s="7" customFormat="1" x14ac:dyDescent="0.2">
      <c r="B437" s="5"/>
      <c r="C437" s="5"/>
      <c r="D437" s="5"/>
      <c r="E437" s="5"/>
      <c r="F437" s="5"/>
      <c r="I437" s="5"/>
      <c r="J437" s="5"/>
    </row>
    <row r="438" spans="2:10" s="7" customFormat="1" x14ac:dyDescent="0.2">
      <c r="B438" s="5"/>
      <c r="C438" s="5"/>
      <c r="D438" s="5"/>
      <c r="E438" s="5"/>
      <c r="F438" s="5"/>
      <c r="I438" s="5"/>
      <c r="J438" s="5"/>
    </row>
    <row r="439" spans="2:10" s="7" customFormat="1" x14ac:dyDescent="0.2">
      <c r="B439" s="5"/>
      <c r="C439" s="5"/>
      <c r="D439" s="5"/>
      <c r="E439" s="5"/>
      <c r="F439" s="5"/>
      <c r="I439" s="5"/>
      <c r="J439" s="5"/>
    </row>
    <row r="440" spans="2:10" s="7" customFormat="1" x14ac:dyDescent="0.2">
      <c r="B440" s="5"/>
      <c r="C440" s="5"/>
      <c r="D440" s="5"/>
      <c r="E440" s="5"/>
      <c r="F440" s="5"/>
      <c r="I440" s="5"/>
      <c r="J440" s="5"/>
    </row>
    <row r="441" spans="2:10" s="7" customFormat="1" x14ac:dyDescent="0.2">
      <c r="B441" s="5"/>
      <c r="C441" s="5"/>
      <c r="D441" s="5"/>
      <c r="E441" s="5"/>
      <c r="F441" s="5"/>
      <c r="I441" s="5"/>
      <c r="J441" s="5"/>
    </row>
    <row r="442" spans="2:10" s="7" customFormat="1" x14ac:dyDescent="0.2">
      <c r="B442" s="5"/>
      <c r="C442" s="5"/>
      <c r="D442" s="5"/>
      <c r="E442" s="5"/>
      <c r="F442" s="5"/>
      <c r="I442" s="5"/>
      <c r="J442" s="5"/>
    </row>
    <row r="443" spans="2:10" s="7" customFormat="1" x14ac:dyDescent="0.2">
      <c r="B443" s="5"/>
      <c r="C443" s="5"/>
      <c r="D443" s="5"/>
      <c r="E443" s="5"/>
      <c r="F443" s="5"/>
      <c r="I443" s="5"/>
      <c r="J443" s="5"/>
    </row>
    <row r="444" spans="2:10" s="7" customFormat="1" x14ac:dyDescent="0.2">
      <c r="B444" s="5"/>
      <c r="C444" s="5"/>
      <c r="D444" s="5"/>
      <c r="E444" s="5"/>
      <c r="F444" s="5"/>
      <c r="I444" s="5"/>
      <c r="J444" s="5"/>
    </row>
    <row r="445" spans="2:10" s="7" customFormat="1" x14ac:dyDescent="0.2">
      <c r="B445" s="5"/>
      <c r="C445" s="5"/>
      <c r="D445" s="5"/>
      <c r="E445" s="5"/>
      <c r="F445" s="5"/>
      <c r="I445" s="5"/>
      <c r="J445" s="5"/>
    </row>
    <row r="446" spans="2:10" s="7" customFormat="1" x14ac:dyDescent="0.2">
      <c r="B446" s="5"/>
      <c r="C446" s="5"/>
      <c r="D446" s="5"/>
      <c r="E446" s="5"/>
      <c r="F446" s="5"/>
      <c r="I446" s="5"/>
      <c r="J446" s="5"/>
    </row>
    <row r="447" spans="2:10" s="7" customFormat="1" x14ac:dyDescent="0.2">
      <c r="B447" s="5"/>
      <c r="C447" s="5"/>
      <c r="D447" s="5"/>
      <c r="E447" s="5"/>
      <c r="F447" s="5"/>
      <c r="I447" s="5"/>
      <c r="J447" s="5"/>
    </row>
    <row r="448" spans="2:10" s="7" customFormat="1" x14ac:dyDescent="0.2">
      <c r="B448" s="5"/>
      <c r="C448" s="5"/>
      <c r="D448" s="5"/>
      <c r="E448" s="5"/>
      <c r="F448" s="5"/>
      <c r="I448" s="5"/>
      <c r="J448" s="5"/>
    </row>
    <row r="449" spans="2:10" s="7" customFormat="1" x14ac:dyDescent="0.2">
      <c r="B449" s="5"/>
      <c r="C449" s="5"/>
      <c r="D449" s="5"/>
      <c r="E449" s="5"/>
      <c r="F449" s="5"/>
      <c r="I449" s="5"/>
      <c r="J449" s="5"/>
    </row>
  </sheetData>
  <autoFilter ref="A1:M246" xr:uid="{DAD00364-664A-470B-8B0C-3CB3FB80AFDB}"/>
  <dataValidations count="1">
    <dataValidation type="time" allowBlank="1" showInputMessage="1" showErrorMessage="1" sqref="D33 D28:E32 D18:F21 F36:F53 D34:E53 D54:F299" xr:uid="{354BBC9A-1BE9-4683-9BD2-7C6AF0FFB54A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ED29488-E9A3-48F3-A71B-FA81F7EF6906}">
          <x14:formula1>
            <xm:f>Metadata!$H$2:$H$5</xm:f>
          </x14:formula1>
          <xm:sqref>A2:A299</xm:sqref>
        </x14:dataValidation>
        <x14:dataValidation type="list" allowBlank="1" showInputMessage="1" showErrorMessage="1" xr:uid="{3FA98605-5D1D-45DF-B619-57A5E7D54C45}">
          <x14:formula1>
            <xm:f>Metadata!$A$2:$A$15</xm:f>
          </x14:formula1>
          <xm:sqref>G2:G298</xm:sqref>
        </x14:dataValidation>
        <x14:dataValidation type="list" allowBlank="1" showInputMessage="1" showErrorMessage="1" xr:uid="{DC6686AF-D4FD-4736-83ED-3B5B6E17AA32}">
          <x14:formula1>
            <xm:f>Metadata!$C$2:$C$15</xm:f>
          </x14:formula1>
          <xm:sqref>H2:H299</xm:sqref>
        </x14:dataValidation>
        <x14:dataValidation type="list" allowBlank="1" showInputMessage="1" showErrorMessage="1" xr:uid="{F5F923F4-0198-4348-9BF3-366E61C2AA86}">
          <x14:formula1>
            <xm:f>Metadata!$C$3:$C$14</xm:f>
          </x14:formula1>
          <xm:sqref>B2:B299</xm:sqref>
        </x14:dataValidation>
        <x14:dataValidation type="list" allowBlank="1" showInputMessage="1" showErrorMessage="1" xr:uid="{2A106CCE-FD11-481C-A07C-58922CCB6982}">
          <x14:formula1>
            <xm:f>Metadata!$F$2:$F$15</xm:f>
          </x14:formula1>
          <xm:sqref>I2:I299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6406-128F-4466-A9D0-32BF495027F6}">
  <sheetPr codeName="Tabelle5">
    <pageSetUpPr fitToPage="1"/>
  </sheetPr>
  <dimension ref="A1:K449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11" sqref="A11"/>
      <selection pane="bottomRight" activeCell="C2" sqref="C2"/>
    </sheetView>
  </sheetViews>
  <sheetFormatPr baseColWidth="10" defaultColWidth="11.42578125" defaultRowHeight="14.25" x14ac:dyDescent="0.2"/>
  <cols>
    <col min="1" max="1" width="21.28515625" style="7" hidden="1" customWidth="1"/>
    <col min="2" max="2" width="15.8554687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7.710937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2" width="11.42578125" style="5"/>
    <col min="13" max="13" width="15.42578125" style="5" customWidth="1"/>
    <col min="14" max="16384" width="11.42578125" style="5"/>
  </cols>
  <sheetData>
    <row r="1" spans="1:11" s="18" customFormat="1" ht="60.75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1" s="13" customFormat="1" ht="29.25" thickBot="1" x14ac:dyDescent="0.3">
      <c r="A2" s="19" t="s">
        <v>47</v>
      </c>
      <c r="B2" s="10" t="s">
        <v>1</v>
      </c>
      <c r="C2" s="14">
        <v>46143</v>
      </c>
      <c r="D2" s="11">
        <v>0.35416666666666669</v>
      </c>
      <c r="E2" s="11">
        <v>0.6875</v>
      </c>
      <c r="F2" s="12">
        <f>+(E2-D2)*24</f>
        <v>8</v>
      </c>
      <c r="G2" s="20" t="s">
        <v>21</v>
      </c>
      <c r="H2" s="20" t="s">
        <v>30</v>
      </c>
      <c r="I2" s="9"/>
      <c r="J2" s="9" t="s">
        <v>79</v>
      </c>
      <c r="K2" s="9"/>
    </row>
    <row r="3" spans="1:11" s="13" customFormat="1" ht="29.25" thickBot="1" x14ac:dyDescent="0.3">
      <c r="A3" s="19" t="s">
        <v>47</v>
      </c>
      <c r="B3" s="10" t="s">
        <v>1</v>
      </c>
      <c r="C3" s="14">
        <v>46144</v>
      </c>
      <c r="D3" s="11">
        <v>0.35416666666666669</v>
      </c>
      <c r="E3" s="11">
        <v>0.6875</v>
      </c>
      <c r="F3" s="12">
        <f>+(E3-D3)*24</f>
        <v>8</v>
      </c>
      <c r="G3" s="20" t="s">
        <v>21</v>
      </c>
      <c r="H3" s="20" t="s">
        <v>30</v>
      </c>
      <c r="I3" s="9"/>
      <c r="J3" s="9" t="s">
        <v>71</v>
      </c>
      <c r="K3" s="9"/>
    </row>
    <row r="4" spans="1:11" s="13" customFormat="1" ht="29.25" thickBot="1" x14ac:dyDescent="0.3">
      <c r="A4" s="19" t="s">
        <v>47</v>
      </c>
      <c r="B4" s="10" t="s">
        <v>1</v>
      </c>
      <c r="C4" s="14">
        <v>46145</v>
      </c>
      <c r="D4" s="11">
        <v>0.35416666666666669</v>
      </c>
      <c r="E4" s="11">
        <v>0.6875</v>
      </c>
      <c r="F4" s="12">
        <f>+(E4-D4)*24</f>
        <v>8</v>
      </c>
      <c r="G4" s="20" t="s">
        <v>21</v>
      </c>
      <c r="H4" s="20" t="s">
        <v>30</v>
      </c>
      <c r="I4" s="9"/>
      <c r="J4" s="9" t="s">
        <v>71</v>
      </c>
      <c r="K4" s="9"/>
    </row>
    <row r="5" spans="1:11" s="13" customFormat="1" ht="29.25" thickBot="1" x14ac:dyDescent="0.3">
      <c r="A5" s="19" t="s">
        <v>47</v>
      </c>
      <c r="B5" s="10" t="s">
        <v>1</v>
      </c>
      <c r="C5" s="14">
        <v>46146</v>
      </c>
      <c r="D5" s="11"/>
      <c r="E5" s="11"/>
      <c r="F5" s="12">
        <f>+(E5-D5)*24</f>
        <v>0</v>
      </c>
      <c r="G5" s="20"/>
      <c r="H5" s="20"/>
      <c r="I5" s="9"/>
      <c r="J5" s="9"/>
      <c r="K5" s="9"/>
    </row>
    <row r="6" spans="1:11" s="13" customFormat="1" ht="29.25" thickBot="1" x14ac:dyDescent="0.3">
      <c r="A6" s="19" t="s">
        <v>47</v>
      </c>
      <c r="B6" s="10" t="s">
        <v>1</v>
      </c>
      <c r="C6" s="14">
        <v>46146</v>
      </c>
      <c r="D6" s="11"/>
      <c r="E6" s="11"/>
      <c r="F6" s="12">
        <f t="shared" ref="F6:F69" si="0">+(E6-D6)*24</f>
        <v>0</v>
      </c>
      <c r="G6" s="20"/>
      <c r="H6" s="20"/>
      <c r="I6" s="9"/>
      <c r="J6" s="9"/>
      <c r="K6" s="9"/>
    </row>
    <row r="7" spans="1:11" s="13" customFormat="1" ht="29.25" thickBot="1" x14ac:dyDescent="0.3">
      <c r="A7" s="19" t="s">
        <v>47</v>
      </c>
      <c r="B7" s="10" t="s">
        <v>1</v>
      </c>
      <c r="C7" s="14">
        <v>46146</v>
      </c>
      <c r="D7" s="11"/>
      <c r="E7" s="11"/>
      <c r="F7" s="12">
        <f t="shared" si="0"/>
        <v>0</v>
      </c>
      <c r="G7" s="20"/>
      <c r="H7" s="20"/>
      <c r="I7" s="9"/>
      <c r="J7" s="9"/>
      <c r="K7" s="9"/>
    </row>
    <row r="8" spans="1:11" s="13" customFormat="1" ht="13.9" customHeight="1" thickBot="1" x14ac:dyDescent="0.3">
      <c r="A8" s="19" t="s">
        <v>47</v>
      </c>
      <c r="B8" s="10" t="s">
        <v>1</v>
      </c>
      <c r="C8" s="14">
        <v>46146</v>
      </c>
      <c r="D8" s="11"/>
      <c r="E8" s="11"/>
      <c r="F8" s="12">
        <f t="shared" si="0"/>
        <v>0</v>
      </c>
      <c r="G8" s="20"/>
      <c r="H8" s="20"/>
      <c r="I8" s="9"/>
      <c r="J8" s="9"/>
      <c r="K8" s="9"/>
    </row>
    <row r="9" spans="1:11" s="13" customFormat="1" ht="29.25" thickBot="1" x14ac:dyDescent="0.3">
      <c r="A9" s="19" t="s">
        <v>47</v>
      </c>
      <c r="B9" s="10"/>
      <c r="C9" s="14">
        <v>46146</v>
      </c>
      <c r="D9" s="11"/>
      <c r="E9" s="11"/>
      <c r="F9" s="12">
        <f t="shared" si="0"/>
        <v>0</v>
      </c>
      <c r="G9" s="20"/>
      <c r="H9" s="20"/>
      <c r="I9" s="9"/>
      <c r="J9" s="9"/>
      <c r="K9" s="9"/>
    </row>
    <row r="10" spans="1:11" s="13" customFormat="1" ht="29.25" thickBot="1" x14ac:dyDescent="0.3">
      <c r="A10" s="19" t="s">
        <v>47</v>
      </c>
      <c r="B10" s="10" t="s">
        <v>1</v>
      </c>
      <c r="C10" s="14">
        <v>46146</v>
      </c>
      <c r="D10" s="11"/>
      <c r="E10" s="11"/>
      <c r="F10" s="12">
        <f t="shared" si="0"/>
        <v>0</v>
      </c>
      <c r="G10" s="20"/>
      <c r="H10" s="20"/>
      <c r="I10" s="9"/>
      <c r="J10" s="24"/>
      <c r="K10" s="9"/>
    </row>
    <row r="11" spans="1:11" s="13" customFormat="1" ht="29.25" thickBot="1" x14ac:dyDescent="0.3">
      <c r="A11" s="19" t="s">
        <v>47</v>
      </c>
      <c r="B11" s="10" t="s">
        <v>1</v>
      </c>
      <c r="C11" s="14">
        <v>46146</v>
      </c>
      <c r="D11" s="11"/>
      <c r="E11" s="11"/>
      <c r="F11" s="12">
        <f t="shared" si="0"/>
        <v>0</v>
      </c>
      <c r="G11" s="20"/>
      <c r="H11" s="20"/>
      <c r="I11" s="9"/>
      <c r="J11" s="24"/>
      <c r="K11" s="9"/>
    </row>
    <row r="12" spans="1:11" s="13" customFormat="1" ht="29.25" thickBot="1" x14ac:dyDescent="0.3">
      <c r="A12" s="19" t="s">
        <v>47</v>
      </c>
      <c r="B12" s="10" t="s">
        <v>1</v>
      </c>
      <c r="C12" s="14">
        <v>46146</v>
      </c>
      <c r="D12" s="11"/>
      <c r="E12" s="11"/>
      <c r="F12" s="12">
        <f t="shared" si="0"/>
        <v>0</v>
      </c>
      <c r="G12" s="20"/>
      <c r="H12" s="20"/>
      <c r="I12" s="9"/>
      <c r="J12" s="9"/>
      <c r="K12" s="9"/>
    </row>
    <row r="13" spans="1:11" s="13" customFormat="1" ht="29.25" thickBot="1" x14ac:dyDescent="0.3">
      <c r="A13" s="19" t="s">
        <v>47</v>
      </c>
      <c r="B13" s="10" t="s">
        <v>1</v>
      </c>
      <c r="C13" s="14">
        <v>46147</v>
      </c>
      <c r="D13" s="11"/>
      <c r="E13" s="11"/>
      <c r="F13" s="12">
        <f t="shared" si="0"/>
        <v>0</v>
      </c>
      <c r="G13" s="20"/>
      <c r="H13" s="20"/>
      <c r="I13" s="9"/>
      <c r="J13" s="9"/>
      <c r="K13" s="9"/>
    </row>
    <row r="14" spans="1:11" s="13" customFormat="1" ht="29.25" thickBot="1" x14ac:dyDescent="0.3">
      <c r="A14" s="19" t="s">
        <v>47</v>
      </c>
      <c r="B14" s="10" t="s">
        <v>1</v>
      </c>
      <c r="C14" s="14">
        <v>46147</v>
      </c>
      <c r="D14" s="11"/>
      <c r="E14" s="11"/>
      <c r="F14" s="12">
        <f t="shared" si="0"/>
        <v>0</v>
      </c>
      <c r="G14" s="20"/>
      <c r="H14" s="20"/>
      <c r="I14" s="9"/>
      <c r="J14" s="9"/>
      <c r="K14" s="9"/>
    </row>
    <row r="15" spans="1:11" s="13" customFormat="1" ht="29.25" thickBot="1" x14ac:dyDescent="0.3">
      <c r="A15" s="19" t="s">
        <v>47</v>
      </c>
      <c r="B15" s="10" t="s">
        <v>1</v>
      </c>
      <c r="C15" s="14">
        <v>46147</v>
      </c>
      <c r="D15" s="11"/>
      <c r="E15" s="11"/>
      <c r="F15" s="12">
        <f t="shared" si="0"/>
        <v>0</v>
      </c>
      <c r="G15" s="20"/>
      <c r="H15" s="20"/>
      <c r="I15" s="9"/>
      <c r="J15" s="9"/>
      <c r="K15" s="9"/>
    </row>
    <row r="16" spans="1:11" s="13" customFormat="1" ht="29.25" thickBot="1" x14ac:dyDescent="0.3">
      <c r="A16" s="19" t="s">
        <v>47</v>
      </c>
      <c r="B16" s="10" t="s">
        <v>1</v>
      </c>
      <c r="C16" s="14">
        <v>46147</v>
      </c>
      <c r="D16" s="11"/>
      <c r="E16" s="11"/>
      <c r="F16" s="12">
        <f t="shared" si="0"/>
        <v>0</v>
      </c>
      <c r="G16" s="20"/>
      <c r="H16" s="20"/>
      <c r="I16" s="9"/>
      <c r="J16" s="9"/>
      <c r="K16" s="9"/>
    </row>
    <row r="17" spans="1:11" s="13" customFormat="1" ht="29.25" thickBot="1" x14ac:dyDescent="0.3">
      <c r="A17" s="19" t="s">
        <v>47</v>
      </c>
      <c r="B17" s="10" t="s">
        <v>1</v>
      </c>
      <c r="C17" s="14">
        <v>46147</v>
      </c>
      <c r="D17" s="11"/>
      <c r="E17" s="11"/>
      <c r="F17" s="12">
        <f t="shared" si="0"/>
        <v>0</v>
      </c>
      <c r="G17" s="20"/>
      <c r="H17" s="20"/>
      <c r="I17" s="9"/>
      <c r="J17" s="9"/>
      <c r="K17" s="9"/>
    </row>
    <row r="18" spans="1:11" s="13" customFormat="1" ht="15.75" customHeight="1" thickBot="1" x14ac:dyDescent="0.3">
      <c r="A18" s="19" t="s">
        <v>47</v>
      </c>
      <c r="B18" s="10" t="s">
        <v>1</v>
      </c>
      <c r="C18" s="14">
        <v>46147</v>
      </c>
      <c r="D18" s="11"/>
      <c r="E18" s="11"/>
      <c r="F18" s="12">
        <f t="shared" si="0"/>
        <v>0</v>
      </c>
      <c r="G18" s="20"/>
      <c r="H18" s="20"/>
      <c r="I18" s="9"/>
      <c r="J18" s="9"/>
      <c r="K18" s="9"/>
    </row>
    <row r="19" spans="1:11" s="13" customFormat="1" ht="29.25" thickBot="1" x14ac:dyDescent="0.3">
      <c r="A19" s="19" t="s">
        <v>47</v>
      </c>
      <c r="B19" s="10" t="s">
        <v>1</v>
      </c>
      <c r="C19" s="14">
        <v>46147</v>
      </c>
      <c r="D19" s="11"/>
      <c r="E19" s="11"/>
      <c r="F19" s="12">
        <f t="shared" si="0"/>
        <v>0</v>
      </c>
      <c r="G19" s="20"/>
      <c r="H19" s="20"/>
      <c r="I19" s="9"/>
      <c r="J19" s="9"/>
      <c r="K19" s="9"/>
    </row>
    <row r="20" spans="1:11" s="13" customFormat="1" ht="29.25" thickBot="1" x14ac:dyDescent="0.3">
      <c r="A20" s="19" t="s">
        <v>47</v>
      </c>
      <c r="B20" s="10" t="s">
        <v>1</v>
      </c>
      <c r="C20" s="14">
        <v>46147</v>
      </c>
      <c r="D20" s="11"/>
      <c r="E20" s="11"/>
      <c r="F20" s="12">
        <f t="shared" si="0"/>
        <v>0</v>
      </c>
      <c r="G20" s="20"/>
      <c r="H20" s="20"/>
      <c r="I20" s="9"/>
      <c r="J20" s="9"/>
      <c r="K20" s="9"/>
    </row>
    <row r="21" spans="1:11" s="13" customFormat="1" ht="29.25" thickBot="1" x14ac:dyDescent="0.3">
      <c r="A21" s="19" t="s">
        <v>47</v>
      </c>
      <c r="B21" s="10" t="s">
        <v>1</v>
      </c>
      <c r="C21" s="14">
        <v>46148</v>
      </c>
      <c r="D21" s="11"/>
      <c r="E21" s="11"/>
      <c r="F21" s="12">
        <f t="shared" si="0"/>
        <v>0</v>
      </c>
      <c r="G21" s="20"/>
      <c r="H21" s="20"/>
      <c r="I21" s="9"/>
      <c r="J21" s="9"/>
      <c r="K21" s="9"/>
    </row>
    <row r="22" spans="1:11" s="13" customFormat="1" ht="29.25" thickBot="1" x14ac:dyDescent="0.3">
      <c r="A22" s="19" t="s">
        <v>47</v>
      </c>
      <c r="B22" s="10" t="s">
        <v>1</v>
      </c>
      <c r="C22" s="14">
        <v>46148</v>
      </c>
      <c r="D22" s="11"/>
      <c r="E22" s="11"/>
      <c r="F22" s="12">
        <f t="shared" si="0"/>
        <v>0</v>
      </c>
      <c r="G22" s="20"/>
      <c r="H22" s="20"/>
      <c r="I22" s="9"/>
      <c r="J22" s="9"/>
      <c r="K22" s="9"/>
    </row>
    <row r="23" spans="1:11" s="13" customFormat="1" ht="29.25" thickBot="1" x14ac:dyDescent="0.3">
      <c r="A23" s="19" t="s">
        <v>47</v>
      </c>
      <c r="B23" s="10" t="s">
        <v>1</v>
      </c>
      <c r="C23" s="14">
        <v>46148</v>
      </c>
      <c r="D23" s="11"/>
      <c r="E23" s="11"/>
      <c r="F23" s="12">
        <f t="shared" si="0"/>
        <v>0</v>
      </c>
      <c r="G23" s="20"/>
      <c r="H23" s="20"/>
      <c r="I23" s="9"/>
      <c r="J23" s="9"/>
      <c r="K23" s="9"/>
    </row>
    <row r="24" spans="1:11" s="13" customFormat="1" ht="29.25" thickBot="1" x14ac:dyDescent="0.3">
      <c r="A24" s="19" t="s">
        <v>47</v>
      </c>
      <c r="B24" s="10" t="s">
        <v>1</v>
      </c>
      <c r="C24" s="14">
        <v>46148</v>
      </c>
      <c r="D24" s="11"/>
      <c r="E24" s="11"/>
      <c r="F24" s="12">
        <f t="shared" si="0"/>
        <v>0</v>
      </c>
      <c r="G24" s="20"/>
      <c r="H24" s="20"/>
      <c r="I24" s="9"/>
      <c r="J24" s="9"/>
      <c r="K24" s="9"/>
    </row>
    <row r="25" spans="1:11" s="13" customFormat="1" ht="29.25" thickBot="1" x14ac:dyDescent="0.3">
      <c r="A25" s="19" t="s">
        <v>47</v>
      </c>
      <c r="B25" s="10" t="s">
        <v>1</v>
      </c>
      <c r="C25" s="14">
        <v>46148</v>
      </c>
      <c r="D25" s="11"/>
      <c r="E25" s="11"/>
      <c r="F25" s="12">
        <f t="shared" si="0"/>
        <v>0</v>
      </c>
      <c r="G25" s="20"/>
      <c r="H25" s="20"/>
      <c r="I25" s="9"/>
      <c r="J25" s="9"/>
      <c r="K25" s="9"/>
    </row>
    <row r="26" spans="1:11" s="13" customFormat="1" ht="29.25" thickBot="1" x14ac:dyDescent="0.3">
      <c r="A26" s="19" t="s">
        <v>47</v>
      </c>
      <c r="B26" s="10" t="s">
        <v>1</v>
      </c>
      <c r="C26" s="14">
        <v>46148</v>
      </c>
      <c r="D26" s="11"/>
      <c r="E26" s="11"/>
      <c r="F26" s="12">
        <f t="shared" si="0"/>
        <v>0</v>
      </c>
      <c r="G26" s="20"/>
      <c r="H26" s="20"/>
      <c r="I26" s="9"/>
      <c r="J26" s="9"/>
      <c r="K26" s="9"/>
    </row>
    <row r="27" spans="1:11" s="13" customFormat="1" ht="29.25" thickBot="1" x14ac:dyDescent="0.3">
      <c r="A27" s="19" t="s">
        <v>47</v>
      </c>
      <c r="B27" s="10" t="s">
        <v>1</v>
      </c>
      <c r="C27" s="14">
        <v>46148</v>
      </c>
      <c r="D27" s="11"/>
      <c r="E27" s="11"/>
      <c r="F27" s="12">
        <f t="shared" si="0"/>
        <v>0</v>
      </c>
      <c r="G27" s="20"/>
      <c r="H27" s="20"/>
      <c r="I27" s="9"/>
      <c r="J27" s="9"/>
      <c r="K27" s="9"/>
    </row>
    <row r="28" spans="1:11" s="13" customFormat="1" ht="29.25" thickBot="1" x14ac:dyDescent="0.3">
      <c r="A28" s="19" t="s">
        <v>47</v>
      </c>
      <c r="B28" s="10" t="s">
        <v>1</v>
      </c>
      <c r="C28" s="14">
        <v>46148</v>
      </c>
      <c r="D28" s="11"/>
      <c r="E28" s="11"/>
      <c r="F28" s="12">
        <f t="shared" si="0"/>
        <v>0</v>
      </c>
      <c r="G28" s="20"/>
      <c r="H28" s="20"/>
      <c r="I28" s="9"/>
      <c r="J28" s="9"/>
      <c r="K28" s="9"/>
    </row>
    <row r="29" spans="1:11" s="13" customFormat="1" ht="29.25" thickBot="1" x14ac:dyDescent="0.3">
      <c r="A29" s="19" t="s">
        <v>47</v>
      </c>
      <c r="B29" s="10" t="s">
        <v>1</v>
      </c>
      <c r="C29" s="14">
        <v>46149</v>
      </c>
      <c r="D29" s="11"/>
      <c r="E29" s="11"/>
      <c r="F29" s="12">
        <f t="shared" si="0"/>
        <v>0</v>
      </c>
      <c r="G29" s="20"/>
      <c r="H29" s="20"/>
      <c r="I29" s="9"/>
      <c r="J29" s="9"/>
      <c r="K29" s="9"/>
    </row>
    <row r="30" spans="1:11" s="13" customFormat="1" ht="29.25" thickBot="1" x14ac:dyDescent="0.3">
      <c r="A30" s="19" t="s">
        <v>47</v>
      </c>
      <c r="B30" s="10" t="s">
        <v>1</v>
      </c>
      <c r="C30" s="14">
        <v>46149</v>
      </c>
      <c r="D30" s="11"/>
      <c r="E30" s="11"/>
      <c r="F30" s="12">
        <f t="shared" si="0"/>
        <v>0</v>
      </c>
      <c r="G30" s="20"/>
      <c r="H30" s="20"/>
      <c r="I30" s="9"/>
      <c r="J30" s="9"/>
      <c r="K30" s="9"/>
    </row>
    <row r="31" spans="1:11" s="13" customFormat="1" ht="29.25" thickBot="1" x14ac:dyDescent="0.3">
      <c r="A31" s="19" t="s">
        <v>47</v>
      </c>
      <c r="B31" s="10" t="s">
        <v>1</v>
      </c>
      <c r="C31" s="14">
        <v>46149</v>
      </c>
      <c r="D31" s="11"/>
      <c r="E31" s="11"/>
      <c r="F31" s="12">
        <f t="shared" si="0"/>
        <v>0</v>
      </c>
      <c r="G31" s="20"/>
      <c r="H31" s="20"/>
      <c r="I31" s="9"/>
      <c r="J31" s="9"/>
      <c r="K31" s="9"/>
    </row>
    <row r="32" spans="1:11" s="13" customFormat="1" ht="29.25" thickBot="1" x14ac:dyDescent="0.3">
      <c r="A32" s="19" t="s">
        <v>47</v>
      </c>
      <c r="B32" s="10" t="s">
        <v>1</v>
      </c>
      <c r="C32" s="14">
        <v>46149</v>
      </c>
      <c r="D32" s="11"/>
      <c r="E32" s="11"/>
      <c r="F32" s="12">
        <f t="shared" si="0"/>
        <v>0</v>
      </c>
      <c r="G32" s="20"/>
      <c r="H32" s="20"/>
      <c r="I32" s="9"/>
      <c r="J32" s="9"/>
      <c r="K32" s="9"/>
    </row>
    <row r="33" spans="1:11" s="13" customFormat="1" ht="29.25" thickBot="1" x14ac:dyDescent="0.3">
      <c r="A33" s="19" t="s">
        <v>47</v>
      </c>
      <c r="B33" s="10" t="s">
        <v>1</v>
      </c>
      <c r="C33" s="14">
        <v>46149</v>
      </c>
      <c r="D33" s="11"/>
      <c r="E33" s="11"/>
      <c r="F33" s="12">
        <f t="shared" si="0"/>
        <v>0</v>
      </c>
      <c r="G33" s="20"/>
      <c r="H33" s="20"/>
      <c r="I33" s="9"/>
      <c r="J33" s="9"/>
      <c r="K33" s="9"/>
    </row>
    <row r="34" spans="1:11" s="13" customFormat="1" ht="29.25" thickBot="1" x14ac:dyDescent="0.3">
      <c r="A34" s="19" t="s">
        <v>47</v>
      </c>
      <c r="B34" s="10" t="s">
        <v>1</v>
      </c>
      <c r="C34" s="14">
        <v>46149</v>
      </c>
      <c r="D34" s="11"/>
      <c r="E34" s="11"/>
      <c r="F34" s="12">
        <f t="shared" si="0"/>
        <v>0</v>
      </c>
      <c r="G34" s="20"/>
      <c r="H34" s="20"/>
      <c r="I34" s="9"/>
      <c r="J34" s="9"/>
      <c r="K34" s="9"/>
    </row>
    <row r="35" spans="1:11" s="13" customFormat="1" ht="29.25" thickBot="1" x14ac:dyDescent="0.3">
      <c r="A35" s="19" t="s">
        <v>47</v>
      </c>
      <c r="B35" s="10" t="s">
        <v>1</v>
      </c>
      <c r="C35" s="14">
        <v>46149</v>
      </c>
      <c r="D35" s="11"/>
      <c r="E35" s="11"/>
      <c r="F35" s="12">
        <f t="shared" si="0"/>
        <v>0</v>
      </c>
      <c r="G35" s="20"/>
      <c r="H35" s="20"/>
      <c r="I35" s="9"/>
      <c r="J35" s="9"/>
      <c r="K35" s="9"/>
    </row>
    <row r="36" spans="1:11" s="13" customFormat="1" ht="29.25" thickBot="1" x14ac:dyDescent="0.3">
      <c r="A36" s="19" t="s">
        <v>47</v>
      </c>
      <c r="B36" s="10" t="s">
        <v>1</v>
      </c>
      <c r="C36" s="14">
        <v>46149</v>
      </c>
      <c r="D36" s="11"/>
      <c r="E36" s="11"/>
      <c r="F36" s="12">
        <f t="shared" si="0"/>
        <v>0</v>
      </c>
      <c r="G36" s="20"/>
      <c r="H36" s="20"/>
      <c r="I36" s="9"/>
      <c r="J36" s="9"/>
      <c r="K36" s="9"/>
    </row>
    <row r="37" spans="1:11" s="13" customFormat="1" ht="29.25" thickBot="1" x14ac:dyDescent="0.3">
      <c r="A37" s="19" t="s">
        <v>47</v>
      </c>
      <c r="B37" s="10" t="s">
        <v>1</v>
      </c>
      <c r="C37" s="14">
        <v>46150</v>
      </c>
      <c r="D37" s="11"/>
      <c r="E37" s="11"/>
      <c r="F37" s="12">
        <f t="shared" si="0"/>
        <v>0</v>
      </c>
      <c r="G37" s="20"/>
      <c r="H37" s="20"/>
      <c r="I37" s="9"/>
      <c r="J37" s="9"/>
      <c r="K37" s="9"/>
    </row>
    <row r="38" spans="1:11" s="13" customFormat="1" ht="29.25" thickBot="1" x14ac:dyDescent="0.3">
      <c r="A38" s="19" t="s">
        <v>47</v>
      </c>
      <c r="B38" s="10" t="s">
        <v>1</v>
      </c>
      <c r="C38" s="14">
        <v>46150</v>
      </c>
      <c r="D38" s="11"/>
      <c r="E38" s="11"/>
      <c r="F38" s="12">
        <f t="shared" si="0"/>
        <v>0</v>
      </c>
      <c r="G38" s="20"/>
      <c r="H38" s="20"/>
      <c r="I38" s="9"/>
      <c r="J38" s="9"/>
      <c r="K38" s="9"/>
    </row>
    <row r="39" spans="1:11" s="13" customFormat="1" ht="29.25" thickBot="1" x14ac:dyDescent="0.3">
      <c r="A39" s="19" t="s">
        <v>47</v>
      </c>
      <c r="B39" s="10" t="s">
        <v>1</v>
      </c>
      <c r="C39" s="14">
        <v>46150</v>
      </c>
      <c r="D39" s="11"/>
      <c r="E39" s="11"/>
      <c r="F39" s="12">
        <f t="shared" si="0"/>
        <v>0</v>
      </c>
      <c r="G39" s="20"/>
      <c r="H39" s="20"/>
      <c r="I39" s="9"/>
      <c r="J39" s="9"/>
      <c r="K39" s="9"/>
    </row>
    <row r="40" spans="1:11" s="13" customFormat="1" ht="29.25" thickBot="1" x14ac:dyDescent="0.3">
      <c r="A40" s="19" t="s">
        <v>47</v>
      </c>
      <c r="B40" s="10" t="s">
        <v>1</v>
      </c>
      <c r="C40" s="14">
        <v>46150</v>
      </c>
      <c r="D40" s="11"/>
      <c r="E40" s="11"/>
      <c r="F40" s="12">
        <f t="shared" si="0"/>
        <v>0</v>
      </c>
      <c r="G40" s="20"/>
      <c r="H40" s="20"/>
      <c r="I40" s="9"/>
      <c r="J40" s="9"/>
      <c r="K40" s="9"/>
    </row>
    <row r="41" spans="1:11" s="13" customFormat="1" ht="29.25" thickBot="1" x14ac:dyDescent="0.3">
      <c r="A41" s="19" t="s">
        <v>47</v>
      </c>
      <c r="B41" s="10" t="s">
        <v>1</v>
      </c>
      <c r="C41" s="14">
        <v>46150</v>
      </c>
      <c r="D41" s="11"/>
      <c r="E41" s="11"/>
      <c r="F41" s="12">
        <f t="shared" si="0"/>
        <v>0</v>
      </c>
      <c r="G41" s="20"/>
      <c r="H41" s="20"/>
      <c r="I41" s="9"/>
      <c r="J41" s="9"/>
      <c r="K41" s="9"/>
    </row>
    <row r="42" spans="1:11" s="13" customFormat="1" ht="29.25" thickBot="1" x14ac:dyDescent="0.3">
      <c r="A42" s="19" t="s">
        <v>47</v>
      </c>
      <c r="B42" s="10" t="s">
        <v>1</v>
      </c>
      <c r="C42" s="14">
        <v>46150</v>
      </c>
      <c r="D42" s="11"/>
      <c r="E42" s="11"/>
      <c r="F42" s="12">
        <f t="shared" si="0"/>
        <v>0</v>
      </c>
      <c r="G42" s="20"/>
      <c r="H42" s="20"/>
      <c r="I42" s="9"/>
      <c r="J42" s="9"/>
      <c r="K42" s="9"/>
    </row>
    <row r="43" spans="1:11" s="13" customFormat="1" ht="29.25" thickBot="1" x14ac:dyDescent="0.3">
      <c r="A43" s="19" t="s">
        <v>47</v>
      </c>
      <c r="B43" s="10" t="s">
        <v>1</v>
      </c>
      <c r="C43" s="14">
        <v>46150</v>
      </c>
      <c r="D43" s="11"/>
      <c r="E43" s="11"/>
      <c r="F43" s="12">
        <f t="shared" si="0"/>
        <v>0</v>
      </c>
      <c r="G43" s="20"/>
      <c r="H43" s="20"/>
      <c r="I43" s="9"/>
      <c r="J43" s="9"/>
      <c r="K43" s="9"/>
    </row>
    <row r="44" spans="1:11" s="13" customFormat="1" ht="29.25" thickBot="1" x14ac:dyDescent="0.3">
      <c r="A44" s="19" t="s">
        <v>47</v>
      </c>
      <c r="B44" s="10" t="s">
        <v>1</v>
      </c>
      <c r="C44" s="14">
        <v>46150</v>
      </c>
      <c r="D44" s="11"/>
      <c r="E44" s="11"/>
      <c r="F44" s="12">
        <f t="shared" si="0"/>
        <v>0</v>
      </c>
      <c r="G44" s="20"/>
      <c r="H44" s="20"/>
      <c r="I44" s="9"/>
      <c r="J44" s="9"/>
      <c r="K44" s="9"/>
    </row>
    <row r="45" spans="1:11" s="13" customFormat="1" ht="29.25" thickBot="1" x14ac:dyDescent="0.3">
      <c r="A45" s="19" t="s">
        <v>47</v>
      </c>
      <c r="B45" s="10" t="s">
        <v>1</v>
      </c>
      <c r="C45" s="14">
        <v>46151</v>
      </c>
      <c r="D45" s="11">
        <v>0.35416666666666669</v>
      </c>
      <c r="E45" s="11">
        <v>0.6875</v>
      </c>
      <c r="F45" s="12">
        <f>+(E45-D45)*24</f>
        <v>8</v>
      </c>
      <c r="G45" s="20" t="s">
        <v>21</v>
      </c>
      <c r="H45" s="20" t="s">
        <v>30</v>
      </c>
      <c r="I45" s="9"/>
      <c r="J45" s="9" t="s">
        <v>71</v>
      </c>
      <c r="K45" s="9"/>
    </row>
    <row r="46" spans="1:11" s="13" customFormat="1" ht="29.25" thickBot="1" x14ac:dyDescent="0.3">
      <c r="A46" s="19" t="s">
        <v>47</v>
      </c>
      <c r="B46" s="10" t="s">
        <v>1</v>
      </c>
      <c r="C46" s="14">
        <v>46152</v>
      </c>
      <c r="D46" s="11">
        <v>0.35416666666666669</v>
      </c>
      <c r="E46" s="11">
        <v>0.6875</v>
      </c>
      <c r="F46" s="12">
        <f>+(E46-D46)*24</f>
        <v>8</v>
      </c>
      <c r="G46" s="20" t="s">
        <v>21</v>
      </c>
      <c r="H46" s="20" t="s">
        <v>30</v>
      </c>
      <c r="I46" s="9"/>
      <c r="J46" s="9" t="s">
        <v>71</v>
      </c>
      <c r="K46" s="9"/>
    </row>
    <row r="47" spans="1:11" s="13" customFormat="1" ht="29.25" thickBot="1" x14ac:dyDescent="0.3">
      <c r="A47" s="19" t="s">
        <v>47</v>
      </c>
      <c r="B47" s="10" t="s">
        <v>1</v>
      </c>
      <c r="C47" s="14">
        <v>46153</v>
      </c>
      <c r="D47" s="11"/>
      <c r="E47" s="11"/>
      <c r="F47" s="12">
        <f t="shared" si="0"/>
        <v>0</v>
      </c>
      <c r="G47" s="20"/>
      <c r="H47" s="20"/>
      <c r="I47" s="9"/>
      <c r="J47" s="9"/>
      <c r="K47" s="9"/>
    </row>
    <row r="48" spans="1:11" s="13" customFormat="1" ht="29.25" thickBot="1" x14ac:dyDescent="0.3">
      <c r="A48" s="19" t="s">
        <v>47</v>
      </c>
      <c r="B48" s="10" t="s">
        <v>1</v>
      </c>
      <c r="C48" s="14">
        <v>46153</v>
      </c>
      <c r="D48" s="11"/>
      <c r="E48" s="11"/>
      <c r="F48" s="12">
        <f t="shared" si="0"/>
        <v>0</v>
      </c>
      <c r="G48" s="20"/>
      <c r="H48" s="20"/>
      <c r="I48" s="9"/>
      <c r="J48" s="9"/>
      <c r="K48" s="9"/>
    </row>
    <row r="49" spans="1:11" s="13" customFormat="1" ht="13.9" customHeight="1" thickBot="1" x14ac:dyDescent="0.3">
      <c r="A49" s="19" t="s">
        <v>47</v>
      </c>
      <c r="B49" s="10" t="s">
        <v>1</v>
      </c>
      <c r="C49" s="14">
        <v>46153</v>
      </c>
      <c r="D49" s="11"/>
      <c r="E49" s="11"/>
      <c r="F49" s="12">
        <f t="shared" si="0"/>
        <v>0</v>
      </c>
      <c r="G49" s="20"/>
      <c r="H49" s="20"/>
      <c r="I49" s="9"/>
      <c r="J49" s="9"/>
      <c r="K49" s="9"/>
    </row>
    <row r="50" spans="1:11" s="13" customFormat="1" ht="29.25" thickBot="1" x14ac:dyDescent="0.3">
      <c r="A50" s="19" t="s">
        <v>47</v>
      </c>
      <c r="B50" s="10" t="s">
        <v>1</v>
      </c>
      <c r="C50" s="14">
        <v>46153</v>
      </c>
      <c r="D50" s="11"/>
      <c r="E50" s="11"/>
      <c r="F50" s="12">
        <f t="shared" si="0"/>
        <v>0</v>
      </c>
      <c r="G50" s="20"/>
      <c r="H50" s="20"/>
      <c r="I50" s="9"/>
      <c r="J50" s="9"/>
      <c r="K50" s="9"/>
    </row>
    <row r="51" spans="1:11" s="13" customFormat="1" ht="29.25" thickBot="1" x14ac:dyDescent="0.3">
      <c r="A51" s="19" t="s">
        <v>47</v>
      </c>
      <c r="B51" s="10" t="s">
        <v>1</v>
      </c>
      <c r="C51" s="14">
        <v>46153</v>
      </c>
      <c r="D51" s="11"/>
      <c r="E51" s="11"/>
      <c r="F51" s="12">
        <f t="shared" si="0"/>
        <v>0</v>
      </c>
      <c r="G51" s="20"/>
      <c r="H51" s="20"/>
      <c r="I51" s="9"/>
      <c r="J51" s="9"/>
      <c r="K51" s="9"/>
    </row>
    <row r="52" spans="1:11" s="13" customFormat="1" ht="29.25" thickBot="1" x14ac:dyDescent="0.3">
      <c r="A52" s="19" t="s">
        <v>47</v>
      </c>
      <c r="B52" s="10" t="s">
        <v>1</v>
      </c>
      <c r="C52" s="14">
        <v>46153</v>
      </c>
      <c r="D52" s="11"/>
      <c r="E52" s="11"/>
      <c r="F52" s="12">
        <f t="shared" si="0"/>
        <v>0</v>
      </c>
      <c r="G52" s="20"/>
      <c r="H52" s="20"/>
      <c r="I52" s="9"/>
      <c r="J52" s="9"/>
      <c r="K52" s="9"/>
    </row>
    <row r="53" spans="1:11" s="13" customFormat="1" ht="29.25" thickBot="1" x14ac:dyDescent="0.3">
      <c r="A53" s="19" t="s">
        <v>47</v>
      </c>
      <c r="B53" s="10"/>
      <c r="C53" s="14">
        <v>46153</v>
      </c>
      <c r="D53" s="11"/>
      <c r="E53" s="11"/>
      <c r="F53" s="12">
        <f t="shared" si="0"/>
        <v>0</v>
      </c>
      <c r="G53" s="20"/>
      <c r="H53" s="20"/>
      <c r="I53" s="9"/>
      <c r="J53" s="9"/>
      <c r="K53" s="9"/>
    </row>
    <row r="54" spans="1:11" s="13" customFormat="1" ht="29.25" thickBot="1" x14ac:dyDescent="0.3">
      <c r="A54" s="19" t="s">
        <v>47</v>
      </c>
      <c r="B54" s="10"/>
      <c r="C54" s="14">
        <v>46153</v>
      </c>
      <c r="D54" s="11"/>
      <c r="E54" s="11"/>
      <c r="F54" s="12">
        <f t="shared" si="0"/>
        <v>0</v>
      </c>
      <c r="G54" s="20"/>
      <c r="H54" s="20"/>
      <c r="I54" s="9"/>
      <c r="J54" s="9"/>
      <c r="K54" s="9"/>
    </row>
    <row r="55" spans="1:11" s="13" customFormat="1" ht="29.25" thickBot="1" x14ac:dyDescent="0.3">
      <c r="A55" s="19" t="s">
        <v>47</v>
      </c>
      <c r="B55" s="10"/>
      <c r="C55" s="14">
        <v>46154</v>
      </c>
      <c r="D55" s="11"/>
      <c r="E55" s="11"/>
      <c r="F55" s="12">
        <f t="shared" si="0"/>
        <v>0</v>
      </c>
      <c r="G55" s="20"/>
      <c r="H55" s="20"/>
      <c r="I55" s="9"/>
      <c r="J55" s="9"/>
      <c r="K55" s="9"/>
    </row>
    <row r="56" spans="1:11" s="13" customFormat="1" ht="29.25" thickBot="1" x14ac:dyDescent="0.3">
      <c r="A56" s="19" t="s">
        <v>47</v>
      </c>
      <c r="B56" s="10"/>
      <c r="C56" s="14">
        <v>46154</v>
      </c>
      <c r="D56" s="11"/>
      <c r="E56" s="11"/>
      <c r="F56" s="12">
        <f t="shared" si="0"/>
        <v>0</v>
      </c>
      <c r="G56" s="20"/>
      <c r="H56" s="20"/>
      <c r="I56" s="9"/>
      <c r="J56" s="9"/>
      <c r="K56" s="9"/>
    </row>
    <row r="57" spans="1:11" s="13" customFormat="1" ht="29.25" thickBot="1" x14ac:dyDescent="0.3">
      <c r="A57" s="19" t="s">
        <v>47</v>
      </c>
      <c r="B57" s="10"/>
      <c r="C57" s="14">
        <v>46154</v>
      </c>
      <c r="D57" s="11"/>
      <c r="E57" s="11"/>
      <c r="F57" s="12">
        <f t="shared" si="0"/>
        <v>0</v>
      </c>
      <c r="G57" s="20"/>
      <c r="H57" s="20"/>
      <c r="I57" s="9"/>
      <c r="J57" s="9"/>
      <c r="K57" s="9"/>
    </row>
    <row r="58" spans="1:11" s="13" customFormat="1" ht="29.25" thickBot="1" x14ac:dyDescent="0.3">
      <c r="A58" s="19" t="s">
        <v>47</v>
      </c>
      <c r="B58" s="10"/>
      <c r="C58" s="14">
        <v>46154</v>
      </c>
      <c r="D58" s="11"/>
      <c r="E58" s="11"/>
      <c r="F58" s="12">
        <f t="shared" si="0"/>
        <v>0</v>
      </c>
      <c r="G58" s="20"/>
      <c r="H58" s="20"/>
      <c r="I58" s="9"/>
      <c r="J58" s="9"/>
      <c r="K58" s="9"/>
    </row>
    <row r="59" spans="1:11" s="13" customFormat="1" ht="29.25" thickBot="1" x14ac:dyDescent="0.3">
      <c r="A59" s="19" t="s">
        <v>47</v>
      </c>
      <c r="B59" s="10"/>
      <c r="C59" s="14">
        <v>46154</v>
      </c>
      <c r="D59" s="11"/>
      <c r="E59" s="11"/>
      <c r="F59" s="12">
        <f t="shared" si="0"/>
        <v>0</v>
      </c>
      <c r="G59" s="20"/>
      <c r="H59" s="20"/>
      <c r="I59" s="9"/>
      <c r="J59" s="9"/>
      <c r="K59" s="9"/>
    </row>
    <row r="60" spans="1:11" s="13" customFormat="1" ht="29.25" thickBot="1" x14ac:dyDescent="0.3">
      <c r="A60" s="19" t="s">
        <v>47</v>
      </c>
      <c r="B60" s="10"/>
      <c r="C60" s="14">
        <v>46154</v>
      </c>
      <c r="D60" s="11"/>
      <c r="E60" s="11"/>
      <c r="F60" s="12">
        <f t="shared" si="0"/>
        <v>0</v>
      </c>
      <c r="G60" s="20"/>
      <c r="H60" s="20"/>
      <c r="I60" s="9"/>
      <c r="J60" s="9"/>
      <c r="K60" s="9"/>
    </row>
    <row r="61" spans="1:11" s="13" customFormat="1" ht="29.25" thickBot="1" x14ac:dyDescent="0.3">
      <c r="A61" s="19" t="s">
        <v>47</v>
      </c>
      <c r="B61" s="10"/>
      <c r="C61" s="14">
        <v>46154</v>
      </c>
      <c r="D61" s="11"/>
      <c r="E61" s="11"/>
      <c r="F61" s="12">
        <f t="shared" si="0"/>
        <v>0</v>
      </c>
      <c r="G61" s="20"/>
      <c r="H61" s="20"/>
      <c r="I61" s="9"/>
      <c r="J61" s="9"/>
      <c r="K61" s="9"/>
    </row>
    <row r="62" spans="1:11" s="13" customFormat="1" ht="29.25" thickBot="1" x14ac:dyDescent="0.3">
      <c r="A62" s="19" t="s">
        <v>47</v>
      </c>
      <c r="B62" s="10"/>
      <c r="C62" s="14">
        <v>46154</v>
      </c>
      <c r="D62" s="11"/>
      <c r="E62" s="11"/>
      <c r="F62" s="12">
        <f t="shared" si="0"/>
        <v>0</v>
      </c>
      <c r="G62" s="20"/>
      <c r="H62" s="20"/>
      <c r="I62" s="9"/>
      <c r="J62" s="9"/>
      <c r="K62" s="9"/>
    </row>
    <row r="63" spans="1:11" s="13" customFormat="1" ht="29.25" thickBot="1" x14ac:dyDescent="0.3">
      <c r="A63" s="19" t="s">
        <v>47</v>
      </c>
      <c r="B63" s="10"/>
      <c r="C63" s="14">
        <v>46155</v>
      </c>
      <c r="D63" s="11"/>
      <c r="E63" s="11"/>
      <c r="F63" s="12">
        <f t="shared" si="0"/>
        <v>0</v>
      </c>
      <c r="G63" s="20"/>
      <c r="H63" s="20"/>
      <c r="I63" s="9"/>
      <c r="J63" s="9"/>
      <c r="K63" s="9"/>
    </row>
    <row r="64" spans="1:11" s="13" customFormat="1" ht="29.25" thickBot="1" x14ac:dyDescent="0.3">
      <c r="A64" s="19" t="s">
        <v>47</v>
      </c>
      <c r="B64" s="10"/>
      <c r="C64" s="14">
        <v>46155</v>
      </c>
      <c r="D64" s="11"/>
      <c r="E64" s="11"/>
      <c r="F64" s="12">
        <f t="shared" si="0"/>
        <v>0</v>
      </c>
      <c r="G64" s="20"/>
      <c r="H64" s="20"/>
      <c r="I64" s="9"/>
      <c r="J64" s="9"/>
      <c r="K64" s="9"/>
    </row>
    <row r="65" spans="1:11" s="13" customFormat="1" ht="29.25" thickBot="1" x14ac:dyDescent="0.3">
      <c r="A65" s="19" t="s">
        <v>47</v>
      </c>
      <c r="B65" s="10"/>
      <c r="C65" s="14">
        <v>46155</v>
      </c>
      <c r="D65" s="11"/>
      <c r="E65" s="11"/>
      <c r="F65" s="12">
        <f t="shared" si="0"/>
        <v>0</v>
      </c>
      <c r="G65" s="20"/>
      <c r="H65" s="20"/>
      <c r="I65" s="9"/>
      <c r="J65" s="9"/>
      <c r="K65" s="9"/>
    </row>
    <row r="66" spans="1:11" s="13" customFormat="1" ht="29.25" thickBot="1" x14ac:dyDescent="0.3">
      <c r="A66" s="19" t="s">
        <v>47</v>
      </c>
      <c r="B66" s="10"/>
      <c r="C66" s="14">
        <v>46155</v>
      </c>
      <c r="D66" s="11"/>
      <c r="E66" s="11"/>
      <c r="F66" s="12">
        <f t="shared" si="0"/>
        <v>0</v>
      </c>
      <c r="G66" s="20"/>
      <c r="H66" s="20"/>
      <c r="I66" s="9"/>
      <c r="J66" s="9"/>
      <c r="K66" s="9"/>
    </row>
    <row r="67" spans="1:11" s="13" customFormat="1" ht="29.25" thickBot="1" x14ac:dyDescent="0.3">
      <c r="A67" s="19" t="s">
        <v>47</v>
      </c>
      <c r="B67" s="10"/>
      <c r="C67" s="14">
        <v>46155</v>
      </c>
      <c r="D67" s="11"/>
      <c r="E67" s="11"/>
      <c r="F67" s="12">
        <f t="shared" si="0"/>
        <v>0</v>
      </c>
      <c r="G67" s="20"/>
      <c r="H67" s="20"/>
      <c r="I67" s="9"/>
      <c r="J67" s="9"/>
      <c r="K67" s="9"/>
    </row>
    <row r="68" spans="1:11" s="13" customFormat="1" ht="29.25" thickBot="1" x14ac:dyDescent="0.3">
      <c r="A68" s="19" t="s">
        <v>47</v>
      </c>
      <c r="B68" s="10"/>
      <c r="C68" s="14">
        <v>46155</v>
      </c>
      <c r="D68" s="11"/>
      <c r="E68" s="11"/>
      <c r="F68" s="12">
        <f t="shared" si="0"/>
        <v>0</v>
      </c>
      <c r="G68" s="20"/>
      <c r="H68" s="20"/>
      <c r="I68" s="9"/>
      <c r="J68" s="9"/>
      <c r="K68" s="9"/>
    </row>
    <row r="69" spans="1:11" s="13" customFormat="1" ht="29.25" thickBot="1" x14ac:dyDescent="0.3">
      <c r="A69" s="19" t="s">
        <v>47</v>
      </c>
      <c r="B69" s="10"/>
      <c r="C69" s="14">
        <v>46155</v>
      </c>
      <c r="D69" s="11"/>
      <c r="E69" s="11"/>
      <c r="F69" s="12">
        <f t="shared" si="0"/>
        <v>0</v>
      </c>
      <c r="G69" s="20"/>
      <c r="H69" s="20"/>
      <c r="I69" s="9"/>
      <c r="J69" s="9"/>
      <c r="K69" s="9"/>
    </row>
    <row r="70" spans="1:11" s="13" customFormat="1" ht="29.25" thickBot="1" x14ac:dyDescent="0.3">
      <c r="A70" s="19" t="s">
        <v>47</v>
      </c>
      <c r="B70" s="10"/>
      <c r="C70" s="14">
        <v>46155</v>
      </c>
      <c r="D70" s="11"/>
      <c r="E70" s="11"/>
      <c r="F70" s="12">
        <f t="shared" ref="F70:F133" si="1">+(E70-D70)*24</f>
        <v>0</v>
      </c>
      <c r="G70" s="20"/>
      <c r="H70" s="20"/>
      <c r="I70" s="9"/>
      <c r="J70" s="9"/>
      <c r="K70" s="9"/>
    </row>
    <row r="71" spans="1:11" s="13" customFormat="1" ht="29.25" thickBot="1" x14ac:dyDescent="0.3">
      <c r="A71" s="19" t="s">
        <v>47</v>
      </c>
      <c r="B71" s="10"/>
      <c r="C71" s="14">
        <v>46156</v>
      </c>
      <c r="D71" s="11"/>
      <c r="E71" s="11"/>
      <c r="F71" s="12">
        <f t="shared" si="1"/>
        <v>0</v>
      </c>
      <c r="G71" s="20"/>
      <c r="H71" s="20"/>
      <c r="I71" s="9"/>
      <c r="J71" s="9"/>
      <c r="K71" s="9"/>
    </row>
    <row r="72" spans="1:11" s="13" customFormat="1" ht="29.25" thickBot="1" x14ac:dyDescent="0.3">
      <c r="A72" s="19" t="s">
        <v>47</v>
      </c>
      <c r="B72" s="10"/>
      <c r="C72" s="14">
        <v>46156</v>
      </c>
      <c r="D72" s="11"/>
      <c r="E72" s="11"/>
      <c r="F72" s="12">
        <f t="shared" si="1"/>
        <v>0</v>
      </c>
      <c r="G72" s="20"/>
      <c r="H72" s="20"/>
      <c r="I72" s="9"/>
      <c r="J72" s="9"/>
      <c r="K72" s="9"/>
    </row>
    <row r="73" spans="1:11" s="13" customFormat="1" ht="29.25" thickBot="1" x14ac:dyDescent="0.3">
      <c r="A73" s="19" t="s">
        <v>47</v>
      </c>
      <c r="B73" s="10"/>
      <c r="C73" s="14">
        <v>46156</v>
      </c>
      <c r="D73" s="11"/>
      <c r="E73" s="11"/>
      <c r="F73" s="12">
        <f t="shared" si="1"/>
        <v>0</v>
      </c>
      <c r="G73" s="20"/>
      <c r="H73" s="20"/>
      <c r="I73" s="9"/>
      <c r="J73" s="9"/>
      <c r="K73" s="9"/>
    </row>
    <row r="74" spans="1:11" s="13" customFormat="1" ht="29.25" thickBot="1" x14ac:dyDescent="0.3">
      <c r="A74" s="19" t="s">
        <v>47</v>
      </c>
      <c r="B74" s="10"/>
      <c r="C74" s="14">
        <v>46156</v>
      </c>
      <c r="D74" s="11"/>
      <c r="E74" s="11"/>
      <c r="F74" s="12">
        <f t="shared" si="1"/>
        <v>0</v>
      </c>
      <c r="G74" s="20"/>
      <c r="H74" s="20"/>
      <c r="I74" s="9"/>
      <c r="J74" s="9"/>
      <c r="K74" s="9"/>
    </row>
    <row r="75" spans="1:11" s="13" customFormat="1" ht="29.25" thickBot="1" x14ac:dyDescent="0.3">
      <c r="A75" s="19" t="s">
        <v>47</v>
      </c>
      <c r="B75" s="10"/>
      <c r="C75" s="14">
        <v>46156</v>
      </c>
      <c r="D75" s="11"/>
      <c r="E75" s="11"/>
      <c r="F75" s="12">
        <f t="shared" si="1"/>
        <v>0</v>
      </c>
      <c r="G75" s="20"/>
      <c r="H75" s="20"/>
      <c r="I75" s="9"/>
      <c r="J75" s="9"/>
      <c r="K75" s="9"/>
    </row>
    <row r="76" spans="1:11" s="13" customFormat="1" ht="29.25" thickBot="1" x14ac:dyDescent="0.3">
      <c r="A76" s="19" t="s">
        <v>47</v>
      </c>
      <c r="B76" s="10"/>
      <c r="C76" s="14">
        <v>46156</v>
      </c>
      <c r="D76" s="11"/>
      <c r="E76" s="11"/>
      <c r="F76" s="12">
        <f t="shared" si="1"/>
        <v>0</v>
      </c>
      <c r="G76" s="20"/>
      <c r="H76" s="20"/>
      <c r="I76" s="9"/>
      <c r="J76" s="9"/>
      <c r="K76" s="9"/>
    </row>
    <row r="77" spans="1:11" s="13" customFormat="1" ht="29.25" thickBot="1" x14ac:dyDescent="0.3">
      <c r="A77" s="19" t="s">
        <v>47</v>
      </c>
      <c r="B77" s="10"/>
      <c r="C77" s="14">
        <v>46156</v>
      </c>
      <c r="D77" s="11"/>
      <c r="E77" s="11"/>
      <c r="F77" s="12">
        <f t="shared" si="1"/>
        <v>0</v>
      </c>
      <c r="G77" s="20"/>
      <c r="H77" s="20"/>
      <c r="I77" s="9"/>
      <c r="J77" s="9"/>
      <c r="K77" s="9"/>
    </row>
    <row r="78" spans="1:11" s="13" customFormat="1" ht="29.25" thickBot="1" x14ac:dyDescent="0.3">
      <c r="A78" s="19" t="s">
        <v>47</v>
      </c>
      <c r="B78" s="10"/>
      <c r="C78" s="14">
        <v>46157</v>
      </c>
      <c r="D78" s="11"/>
      <c r="E78" s="11"/>
      <c r="F78" s="12">
        <f t="shared" si="1"/>
        <v>0</v>
      </c>
      <c r="G78" s="20"/>
      <c r="H78" s="20"/>
      <c r="I78" s="9"/>
      <c r="J78" s="9"/>
      <c r="K78" s="9"/>
    </row>
    <row r="79" spans="1:11" s="13" customFormat="1" ht="29.25" thickBot="1" x14ac:dyDescent="0.3">
      <c r="A79" s="19" t="s">
        <v>47</v>
      </c>
      <c r="B79" s="10"/>
      <c r="C79" s="14">
        <v>46157</v>
      </c>
      <c r="D79" s="11"/>
      <c r="E79" s="11"/>
      <c r="F79" s="12">
        <f t="shared" si="1"/>
        <v>0</v>
      </c>
      <c r="G79" s="20"/>
      <c r="H79" s="20"/>
      <c r="I79" s="9"/>
      <c r="J79" s="9"/>
      <c r="K79" s="9"/>
    </row>
    <row r="80" spans="1:11" s="13" customFormat="1" ht="29.25" thickBot="1" x14ac:dyDescent="0.3">
      <c r="A80" s="19" t="s">
        <v>47</v>
      </c>
      <c r="B80" s="10"/>
      <c r="C80" s="14">
        <v>46157</v>
      </c>
      <c r="D80" s="11"/>
      <c r="E80" s="11"/>
      <c r="F80" s="12">
        <f t="shared" si="1"/>
        <v>0</v>
      </c>
      <c r="G80" s="20"/>
      <c r="H80" s="20"/>
      <c r="I80" s="9"/>
      <c r="J80" s="9"/>
      <c r="K80" s="9"/>
    </row>
    <row r="81" spans="1:11" s="13" customFormat="1" ht="29.25" thickBot="1" x14ac:dyDescent="0.3">
      <c r="A81" s="19" t="s">
        <v>47</v>
      </c>
      <c r="B81" s="10"/>
      <c r="C81" s="14">
        <v>46157</v>
      </c>
      <c r="D81" s="11"/>
      <c r="E81" s="11"/>
      <c r="F81" s="12">
        <f t="shared" si="1"/>
        <v>0</v>
      </c>
      <c r="G81" s="20"/>
      <c r="H81" s="20"/>
      <c r="I81" s="9"/>
      <c r="J81" s="9"/>
      <c r="K81" s="9"/>
    </row>
    <row r="82" spans="1:11" s="13" customFormat="1" ht="29.25" thickBot="1" x14ac:dyDescent="0.3">
      <c r="A82" s="19" t="s">
        <v>47</v>
      </c>
      <c r="B82" s="10"/>
      <c r="C82" s="14">
        <v>46157</v>
      </c>
      <c r="D82" s="11"/>
      <c r="E82" s="11"/>
      <c r="F82" s="12">
        <f t="shared" si="1"/>
        <v>0</v>
      </c>
      <c r="G82" s="20"/>
      <c r="H82" s="20"/>
      <c r="I82" s="9"/>
      <c r="J82" s="9"/>
      <c r="K82" s="9"/>
    </row>
    <row r="83" spans="1:11" s="13" customFormat="1" ht="29.25" thickBot="1" x14ac:dyDescent="0.3">
      <c r="A83" s="19" t="s">
        <v>47</v>
      </c>
      <c r="B83" s="10"/>
      <c r="C83" s="14">
        <v>46157</v>
      </c>
      <c r="D83" s="11"/>
      <c r="E83" s="11"/>
      <c r="F83" s="12">
        <f t="shared" si="1"/>
        <v>0</v>
      </c>
      <c r="G83" s="20"/>
      <c r="H83" s="20"/>
      <c r="I83" s="9"/>
      <c r="J83" s="9"/>
      <c r="K83" s="9"/>
    </row>
    <row r="84" spans="1:11" s="13" customFormat="1" ht="29.25" thickBot="1" x14ac:dyDescent="0.3">
      <c r="A84" s="19" t="s">
        <v>47</v>
      </c>
      <c r="B84" s="10"/>
      <c r="C84" s="14">
        <v>46157</v>
      </c>
      <c r="D84" s="11"/>
      <c r="E84" s="11"/>
      <c r="F84" s="12">
        <f t="shared" si="1"/>
        <v>0</v>
      </c>
      <c r="G84" s="20"/>
      <c r="H84" s="20"/>
      <c r="I84" s="9"/>
      <c r="J84" s="9"/>
      <c r="K84" s="9"/>
    </row>
    <row r="85" spans="1:11" s="13" customFormat="1" ht="29.25" thickBot="1" x14ac:dyDescent="0.3">
      <c r="A85" s="19" t="s">
        <v>47</v>
      </c>
      <c r="B85" s="10"/>
      <c r="C85" s="14">
        <v>46157</v>
      </c>
      <c r="D85" s="11"/>
      <c r="E85" s="11"/>
      <c r="F85" s="12">
        <f t="shared" si="1"/>
        <v>0</v>
      </c>
      <c r="G85" s="20"/>
      <c r="H85" s="20"/>
      <c r="I85" s="9"/>
      <c r="J85" s="9"/>
      <c r="K85" s="9"/>
    </row>
    <row r="86" spans="1:11" s="13" customFormat="1" ht="29.25" thickBot="1" x14ac:dyDescent="0.3">
      <c r="A86" s="19" t="s">
        <v>47</v>
      </c>
      <c r="B86" s="10"/>
      <c r="C86" s="14">
        <v>46158</v>
      </c>
      <c r="D86" s="11">
        <v>0.35416666666666669</v>
      </c>
      <c r="E86" s="11">
        <v>0.6875</v>
      </c>
      <c r="F86" s="12">
        <f>+(E86-D86)*24</f>
        <v>8</v>
      </c>
      <c r="G86" s="20" t="s">
        <v>21</v>
      </c>
      <c r="H86" s="20" t="s">
        <v>30</v>
      </c>
      <c r="I86" s="9"/>
      <c r="J86" s="9" t="s">
        <v>71</v>
      </c>
      <c r="K86" s="9"/>
    </row>
    <row r="87" spans="1:11" s="13" customFormat="1" ht="29.25" thickBot="1" x14ac:dyDescent="0.3">
      <c r="A87" s="19" t="s">
        <v>47</v>
      </c>
      <c r="B87" s="10"/>
      <c r="C87" s="14">
        <v>46159</v>
      </c>
      <c r="D87" s="11">
        <v>0.35416666666666669</v>
      </c>
      <c r="E87" s="11">
        <v>0.6875</v>
      </c>
      <c r="F87" s="12">
        <f>+(E87-D87)*24</f>
        <v>8</v>
      </c>
      <c r="G87" s="20" t="s">
        <v>21</v>
      </c>
      <c r="H87" s="20" t="s">
        <v>30</v>
      </c>
      <c r="I87" s="9"/>
      <c r="J87" s="9" t="s">
        <v>71</v>
      </c>
      <c r="K87" s="9"/>
    </row>
    <row r="88" spans="1:11" s="13" customFormat="1" ht="29.25" thickBot="1" x14ac:dyDescent="0.3">
      <c r="A88" s="19" t="s">
        <v>47</v>
      </c>
      <c r="B88" s="10"/>
      <c r="C88" s="14">
        <v>46160</v>
      </c>
      <c r="D88" s="11"/>
      <c r="E88" s="11"/>
      <c r="F88" s="12">
        <f t="shared" si="1"/>
        <v>0</v>
      </c>
      <c r="G88" s="20"/>
      <c r="H88" s="20"/>
      <c r="I88" s="9"/>
      <c r="J88" s="9"/>
      <c r="K88" s="9"/>
    </row>
    <row r="89" spans="1:11" s="13" customFormat="1" ht="29.25" thickBot="1" x14ac:dyDescent="0.3">
      <c r="A89" s="19" t="s">
        <v>47</v>
      </c>
      <c r="B89" s="10"/>
      <c r="C89" s="14">
        <v>46160</v>
      </c>
      <c r="D89" s="11"/>
      <c r="E89" s="11"/>
      <c r="F89" s="12">
        <f t="shared" si="1"/>
        <v>0</v>
      </c>
      <c r="G89" s="20"/>
      <c r="H89" s="20"/>
      <c r="I89" s="9"/>
      <c r="J89" s="9"/>
      <c r="K89" s="9"/>
    </row>
    <row r="90" spans="1:11" s="13" customFormat="1" ht="29.25" thickBot="1" x14ac:dyDescent="0.3">
      <c r="A90" s="19" t="s">
        <v>47</v>
      </c>
      <c r="B90" s="10"/>
      <c r="C90" s="14">
        <v>46160</v>
      </c>
      <c r="D90" s="11"/>
      <c r="E90" s="11"/>
      <c r="F90" s="12">
        <f t="shared" si="1"/>
        <v>0</v>
      </c>
      <c r="G90" s="20"/>
      <c r="H90" s="20"/>
      <c r="I90" s="9"/>
      <c r="J90" s="9"/>
      <c r="K90" s="9"/>
    </row>
    <row r="91" spans="1:11" s="13" customFormat="1" ht="29.25" thickBot="1" x14ac:dyDescent="0.3">
      <c r="A91" s="19" t="s">
        <v>47</v>
      </c>
      <c r="B91" s="10"/>
      <c r="C91" s="14">
        <v>46160</v>
      </c>
      <c r="D91" s="11"/>
      <c r="E91" s="11"/>
      <c r="F91" s="12">
        <f t="shared" si="1"/>
        <v>0</v>
      </c>
      <c r="G91" s="20"/>
      <c r="H91" s="20"/>
      <c r="I91" s="9"/>
      <c r="J91" s="9"/>
      <c r="K91" s="9"/>
    </row>
    <row r="92" spans="1:11" s="13" customFormat="1" ht="29.25" thickBot="1" x14ac:dyDescent="0.3">
      <c r="A92" s="19" t="s">
        <v>47</v>
      </c>
      <c r="B92" s="10"/>
      <c r="C92" s="14">
        <v>46160</v>
      </c>
      <c r="D92" s="11"/>
      <c r="E92" s="11"/>
      <c r="F92" s="12">
        <f t="shared" si="1"/>
        <v>0</v>
      </c>
      <c r="G92" s="20"/>
      <c r="H92" s="20"/>
      <c r="I92" s="9"/>
      <c r="J92" s="9"/>
      <c r="K92" s="9"/>
    </row>
    <row r="93" spans="1:11" s="13" customFormat="1" ht="29.25" thickBot="1" x14ac:dyDescent="0.3">
      <c r="A93" s="19" t="s">
        <v>47</v>
      </c>
      <c r="B93" s="10"/>
      <c r="C93" s="14">
        <v>46160</v>
      </c>
      <c r="D93" s="11"/>
      <c r="E93" s="11"/>
      <c r="F93" s="12">
        <f t="shared" si="1"/>
        <v>0</v>
      </c>
      <c r="G93" s="20"/>
      <c r="H93" s="20"/>
      <c r="I93" s="9"/>
      <c r="J93" s="9"/>
      <c r="K93" s="9"/>
    </row>
    <row r="94" spans="1:11" s="13" customFormat="1" ht="29.25" thickBot="1" x14ac:dyDescent="0.3">
      <c r="A94" s="19" t="s">
        <v>47</v>
      </c>
      <c r="B94" s="10"/>
      <c r="C94" s="14">
        <v>46160</v>
      </c>
      <c r="D94" s="11"/>
      <c r="E94" s="11"/>
      <c r="F94" s="12">
        <f t="shared" si="1"/>
        <v>0</v>
      </c>
      <c r="G94" s="20"/>
      <c r="H94" s="20"/>
      <c r="I94" s="9"/>
      <c r="J94" s="9"/>
      <c r="K94" s="9"/>
    </row>
    <row r="95" spans="1:11" s="13" customFormat="1" ht="29.25" thickBot="1" x14ac:dyDescent="0.3">
      <c r="A95" s="19" t="s">
        <v>47</v>
      </c>
      <c r="B95" s="10"/>
      <c r="C95" s="14">
        <v>46160</v>
      </c>
      <c r="D95" s="11"/>
      <c r="E95" s="11"/>
      <c r="F95" s="12">
        <f t="shared" si="1"/>
        <v>0</v>
      </c>
      <c r="G95" s="20"/>
      <c r="H95" s="20"/>
      <c r="I95" s="9"/>
      <c r="J95" s="9"/>
      <c r="K95" s="9"/>
    </row>
    <row r="96" spans="1:11" s="13" customFormat="1" ht="29.25" thickBot="1" x14ac:dyDescent="0.3">
      <c r="A96" s="19" t="s">
        <v>47</v>
      </c>
      <c r="B96" s="10"/>
      <c r="C96" s="14">
        <v>46161</v>
      </c>
      <c r="D96" s="11"/>
      <c r="E96" s="11"/>
      <c r="F96" s="12">
        <f t="shared" si="1"/>
        <v>0</v>
      </c>
      <c r="G96" s="20"/>
      <c r="H96" s="20"/>
      <c r="I96" s="9"/>
      <c r="J96" s="9"/>
      <c r="K96" s="9"/>
    </row>
    <row r="97" spans="1:11" s="13" customFormat="1" ht="29.25" thickBot="1" x14ac:dyDescent="0.3">
      <c r="A97" s="19" t="s">
        <v>47</v>
      </c>
      <c r="B97" s="10"/>
      <c r="C97" s="14">
        <v>46161</v>
      </c>
      <c r="D97" s="11"/>
      <c r="E97" s="11"/>
      <c r="F97" s="12">
        <f t="shared" si="1"/>
        <v>0</v>
      </c>
      <c r="G97" s="20"/>
      <c r="H97" s="20"/>
      <c r="I97" s="9"/>
      <c r="J97" s="9"/>
      <c r="K97" s="9"/>
    </row>
    <row r="98" spans="1:11" s="13" customFormat="1" ht="29.25" thickBot="1" x14ac:dyDescent="0.3">
      <c r="A98" s="19" t="s">
        <v>47</v>
      </c>
      <c r="B98" s="10"/>
      <c r="C98" s="14">
        <v>46161</v>
      </c>
      <c r="D98" s="11"/>
      <c r="E98" s="11"/>
      <c r="F98" s="12">
        <f t="shared" si="1"/>
        <v>0</v>
      </c>
      <c r="G98" s="20"/>
      <c r="H98" s="20"/>
      <c r="I98" s="9"/>
      <c r="J98" s="9"/>
      <c r="K98" s="9"/>
    </row>
    <row r="99" spans="1:11" s="13" customFormat="1" ht="29.25" thickBot="1" x14ac:dyDescent="0.3">
      <c r="A99" s="19" t="s">
        <v>47</v>
      </c>
      <c r="B99" s="10"/>
      <c r="C99" s="14">
        <v>46161</v>
      </c>
      <c r="D99" s="11"/>
      <c r="E99" s="11"/>
      <c r="F99" s="12">
        <f t="shared" si="1"/>
        <v>0</v>
      </c>
      <c r="G99" s="20"/>
      <c r="H99" s="20"/>
      <c r="I99" s="9"/>
      <c r="J99" s="9"/>
      <c r="K99" s="9"/>
    </row>
    <row r="100" spans="1:11" s="13" customFormat="1" ht="29.25" thickBot="1" x14ac:dyDescent="0.3">
      <c r="A100" s="19" t="s">
        <v>47</v>
      </c>
      <c r="B100" s="10"/>
      <c r="C100" s="14">
        <v>46161</v>
      </c>
      <c r="D100" s="11"/>
      <c r="E100" s="11"/>
      <c r="F100" s="12">
        <f t="shared" si="1"/>
        <v>0</v>
      </c>
      <c r="G100" s="20"/>
      <c r="H100" s="20"/>
      <c r="I100" s="9"/>
      <c r="J100" s="9"/>
      <c r="K100" s="9"/>
    </row>
    <row r="101" spans="1:11" s="13" customFormat="1" ht="29.25" thickBot="1" x14ac:dyDescent="0.3">
      <c r="A101" s="19" t="s">
        <v>47</v>
      </c>
      <c r="B101" s="10"/>
      <c r="C101" s="14">
        <v>46161</v>
      </c>
      <c r="D101" s="11"/>
      <c r="E101" s="11"/>
      <c r="F101" s="12">
        <f t="shared" si="1"/>
        <v>0</v>
      </c>
      <c r="G101" s="20"/>
      <c r="H101" s="20"/>
      <c r="I101" s="9"/>
      <c r="J101" s="9"/>
      <c r="K101" s="9"/>
    </row>
    <row r="102" spans="1:11" s="13" customFormat="1" ht="29.25" thickBot="1" x14ac:dyDescent="0.3">
      <c r="A102" s="19" t="s">
        <v>47</v>
      </c>
      <c r="B102" s="10"/>
      <c r="C102" s="14">
        <v>46161</v>
      </c>
      <c r="D102" s="11"/>
      <c r="E102" s="11"/>
      <c r="F102" s="12">
        <f t="shared" si="1"/>
        <v>0</v>
      </c>
      <c r="G102" s="20"/>
      <c r="H102" s="20"/>
      <c r="I102" s="9"/>
      <c r="J102" s="9"/>
      <c r="K102" s="9"/>
    </row>
    <row r="103" spans="1:11" s="13" customFormat="1" ht="29.25" thickBot="1" x14ac:dyDescent="0.3">
      <c r="A103" s="19" t="s">
        <v>47</v>
      </c>
      <c r="B103" s="10"/>
      <c r="C103" s="14">
        <v>46161</v>
      </c>
      <c r="D103" s="11"/>
      <c r="E103" s="11"/>
      <c r="F103" s="12">
        <f t="shared" si="1"/>
        <v>0</v>
      </c>
      <c r="G103" s="20"/>
      <c r="H103" s="20"/>
      <c r="I103" s="9"/>
      <c r="J103" s="9"/>
      <c r="K103" s="9"/>
    </row>
    <row r="104" spans="1:11" s="13" customFormat="1" ht="29.25" thickBot="1" x14ac:dyDescent="0.3">
      <c r="A104" s="19" t="s">
        <v>47</v>
      </c>
      <c r="B104" s="10"/>
      <c r="C104" s="14">
        <v>46162</v>
      </c>
      <c r="D104" s="11"/>
      <c r="E104" s="11"/>
      <c r="F104" s="12">
        <f t="shared" si="1"/>
        <v>0</v>
      </c>
      <c r="G104" s="20"/>
      <c r="H104" s="20"/>
      <c r="I104" s="9"/>
      <c r="J104" s="9"/>
      <c r="K104" s="9"/>
    </row>
    <row r="105" spans="1:11" s="13" customFormat="1" ht="29.25" thickBot="1" x14ac:dyDescent="0.3">
      <c r="A105" s="19" t="s">
        <v>47</v>
      </c>
      <c r="B105" s="10"/>
      <c r="C105" s="14">
        <v>46162</v>
      </c>
      <c r="D105" s="11"/>
      <c r="E105" s="11"/>
      <c r="F105" s="12">
        <f t="shared" si="1"/>
        <v>0</v>
      </c>
      <c r="G105" s="20"/>
      <c r="H105" s="20"/>
      <c r="I105" s="9"/>
      <c r="J105" s="9"/>
      <c r="K105" s="9"/>
    </row>
    <row r="106" spans="1:11" s="13" customFormat="1" ht="29.25" thickBot="1" x14ac:dyDescent="0.3">
      <c r="A106" s="19" t="s">
        <v>47</v>
      </c>
      <c r="B106" s="10"/>
      <c r="C106" s="14">
        <v>46162</v>
      </c>
      <c r="D106" s="11"/>
      <c r="E106" s="11"/>
      <c r="F106" s="12">
        <f t="shared" si="1"/>
        <v>0</v>
      </c>
      <c r="G106" s="20"/>
      <c r="H106" s="20"/>
      <c r="I106" s="9"/>
      <c r="J106" s="9"/>
      <c r="K106" s="9"/>
    </row>
    <row r="107" spans="1:11" s="13" customFormat="1" ht="29.25" thickBot="1" x14ac:dyDescent="0.3">
      <c r="A107" s="19" t="s">
        <v>47</v>
      </c>
      <c r="B107" s="10"/>
      <c r="C107" s="14">
        <v>46162</v>
      </c>
      <c r="D107" s="11"/>
      <c r="E107" s="11"/>
      <c r="F107" s="12">
        <f t="shared" si="1"/>
        <v>0</v>
      </c>
      <c r="G107" s="20"/>
      <c r="H107" s="20"/>
      <c r="I107" s="9"/>
      <c r="J107" s="9"/>
      <c r="K107" s="9"/>
    </row>
    <row r="108" spans="1:11" s="13" customFormat="1" ht="29.25" thickBot="1" x14ac:dyDescent="0.3">
      <c r="A108" s="19" t="s">
        <v>47</v>
      </c>
      <c r="B108" s="10"/>
      <c r="C108" s="14">
        <v>46162</v>
      </c>
      <c r="D108" s="11"/>
      <c r="E108" s="11"/>
      <c r="F108" s="12">
        <f t="shared" si="1"/>
        <v>0</v>
      </c>
      <c r="G108" s="20"/>
      <c r="H108" s="20"/>
      <c r="I108" s="9"/>
      <c r="J108" s="9"/>
      <c r="K108" s="9"/>
    </row>
    <row r="109" spans="1:11" s="13" customFormat="1" ht="29.25" thickBot="1" x14ac:dyDescent="0.3">
      <c r="A109" s="19" t="s">
        <v>47</v>
      </c>
      <c r="B109" s="10"/>
      <c r="C109" s="14">
        <v>46162</v>
      </c>
      <c r="D109" s="11"/>
      <c r="E109" s="11"/>
      <c r="F109" s="12">
        <f t="shared" si="1"/>
        <v>0</v>
      </c>
      <c r="G109" s="20"/>
      <c r="H109" s="20"/>
      <c r="I109" s="9"/>
      <c r="J109" s="9"/>
      <c r="K109" s="9"/>
    </row>
    <row r="110" spans="1:11" s="13" customFormat="1" ht="29.25" thickBot="1" x14ac:dyDescent="0.3">
      <c r="A110" s="19" t="s">
        <v>47</v>
      </c>
      <c r="B110" s="10"/>
      <c r="C110" s="14">
        <v>46162</v>
      </c>
      <c r="D110" s="11"/>
      <c r="E110" s="11"/>
      <c r="F110" s="12">
        <f t="shared" si="1"/>
        <v>0</v>
      </c>
      <c r="G110" s="20"/>
      <c r="H110" s="20"/>
      <c r="I110" s="9"/>
      <c r="J110" s="9"/>
      <c r="K110" s="9"/>
    </row>
    <row r="111" spans="1:11" s="13" customFormat="1" ht="29.25" thickBot="1" x14ac:dyDescent="0.3">
      <c r="A111" s="19" t="s">
        <v>47</v>
      </c>
      <c r="B111" s="10"/>
      <c r="C111" s="14">
        <v>46162</v>
      </c>
      <c r="D111" s="11"/>
      <c r="E111" s="11"/>
      <c r="F111" s="12">
        <f t="shared" si="1"/>
        <v>0</v>
      </c>
      <c r="G111" s="20"/>
      <c r="H111" s="20"/>
      <c r="I111" s="9"/>
      <c r="J111" s="9"/>
      <c r="K111" s="9"/>
    </row>
    <row r="112" spans="1:11" s="13" customFormat="1" ht="29.25" thickBot="1" x14ac:dyDescent="0.3">
      <c r="A112" s="19" t="s">
        <v>47</v>
      </c>
      <c r="B112" s="10"/>
      <c r="C112" s="14">
        <v>46163</v>
      </c>
      <c r="D112" s="11"/>
      <c r="E112" s="11"/>
      <c r="F112" s="12">
        <f t="shared" si="1"/>
        <v>0</v>
      </c>
      <c r="G112" s="20"/>
      <c r="H112" s="20"/>
      <c r="I112" s="9"/>
      <c r="J112" s="9"/>
      <c r="K112" s="9"/>
    </row>
    <row r="113" spans="1:11" s="13" customFormat="1" ht="29.25" thickBot="1" x14ac:dyDescent="0.3">
      <c r="A113" s="19" t="s">
        <v>47</v>
      </c>
      <c r="B113" s="10"/>
      <c r="C113" s="14">
        <v>46163</v>
      </c>
      <c r="D113" s="11"/>
      <c r="E113" s="11"/>
      <c r="F113" s="12">
        <f t="shared" si="1"/>
        <v>0</v>
      </c>
      <c r="G113" s="20"/>
      <c r="H113" s="20"/>
      <c r="I113" s="9"/>
      <c r="J113" s="9"/>
      <c r="K113" s="9"/>
    </row>
    <row r="114" spans="1:11" s="13" customFormat="1" ht="29.25" thickBot="1" x14ac:dyDescent="0.3">
      <c r="A114" s="19" t="s">
        <v>47</v>
      </c>
      <c r="B114" s="10"/>
      <c r="C114" s="14">
        <v>46163</v>
      </c>
      <c r="D114" s="11"/>
      <c r="E114" s="11"/>
      <c r="F114" s="12">
        <f t="shared" si="1"/>
        <v>0</v>
      </c>
      <c r="G114" s="20"/>
      <c r="H114" s="20"/>
      <c r="I114" s="9"/>
      <c r="J114" s="9"/>
      <c r="K114" s="9"/>
    </row>
    <row r="115" spans="1:11" s="13" customFormat="1" ht="29.25" thickBot="1" x14ac:dyDescent="0.3">
      <c r="A115" s="19" t="s">
        <v>47</v>
      </c>
      <c r="B115" s="10"/>
      <c r="C115" s="14">
        <v>46163</v>
      </c>
      <c r="D115" s="11"/>
      <c r="E115" s="11"/>
      <c r="F115" s="12">
        <f t="shared" si="1"/>
        <v>0</v>
      </c>
      <c r="G115" s="20"/>
      <c r="H115" s="20"/>
      <c r="I115" s="9"/>
      <c r="J115" s="9"/>
      <c r="K115" s="9"/>
    </row>
    <row r="116" spans="1:11" s="13" customFormat="1" ht="29.25" thickBot="1" x14ac:dyDescent="0.3">
      <c r="A116" s="19" t="s">
        <v>47</v>
      </c>
      <c r="B116" s="10"/>
      <c r="C116" s="14">
        <v>46163</v>
      </c>
      <c r="D116" s="11"/>
      <c r="E116" s="11"/>
      <c r="F116" s="12">
        <f t="shared" si="1"/>
        <v>0</v>
      </c>
      <c r="G116" s="20"/>
      <c r="H116" s="20"/>
      <c r="I116" s="9"/>
      <c r="J116" s="9"/>
      <c r="K116" s="9"/>
    </row>
    <row r="117" spans="1:11" s="13" customFormat="1" ht="29.25" thickBot="1" x14ac:dyDescent="0.3">
      <c r="A117" s="19" t="s">
        <v>47</v>
      </c>
      <c r="B117" s="10"/>
      <c r="C117" s="14">
        <v>46163</v>
      </c>
      <c r="D117" s="11"/>
      <c r="E117" s="11"/>
      <c r="F117" s="12">
        <f t="shared" si="1"/>
        <v>0</v>
      </c>
      <c r="G117" s="20"/>
      <c r="H117" s="20"/>
      <c r="I117" s="9"/>
      <c r="J117" s="9"/>
      <c r="K117" s="9"/>
    </row>
    <row r="118" spans="1:11" s="13" customFormat="1" ht="29.25" thickBot="1" x14ac:dyDescent="0.3">
      <c r="A118" s="19" t="s">
        <v>47</v>
      </c>
      <c r="B118" s="10"/>
      <c r="C118" s="14">
        <v>46163</v>
      </c>
      <c r="D118" s="11"/>
      <c r="E118" s="11"/>
      <c r="F118" s="12">
        <f t="shared" si="1"/>
        <v>0</v>
      </c>
      <c r="G118" s="20"/>
      <c r="H118" s="20"/>
      <c r="I118" s="9"/>
      <c r="J118" s="9"/>
      <c r="K118" s="9"/>
    </row>
    <row r="119" spans="1:11" s="13" customFormat="1" ht="29.25" thickBot="1" x14ac:dyDescent="0.3">
      <c r="A119" s="19" t="s">
        <v>47</v>
      </c>
      <c r="B119" s="10"/>
      <c r="C119" s="14">
        <v>46163</v>
      </c>
      <c r="D119" s="11"/>
      <c r="E119" s="11"/>
      <c r="F119" s="12">
        <f t="shared" si="1"/>
        <v>0</v>
      </c>
      <c r="G119" s="20"/>
      <c r="H119" s="20"/>
      <c r="I119" s="9"/>
      <c r="J119" s="9"/>
      <c r="K119" s="9"/>
    </row>
    <row r="120" spans="1:11" s="13" customFormat="1" ht="29.25" thickBot="1" x14ac:dyDescent="0.3">
      <c r="A120" s="19" t="s">
        <v>47</v>
      </c>
      <c r="B120" s="10"/>
      <c r="C120" s="14">
        <v>46164</v>
      </c>
      <c r="D120" s="11"/>
      <c r="E120" s="11"/>
      <c r="F120" s="12">
        <f t="shared" si="1"/>
        <v>0</v>
      </c>
      <c r="G120" s="20"/>
      <c r="H120" s="20"/>
      <c r="I120" s="9"/>
      <c r="J120" s="9"/>
      <c r="K120" s="9"/>
    </row>
    <row r="121" spans="1:11" s="13" customFormat="1" ht="29.25" thickBot="1" x14ac:dyDescent="0.3">
      <c r="A121" s="19" t="s">
        <v>47</v>
      </c>
      <c r="B121" s="10"/>
      <c r="C121" s="14">
        <v>46164</v>
      </c>
      <c r="D121" s="11"/>
      <c r="E121" s="11"/>
      <c r="F121" s="12">
        <f t="shared" si="1"/>
        <v>0</v>
      </c>
      <c r="G121" s="20"/>
      <c r="H121" s="20"/>
      <c r="I121" s="9"/>
      <c r="J121" s="9"/>
      <c r="K121" s="9"/>
    </row>
    <row r="122" spans="1:11" s="13" customFormat="1" ht="29.25" thickBot="1" x14ac:dyDescent="0.3">
      <c r="A122" s="19" t="s">
        <v>47</v>
      </c>
      <c r="B122" s="10"/>
      <c r="C122" s="14">
        <v>46164</v>
      </c>
      <c r="D122" s="11"/>
      <c r="E122" s="11"/>
      <c r="F122" s="12">
        <f t="shared" si="1"/>
        <v>0</v>
      </c>
      <c r="G122" s="20"/>
      <c r="H122" s="20"/>
      <c r="I122" s="9"/>
      <c r="J122" s="9"/>
      <c r="K122" s="9"/>
    </row>
    <row r="123" spans="1:11" s="13" customFormat="1" ht="29.25" thickBot="1" x14ac:dyDescent="0.3">
      <c r="A123" s="19" t="s">
        <v>47</v>
      </c>
      <c r="B123" s="10"/>
      <c r="C123" s="14">
        <v>46164</v>
      </c>
      <c r="D123" s="11"/>
      <c r="E123" s="11"/>
      <c r="F123" s="12">
        <f t="shared" si="1"/>
        <v>0</v>
      </c>
      <c r="G123" s="20"/>
      <c r="H123" s="20"/>
      <c r="I123" s="9"/>
      <c r="J123" s="9"/>
      <c r="K123" s="9"/>
    </row>
    <row r="124" spans="1:11" s="13" customFormat="1" ht="29.25" thickBot="1" x14ac:dyDescent="0.3">
      <c r="A124" s="19" t="s">
        <v>47</v>
      </c>
      <c r="B124" s="10"/>
      <c r="C124" s="14">
        <v>46164</v>
      </c>
      <c r="D124" s="11"/>
      <c r="E124" s="11"/>
      <c r="F124" s="12">
        <f t="shared" si="1"/>
        <v>0</v>
      </c>
      <c r="G124" s="20"/>
      <c r="H124" s="20"/>
      <c r="I124" s="9"/>
      <c r="J124" s="9"/>
      <c r="K124" s="9"/>
    </row>
    <row r="125" spans="1:11" s="13" customFormat="1" ht="29.25" thickBot="1" x14ac:dyDescent="0.3">
      <c r="A125" s="19" t="s">
        <v>47</v>
      </c>
      <c r="B125" s="10"/>
      <c r="C125" s="14">
        <v>46164</v>
      </c>
      <c r="D125" s="11"/>
      <c r="E125" s="11"/>
      <c r="F125" s="12">
        <f t="shared" si="1"/>
        <v>0</v>
      </c>
      <c r="G125" s="20"/>
      <c r="H125" s="20"/>
      <c r="I125" s="9"/>
      <c r="J125" s="9"/>
      <c r="K125" s="9"/>
    </row>
    <row r="126" spans="1:11" s="13" customFormat="1" ht="29.25" thickBot="1" x14ac:dyDescent="0.3">
      <c r="A126" s="19" t="s">
        <v>47</v>
      </c>
      <c r="B126" s="10"/>
      <c r="C126" s="14">
        <v>46164</v>
      </c>
      <c r="D126" s="11"/>
      <c r="E126" s="11"/>
      <c r="F126" s="12">
        <f t="shared" si="1"/>
        <v>0</v>
      </c>
      <c r="G126" s="20"/>
      <c r="H126" s="20"/>
      <c r="I126" s="9"/>
      <c r="J126" s="9"/>
      <c r="K126" s="9"/>
    </row>
    <row r="127" spans="1:11" s="13" customFormat="1" ht="29.25" thickBot="1" x14ac:dyDescent="0.3">
      <c r="A127" s="19" t="s">
        <v>47</v>
      </c>
      <c r="B127" s="10"/>
      <c r="C127" s="14">
        <v>46164</v>
      </c>
      <c r="D127" s="11"/>
      <c r="E127" s="11"/>
      <c r="F127" s="12">
        <f t="shared" si="1"/>
        <v>0</v>
      </c>
      <c r="G127" s="20"/>
      <c r="H127" s="20"/>
      <c r="I127" s="9"/>
      <c r="J127" s="9"/>
      <c r="K127" s="9"/>
    </row>
    <row r="128" spans="1:11" s="13" customFormat="1" ht="29.25" thickBot="1" x14ac:dyDescent="0.3">
      <c r="A128" s="19" t="s">
        <v>47</v>
      </c>
      <c r="B128" s="10"/>
      <c r="C128" s="14">
        <v>46165</v>
      </c>
      <c r="D128" s="11">
        <v>0.35416666666666669</v>
      </c>
      <c r="E128" s="11">
        <v>0.6875</v>
      </c>
      <c r="F128" s="12">
        <f>+(E128-D128)*24</f>
        <v>8</v>
      </c>
      <c r="G128" s="20" t="s">
        <v>21</v>
      </c>
      <c r="H128" s="20" t="s">
        <v>30</v>
      </c>
      <c r="I128" s="9"/>
      <c r="J128" s="9" t="s">
        <v>71</v>
      </c>
      <c r="K128" s="9"/>
    </row>
    <row r="129" spans="1:11" s="13" customFormat="1" ht="29.25" thickBot="1" x14ac:dyDescent="0.3">
      <c r="A129" s="19" t="s">
        <v>47</v>
      </c>
      <c r="B129" s="10"/>
      <c r="C129" s="14">
        <v>46166</v>
      </c>
      <c r="D129" s="11">
        <v>0.35416666666666669</v>
      </c>
      <c r="E129" s="11">
        <v>0.6875</v>
      </c>
      <c r="F129" s="12">
        <f>+(E129-D129)*24</f>
        <v>8</v>
      </c>
      <c r="G129" s="20" t="s">
        <v>21</v>
      </c>
      <c r="H129" s="20" t="s">
        <v>30</v>
      </c>
      <c r="I129" s="9"/>
      <c r="J129" s="9" t="s">
        <v>71</v>
      </c>
      <c r="K129" s="9"/>
    </row>
    <row r="130" spans="1:11" s="13" customFormat="1" ht="29.25" thickBot="1" x14ac:dyDescent="0.3">
      <c r="A130" s="19" t="s">
        <v>47</v>
      </c>
      <c r="B130" s="10"/>
      <c r="C130" s="14">
        <v>46167</v>
      </c>
      <c r="D130" s="11">
        <v>0.35416666666666669</v>
      </c>
      <c r="E130" s="11">
        <v>0.6875</v>
      </c>
      <c r="F130" s="12">
        <f t="shared" si="1"/>
        <v>8</v>
      </c>
      <c r="G130" s="20" t="s">
        <v>21</v>
      </c>
      <c r="H130" s="20" t="s">
        <v>30</v>
      </c>
      <c r="I130" s="9"/>
      <c r="J130" s="9" t="s">
        <v>80</v>
      </c>
      <c r="K130" s="9"/>
    </row>
    <row r="131" spans="1:11" s="13" customFormat="1" ht="29.25" thickBot="1" x14ac:dyDescent="0.3">
      <c r="A131" s="19" t="s">
        <v>47</v>
      </c>
      <c r="B131" s="10"/>
      <c r="C131" s="14">
        <v>46168</v>
      </c>
      <c r="D131" s="11"/>
      <c r="E131" s="11"/>
      <c r="F131" s="12">
        <f t="shared" si="1"/>
        <v>0</v>
      </c>
      <c r="G131" s="20"/>
      <c r="H131" s="20"/>
      <c r="I131" s="9"/>
      <c r="J131" s="9"/>
      <c r="K131" s="9"/>
    </row>
    <row r="132" spans="1:11" s="13" customFormat="1" ht="29.25" thickBot="1" x14ac:dyDescent="0.3">
      <c r="A132" s="19" t="s">
        <v>47</v>
      </c>
      <c r="B132" s="10"/>
      <c r="C132" s="14">
        <v>46168</v>
      </c>
      <c r="D132" s="11"/>
      <c r="E132" s="11"/>
      <c r="F132" s="12">
        <f t="shared" si="1"/>
        <v>0</v>
      </c>
      <c r="G132" s="20"/>
      <c r="H132" s="20"/>
      <c r="I132" s="9"/>
      <c r="J132" s="9"/>
      <c r="K132" s="9"/>
    </row>
    <row r="133" spans="1:11" s="13" customFormat="1" ht="29.25" thickBot="1" x14ac:dyDescent="0.3">
      <c r="A133" s="19" t="s">
        <v>47</v>
      </c>
      <c r="B133" s="10"/>
      <c r="C133" s="14">
        <v>46168</v>
      </c>
      <c r="D133" s="11"/>
      <c r="E133" s="11"/>
      <c r="F133" s="12">
        <f t="shared" si="1"/>
        <v>0</v>
      </c>
      <c r="G133" s="20"/>
      <c r="H133" s="20"/>
      <c r="I133" s="9"/>
      <c r="J133" s="9"/>
      <c r="K133" s="9"/>
    </row>
    <row r="134" spans="1:11" s="13" customFormat="1" ht="29.25" thickBot="1" x14ac:dyDescent="0.3">
      <c r="A134" s="19" t="s">
        <v>47</v>
      </c>
      <c r="B134" s="10"/>
      <c r="C134" s="14">
        <v>46168</v>
      </c>
      <c r="D134" s="11"/>
      <c r="E134" s="11"/>
      <c r="F134" s="12">
        <f t="shared" ref="F134:F197" si="2">+(E134-D134)*24</f>
        <v>0</v>
      </c>
      <c r="G134" s="20"/>
      <c r="H134" s="20"/>
      <c r="I134" s="9"/>
      <c r="J134" s="9"/>
      <c r="K134" s="9"/>
    </row>
    <row r="135" spans="1:11" s="13" customFormat="1" ht="29.25" thickBot="1" x14ac:dyDescent="0.3">
      <c r="A135" s="19" t="s">
        <v>47</v>
      </c>
      <c r="B135" s="10"/>
      <c r="C135" s="14">
        <v>46168</v>
      </c>
      <c r="D135" s="11"/>
      <c r="E135" s="11"/>
      <c r="F135" s="12">
        <f t="shared" si="2"/>
        <v>0</v>
      </c>
      <c r="G135" s="20"/>
      <c r="H135" s="20"/>
      <c r="I135" s="9"/>
      <c r="J135" s="9"/>
      <c r="K135" s="9"/>
    </row>
    <row r="136" spans="1:11" s="13" customFormat="1" ht="29.25" thickBot="1" x14ac:dyDescent="0.3">
      <c r="A136" s="19" t="s">
        <v>47</v>
      </c>
      <c r="B136" s="10"/>
      <c r="C136" s="14">
        <v>46168</v>
      </c>
      <c r="D136" s="11"/>
      <c r="E136" s="11"/>
      <c r="F136" s="12">
        <f t="shared" si="2"/>
        <v>0</v>
      </c>
      <c r="G136" s="20"/>
      <c r="H136" s="20"/>
      <c r="I136" s="9"/>
      <c r="J136" s="9"/>
      <c r="K136" s="9"/>
    </row>
    <row r="137" spans="1:11" s="13" customFormat="1" ht="29.25" thickBot="1" x14ac:dyDescent="0.3">
      <c r="A137" s="19" t="s">
        <v>47</v>
      </c>
      <c r="B137" s="10"/>
      <c r="C137" s="14">
        <v>46168</v>
      </c>
      <c r="D137" s="11"/>
      <c r="E137" s="11"/>
      <c r="F137" s="12">
        <f t="shared" si="2"/>
        <v>0</v>
      </c>
      <c r="G137" s="20"/>
      <c r="H137" s="20"/>
      <c r="I137" s="9"/>
      <c r="J137" s="9"/>
      <c r="K137" s="9"/>
    </row>
    <row r="138" spans="1:11" s="13" customFormat="1" ht="29.25" thickBot="1" x14ac:dyDescent="0.3">
      <c r="A138" s="19" t="s">
        <v>47</v>
      </c>
      <c r="B138" s="10"/>
      <c r="C138" s="14">
        <v>46168</v>
      </c>
      <c r="D138" s="11"/>
      <c r="E138" s="11"/>
      <c r="F138" s="12">
        <f t="shared" si="2"/>
        <v>0</v>
      </c>
      <c r="G138" s="20"/>
      <c r="H138" s="20"/>
      <c r="I138" s="9"/>
      <c r="J138" s="9"/>
      <c r="K138" s="9"/>
    </row>
    <row r="139" spans="1:11" s="13" customFormat="1" ht="29.25" thickBot="1" x14ac:dyDescent="0.3">
      <c r="A139" s="19" t="s">
        <v>47</v>
      </c>
      <c r="B139" s="10"/>
      <c r="C139" s="14">
        <v>46169</v>
      </c>
      <c r="D139" s="11"/>
      <c r="E139" s="11"/>
      <c r="F139" s="12">
        <f t="shared" si="2"/>
        <v>0</v>
      </c>
      <c r="G139" s="20"/>
      <c r="H139" s="20"/>
      <c r="I139" s="9"/>
      <c r="J139" s="9"/>
      <c r="K139" s="9"/>
    </row>
    <row r="140" spans="1:11" s="13" customFormat="1" ht="29.25" thickBot="1" x14ac:dyDescent="0.3">
      <c r="A140" s="19" t="s">
        <v>47</v>
      </c>
      <c r="B140" s="10"/>
      <c r="C140" s="14">
        <v>46169</v>
      </c>
      <c r="D140" s="11"/>
      <c r="E140" s="11"/>
      <c r="F140" s="12">
        <f t="shared" si="2"/>
        <v>0</v>
      </c>
      <c r="G140" s="20"/>
      <c r="H140" s="20"/>
      <c r="I140" s="9"/>
      <c r="J140" s="9"/>
      <c r="K140" s="9"/>
    </row>
    <row r="141" spans="1:11" s="13" customFormat="1" ht="29.25" thickBot="1" x14ac:dyDescent="0.3">
      <c r="A141" s="19" t="s">
        <v>47</v>
      </c>
      <c r="B141" s="10"/>
      <c r="C141" s="14">
        <v>46169</v>
      </c>
      <c r="D141" s="11"/>
      <c r="E141" s="11"/>
      <c r="F141" s="12">
        <f t="shared" si="2"/>
        <v>0</v>
      </c>
      <c r="G141" s="20"/>
      <c r="H141" s="20"/>
      <c r="I141" s="9"/>
      <c r="J141" s="9"/>
      <c r="K141" s="9"/>
    </row>
    <row r="142" spans="1:11" s="13" customFormat="1" ht="29.25" thickBot="1" x14ac:dyDescent="0.3">
      <c r="A142" s="19" t="s">
        <v>47</v>
      </c>
      <c r="B142" s="10"/>
      <c r="C142" s="14">
        <v>46169</v>
      </c>
      <c r="D142" s="11"/>
      <c r="E142" s="11"/>
      <c r="F142" s="12">
        <f t="shared" si="2"/>
        <v>0</v>
      </c>
      <c r="G142" s="20"/>
      <c r="H142" s="20"/>
      <c r="I142" s="9"/>
      <c r="J142" s="9"/>
      <c r="K142" s="9"/>
    </row>
    <row r="143" spans="1:11" s="13" customFormat="1" ht="29.25" thickBot="1" x14ac:dyDescent="0.3">
      <c r="A143" s="19" t="s">
        <v>47</v>
      </c>
      <c r="B143" s="10"/>
      <c r="C143" s="14">
        <v>46169</v>
      </c>
      <c r="D143" s="11"/>
      <c r="E143" s="11"/>
      <c r="F143" s="12">
        <f t="shared" si="2"/>
        <v>0</v>
      </c>
      <c r="G143" s="20"/>
      <c r="H143" s="20"/>
      <c r="I143" s="9"/>
      <c r="J143" s="9"/>
      <c r="K143" s="9"/>
    </row>
    <row r="144" spans="1:11" s="13" customFormat="1" ht="29.25" thickBot="1" x14ac:dyDescent="0.3">
      <c r="A144" s="19" t="s">
        <v>47</v>
      </c>
      <c r="B144" s="10"/>
      <c r="C144" s="14">
        <v>46169</v>
      </c>
      <c r="D144" s="11"/>
      <c r="E144" s="11"/>
      <c r="F144" s="12">
        <f t="shared" si="2"/>
        <v>0</v>
      </c>
      <c r="G144" s="20"/>
      <c r="H144" s="20"/>
      <c r="I144" s="9"/>
      <c r="J144" s="9"/>
      <c r="K144" s="9"/>
    </row>
    <row r="145" spans="1:11" s="13" customFormat="1" ht="29.25" thickBot="1" x14ac:dyDescent="0.3">
      <c r="A145" s="19" t="s">
        <v>47</v>
      </c>
      <c r="B145" s="10"/>
      <c r="C145" s="14">
        <v>46169</v>
      </c>
      <c r="D145" s="11"/>
      <c r="E145" s="11"/>
      <c r="F145" s="12">
        <f t="shared" si="2"/>
        <v>0</v>
      </c>
      <c r="G145" s="20"/>
      <c r="H145" s="20"/>
      <c r="I145" s="9"/>
      <c r="J145" s="9"/>
      <c r="K145" s="9"/>
    </row>
    <row r="146" spans="1:11" s="13" customFormat="1" ht="29.25" thickBot="1" x14ac:dyDescent="0.3">
      <c r="A146" s="19" t="s">
        <v>47</v>
      </c>
      <c r="B146" s="10"/>
      <c r="C146" s="14">
        <v>46169</v>
      </c>
      <c r="D146" s="11"/>
      <c r="E146" s="11"/>
      <c r="F146" s="12">
        <f t="shared" si="2"/>
        <v>0</v>
      </c>
      <c r="G146" s="20"/>
      <c r="H146" s="20"/>
      <c r="I146" s="9"/>
      <c r="J146" s="9"/>
      <c r="K146" s="9"/>
    </row>
    <row r="147" spans="1:11" s="13" customFormat="1" ht="29.25" thickBot="1" x14ac:dyDescent="0.3">
      <c r="A147" s="19" t="s">
        <v>47</v>
      </c>
      <c r="B147" s="10"/>
      <c r="C147" s="14">
        <v>46170</v>
      </c>
      <c r="D147" s="11"/>
      <c r="E147" s="11"/>
      <c r="F147" s="12">
        <f t="shared" si="2"/>
        <v>0</v>
      </c>
      <c r="G147" s="20"/>
      <c r="H147" s="20"/>
      <c r="I147" s="9"/>
      <c r="J147" s="9"/>
      <c r="K147" s="9"/>
    </row>
    <row r="148" spans="1:11" s="13" customFormat="1" ht="29.25" thickBot="1" x14ac:dyDescent="0.3">
      <c r="A148" s="19" t="s">
        <v>47</v>
      </c>
      <c r="B148" s="10"/>
      <c r="C148" s="14">
        <v>46170</v>
      </c>
      <c r="D148" s="11"/>
      <c r="E148" s="11"/>
      <c r="F148" s="12">
        <f t="shared" si="2"/>
        <v>0</v>
      </c>
      <c r="G148" s="20"/>
      <c r="H148" s="20"/>
      <c r="I148" s="9"/>
      <c r="J148" s="9"/>
      <c r="K148" s="9"/>
    </row>
    <row r="149" spans="1:11" s="13" customFormat="1" ht="29.25" thickBot="1" x14ac:dyDescent="0.3">
      <c r="A149" s="19" t="s">
        <v>47</v>
      </c>
      <c r="B149" s="10"/>
      <c r="C149" s="14">
        <v>46170</v>
      </c>
      <c r="D149" s="11"/>
      <c r="E149" s="11"/>
      <c r="F149" s="12">
        <f t="shared" si="2"/>
        <v>0</v>
      </c>
      <c r="G149" s="20"/>
      <c r="H149" s="20"/>
      <c r="I149" s="9"/>
      <c r="J149" s="9"/>
      <c r="K149" s="9"/>
    </row>
    <row r="150" spans="1:11" s="13" customFormat="1" ht="29.25" thickBot="1" x14ac:dyDescent="0.3">
      <c r="A150" s="19" t="s">
        <v>47</v>
      </c>
      <c r="B150" s="10"/>
      <c r="C150" s="14">
        <v>46170</v>
      </c>
      <c r="D150" s="11"/>
      <c r="E150" s="11"/>
      <c r="F150" s="12">
        <f t="shared" si="2"/>
        <v>0</v>
      </c>
      <c r="G150" s="20"/>
      <c r="H150" s="20"/>
      <c r="I150" s="9"/>
      <c r="J150" s="9"/>
      <c r="K150" s="9"/>
    </row>
    <row r="151" spans="1:11" s="13" customFormat="1" ht="29.25" thickBot="1" x14ac:dyDescent="0.3">
      <c r="A151" s="19" t="s">
        <v>47</v>
      </c>
      <c r="B151" s="10"/>
      <c r="C151" s="14">
        <v>46170</v>
      </c>
      <c r="D151" s="11"/>
      <c r="E151" s="11"/>
      <c r="F151" s="12">
        <f t="shared" si="2"/>
        <v>0</v>
      </c>
      <c r="G151" s="20"/>
      <c r="H151" s="20"/>
      <c r="I151" s="9"/>
      <c r="J151" s="9"/>
      <c r="K151" s="9"/>
    </row>
    <row r="152" spans="1:11" s="13" customFormat="1" ht="29.25" thickBot="1" x14ac:dyDescent="0.3">
      <c r="A152" s="19" t="s">
        <v>47</v>
      </c>
      <c r="B152" s="10"/>
      <c r="C152" s="14">
        <v>46170</v>
      </c>
      <c r="D152" s="11"/>
      <c r="E152" s="11"/>
      <c r="F152" s="12">
        <f t="shared" si="2"/>
        <v>0</v>
      </c>
      <c r="G152" s="20"/>
      <c r="H152" s="20"/>
      <c r="I152" s="9"/>
      <c r="J152" s="9"/>
      <c r="K152" s="9"/>
    </row>
    <row r="153" spans="1:11" s="13" customFormat="1" ht="29.25" thickBot="1" x14ac:dyDescent="0.3">
      <c r="A153" s="19" t="s">
        <v>47</v>
      </c>
      <c r="B153" s="10"/>
      <c r="C153" s="14">
        <v>46170</v>
      </c>
      <c r="D153" s="11"/>
      <c r="E153" s="11"/>
      <c r="F153" s="12">
        <f t="shared" si="2"/>
        <v>0</v>
      </c>
      <c r="G153" s="20"/>
      <c r="H153" s="20"/>
      <c r="I153" s="9"/>
      <c r="J153" s="9"/>
      <c r="K153" s="9"/>
    </row>
    <row r="154" spans="1:11" s="13" customFormat="1" ht="29.25" thickBot="1" x14ac:dyDescent="0.3">
      <c r="A154" s="19" t="s">
        <v>47</v>
      </c>
      <c r="B154" s="10"/>
      <c r="C154" s="14">
        <v>46170</v>
      </c>
      <c r="D154" s="11"/>
      <c r="E154" s="11"/>
      <c r="F154" s="12">
        <f t="shared" si="2"/>
        <v>0</v>
      </c>
      <c r="G154" s="20"/>
      <c r="H154" s="20"/>
      <c r="I154" s="9"/>
      <c r="J154" s="9"/>
      <c r="K154" s="9"/>
    </row>
    <row r="155" spans="1:11" s="13" customFormat="1" ht="29.25" thickBot="1" x14ac:dyDescent="0.3">
      <c r="A155" s="19" t="s">
        <v>47</v>
      </c>
      <c r="B155" s="10"/>
      <c r="C155" s="14">
        <v>46171</v>
      </c>
      <c r="D155" s="11"/>
      <c r="E155" s="11"/>
      <c r="F155" s="12">
        <f t="shared" si="2"/>
        <v>0</v>
      </c>
      <c r="G155" s="20"/>
      <c r="H155" s="20"/>
      <c r="I155" s="9"/>
      <c r="J155" s="9"/>
      <c r="K155" s="9"/>
    </row>
    <row r="156" spans="1:11" s="13" customFormat="1" ht="29.25" thickBot="1" x14ac:dyDescent="0.3">
      <c r="A156" s="19" t="s">
        <v>47</v>
      </c>
      <c r="B156" s="10"/>
      <c r="C156" s="14">
        <v>46171</v>
      </c>
      <c r="D156" s="11"/>
      <c r="E156" s="11"/>
      <c r="F156" s="12">
        <f t="shared" si="2"/>
        <v>0</v>
      </c>
      <c r="G156" s="20"/>
      <c r="H156" s="20"/>
      <c r="I156" s="9"/>
      <c r="J156" s="9"/>
      <c r="K156" s="9"/>
    </row>
    <row r="157" spans="1:11" s="13" customFormat="1" ht="29.25" thickBot="1" x14ac:dyDescent="0.3">
      <c r="A157" s="19" t="s">
        <v>47</v>
      </c>
      <c r="B157" s="10"/>
      <c r="C157" s="14">
        <v>46171</v>
      </c>
      <c r="D157" s="11"/>
      <c r="E157" s="11"/>
      <c r="F157" s="12">
        <f t="shared" si="2"/>
        <v>0</v>
      </c>
      <c r="G157" s="20"/>
      <c r="H157" s="20"/>
      <c r="I157" s="9"/>
      <c r="J157" s="9"/>
      <c r="K157" s="9"/>
    </row>
    <row r="158" spans="1:11" s="13" customFormat="1" ht="29.25" thickBot="1" x14ac:dyDescent="0.3">
      <c r="A158" s="19" t="s">
        <v>47</v>
      </c>
      <c r="B158" s="10"/>
      <c r="C158" s="14">
        <v>46171</v>
      </c>
      <c r="D158" s="11"/>
      <c r="E158" s="11"/>
      <c r="F158" s="12">
        <f t="shared" si="2"/>
        <v>0</v>
      </c>
      <c r="G158" s="20"/>
      <c r="H158" s="20"/>
      <c r="I158" s="9"/>
      <c r="J158" s="9"/>
      <c r="K158" s="9"/>
    </row>
    <row r="159" spans="1:11" s="13" customFormat="1" ht="29.25" thickBot="1" x14ac:dyDescent="0.3">
      <c r="A159" s="19" t="s">
        <v>47</v>
      </c>
      <c r="B159" s="10"/>
      <c r="C159" s="14">
        <v>46171</v>
      </c>
      <c r="D159" s="11"/>
      <c r="E159" s="11"/>
      <c r="F159" s="12">
        <f t="shared" si="2"/>
        <v>0</v>
      </c>
      <c r="G159" s="20"/>
      <c r="H159" s="20"/>
      <c r="I159" s="9"/>
      <c r="J159" s="9"/>
      <c r="K159" s="9"/>
    </row>
    <row r="160" spans="1:11" s="13" customFormat="1" ht="29.25" thickBot="1" x14ac:dyDescent="0.3">
      <c r="A160" s="19" t="s">
        <v>47</v>
      </c>
      <c r="B160" s="10"/>
      <c r="C160" s="14">
        <v>46171</v>
      </c>
      <c r="D160" s="11"/>
      <c r="E160" s="11"/>
      <c r="F160" s="12">
        <f t="shared" si="2"/>
        <v>0</v>
      </c>
      <c r="G160" s="20"/>
      <c r="H160" s="20"/>
      <c r="I160" s="9"/>
      <c r="J160" s="9"/>
      <c r="K160" s="9"/>
    </row>
    <row r="161" spans="1:11" s="13" customFormat="1" ht="29.25" thickBot="1" x14ac:dyDescent="0.3">
      <c r="A161" s="19" t="s">
        <v>47</v>
      </c>
      <c r="B161" s="10"/>
      <c r="C161" s="14">
        <v>46171</v>
      </c>
      <c r="D161" s="11"/>
      <c r="E161" s="11"/>
      <c r="F161" s="12">
        <f t="shared" si="2"/>
        <v>0</v>
      </c>
      <c r="G161" s="20"/>
      <c r="H161" s="20"/>
      <c r="I161" s="9"/>
      <c r="J161" s="9"/>
      <c r="K161" s="9"/>
    </row>
    <row r="162" spans="1:11" s="13" customFormat="1" ht="29.25" thickBot="1" x14ac:dyDescent="0.3">
      <c r="A162" s="19" t="s">
        <v>47</v>
      </c>
      <c r="B162" s="10"/>
      <c r="C162" s="14">
        <v>46171</v>
      </c>
      <c r="D162" s="11"/>
      <c r="E162" s="11"/>
      <c r="F162" s="12">
        <f t="shared" si="2"/>
        <v>0</v>
      </c>
      <c r="G162" s="20"/>
      <c r="H162" s="20"/>
      <c r="I162" s="9"/>
      <c r="J162" s="9"/>
      <c r="K162" s="9"/>
    </row>
    <row r="163" spans="1:11" s="13" customFormat="1" ht="29.25" thickBot="1" x14ac:dyDescent="0.3">
      <c r="A163" s="19" t="s">
        <v>47</v>
      </c>
      <c r="B163" s="10"/>
      <c r="C163" s="14">
        <v>46172</v>
      </c>
      <c r="D163" s="11">
        <v>0.35416666666666669</v>
      </c>
      <c r="E163" s="11">
        <v>0.6875</v>
      </c>
      <c r="F163" s="12">
        <f>+(E163-D163)*24</f>
        <v>8</v>
      </c>
      <c r="G163" s="20" t="s">
        <v>21</v>
      </c>
      <c r="H163" s="20" t="s">
        <v>30</v>
      </c>
      <c r="I163" s="9"/>
      <c r="J163" s="9" t="s">
        <v>71</v>
      </c>
      <c r="K163" s="9"/>
    </row>
    <row r="164" spans="1:11" s="13" customFormat="1" ht="29.25" thickBot="1" x14ac:dyDescent="0.3">
      <c r="A164" s="19" t="s">
        <v>47</v>
      </c>
      <c r="B164" s="10"/>
      <c r="C164" s="14">
        <v>46173</v>
      </c>
      <c r="D164" s="11">
        <v>0.35416666666666669</v>
      </c>
      <c r="E164" s="11">
        <v>0.6875</v>
      </c>
      <c r="F164" s="12">
        <f>+(E164-D164)*24</f>
        <v>8</v>
      </c>
      <c r="G164" s="20" t="s">
        <v>21</v>
      </c>
      <c r="H164" s="20" t="s">
        <v>30</v>
      </c>
      <c r="I164" s="9"/>
      <c r="J164" s="9" t="s">
        <v>71</v>
      </c>
      <c r="K164" s="9"/>
    </row>
    <row r="165" spans="1:11" s="13" customFormat="1" ht="29.25" thickBot="1" x14ac:dyDescent="0.3">
      <c r="A165" s="19" t="s">
        <v>47</v>
      </c>
      <c r="B165" s="10"/>
      <c r="C165" s="14"/>
      <c r="D165" s="11"/>
      <c r="E165" s="11"/>
      <c r="F165" s="12">
        <f t="shared" si="2"/>
        <v>0</v>
      </c>
      <c r="G165" s="20"/>
      <c r="H165" s="20"/>
      <c r="I165" s="9"/>
      <c r="J165" s="9"/>
      <c r="K165" s="9"/>
    </row>
    <row r="166" spans="1:11" s="13" customFormat="1" ht="29.25" thickBot="1" x14ac:dyDescent="0.3">
      <c r="A166" s="19" t="s">
        <v>47</v>
      </c>
      <c r="B166" s="10"/>
      <c r="C166" s="14"/>
      <c r="D166" s="11"/>
      <c r="E166" s="11"/>
      <c r="F166" s="12">
        <f t="shared" si="2"/>
        <v>0</v>
      </c>
      <c r="G166" s="20"/>
      <c r="H166" s="20"/>
      <c r="I166" s="9"/>
      <c r="J166" s="9"/>
      <c r="K166" s="9"/>
    </row>
    <row r="167" spans="1:11" s="13" customFormat="1" ht="29.25" thickBot="1" x14ac:dyDescent="0.3">
      <c r="A167" s="19" t="s">
        <v>47</v>
      </c>
      <c r="B167" s="10"/>
      <c r="C167" s="14"/>
      <c r="D167" s="11"/>
      <c r="E167" s="11"/>
      <c r="F167" s="12">
        <f t="shared" si="2"/>
        <v>0</v>
      </c>
      <c r="G167" s="20"/>
      <c r="H167" s="20"/>
      <c r="I167" s="9"/>
      <c r="J167" s="9"/>
      <c r="K167" s="9"/>
    </row>
    <row r="168" spans="1:11" s="13" customFormat="1" ht="29.25" thickBot="1" x14ac:dyDescent="0.3">
      <c r="A168" s="19" t="s">
        <v>47</v>
      </c>
      <c r="B168" s="10"/>
      <c r="C168" s="14"/>
      <c r="D168" s="11"/>
      <c r="E168" s="11"/>
      <c r="F168" s="12">
        <f t="shared" si="2"/>
        <v>0</v>
      </c>
      <c r="G168" s="20"/>
      <c r="H168" s="20"/>
      <c r="I168" s="9"/>
      <c r="J168" s="9"/>
      <c r="K168" s="9"/>
    </row>
    <row r="169" spans="1:11" s="13" customFormat="1" ht="29.25" thickBot="1" x14ac:dyDescent="0.3">
      <c r="A169" s="19" t="s">
        <v>47</v>
      </c>
      <c r="B169" s="10"/>
      <c r="C169" s="14"/>
      <c r="D169" s="11"/>
      <c r="E169" s="11"/>
      <c r="F169" s="12">
        <f t="shared" si="2"/>
        <v>0</v>
      </c>
      <c r="G169" s="20"/>
      <c r="H169" s="20"/>
      <c r="I169" s="9"/>
      <c r="J169" s="9"/>
      <c r="K169" s="9"/>
    </row>
    <row r="170" spans="1:11" s="13" customFormat="1" ht="29.25" thickBot="1" x14ac:dyDescent="0.3">
      <c r="A170" s="19" t="s">
        <v>47</v>
      </c>
      <c r="B170" s="10"/>
      <c r="C170" s="14"/>
      <c r="D170" s="11"/>
      <c r="E170" s="11"/>
      <c r="F170" s="12">
        <f t="shared" si="2"/>
        <v>0</v>
      </c>
      <c r="G170" s="20"/>
      <c r="H170" s="20"/>
      <c r="I170" s="9"/>
      <c r="J170" s="9"/>
      <c r="K170" s="9"/>
    </row>
    <row r="171" spans="1:11" s="13" customFormat="1" ht="29.25" thickBot="1" x14ac:dyDescent="0.3">
      <c r="A171" s="19" t="s">
        <v>47</v>
      </c>
      <c r="B171" s="10"/>
      <c r="C171" s="14"/>
      <c r="D171" s="11"/>
      <c r="E171" s="11"/>
      <c r="F171" s="12">
        <f t="shared" si="2"/>
        <v>0</v>
      </c>
      <c r="G171" s="20"/>
      <c r="H171" s="20"/>
      <c r="I171" s="9"/>
      <c r="J171" s="9"/>
      <c r="K171" s="9"/>
    </row>
    <row r="172" spans="1:11" s="13" customFormat="1" ht="29.25" thickBot="1" x14ac:dyDescent="0.3">
      <c r="A172" s="19" t="s">
        <v>47</v>
      </c>
      <c r="B172" s="10"/>
      <c r="C172" s="14"/>
      <c r="D172" s="11"/>
      <c r="E172" s="11"/>
      <c r="F172" s="12">
        <f t="shared" si="2"/>
        <v>0</v>
      </c>
      <c r="G172" s="20"/>
      <c r="H172" s="20"/>
      <c r="I172" s="9"/>
      <c r="J172" s="9"/>
      <c r="K172" s="9"/>
    </row>
    <row r="173" spans="1:11" s="13" customFormat="1" ht="29.25" thickBot="1" x14ac:dyDescent="0.3">
      <c r="A173" s="19" t="s">
        <v>47</v>
      </c>
      <c r="B173" s="10"/>
      <c r="C173" s="14"/>
      <c r="D173" s="11"/>
      <c r="E173" s="11"/>
      <c r="F173" s="12">
        <f t="shared" si="2"/>
        <v>0</v>
      </c>
      <c r="G173" s="20"/>
      <c r="H173" s="20"/>
      <c r="I173" s="9"/>
      <c r="J173" s="9"/>
      <c r="K173" s="9"/>
    </row>
    <row r="174" spans="1:11" s="13" customFormat="1" ht="29.25" thickBot="1" x14ac:dyDescent="0.3">
      <c r="A174" s="19" t="s">
        <v>47</v>
      </c>
      <c r="B174" s="10"/>
      <c r="C174" s="14"/>
      <c r="D174" s="11"/>
      <c r="E174" s="11"/>
      <c r="F174" s="12">
        <f t="shared" si="2"/>
        <v>0</v>
      </c>
      <c r="G174" s="20"/>
      <c r="H174" s="20"/>
      <c r="I174" s="9"/>
      <c r="J174" s="9"/>
      <c r="K174" s="9"/>
    </row>
    <row r="175" spans="1:11" s="13" customFormat="1" ht="29.25" thickBot="1" x14ac:dyDescent="0.3">
      <c r="A175" s="19" t="s">
        <v>47</v>
      </c>
      <c r="B175" s="10"/>
      <c r="C175" s="14"/>
      <c r="D175" s="11"/>
      <c r="E175" s="11"/>
      <c r="F175" s="12">
        <f t="shared" si="2"/>
        <v>0</v>
      </c>
      <c r="G175" s="20"/>
      <c r="H175" s="20"/>
      <c r="I175" s="9"/>
      <c r="J175" s="9"/>
      <c r="K175" s="9"/>
    </row>
    <row r="176" spans="1:11" s="13" customFormat="1" ht="29.25" thickBot="1" x14ac:dyDescent="0.3">
      <c r="A176" s="19" t="s">
        <v>47</v>
      </c>
      <c r="B176" s="10"/>
      <c r="C176" s="14"/>
      <c r="D176" s="11"/>
      <c r="E176" s="11"/>
      <c r="F176" s="12">
        <f t="shared" si="2"/>
        <v>0</v>
      </c>
      <c r="G176" s="20"/>
      <c r="H176" s="20"/>
      <c r="I176" s="9"/>
      <c r="J176" s="9"/>
      <c r="K176" s="9"/>
    </row>
    <row r="177" spans="1:11" s="13" customFormat="1" ht="29.25" thickBot="1" x14ac:dyDescent="0.3">
      <c r="A177" s="19" t="s">
        <v>47</v>
      </c>
      <c r="B177" s="10"/>
      <c r="C177" s="14"/>
      <c r="D177" s="11"/>
      <c r="E177" s="11"/>
      <c r="F177" s="12">
        <f t="shared" si="2"/>
        <v>0</v>
      </c>
      <c r="G177" s="20"/>
      <c r="H177" s="20"/>
      <c r="I177" s="9"/>
      <c r="J177" s="9"/>
      <c r="K177" s="9"/>
    </row>
    <row r="178" spans="1:11" s="13" customFormat="1" ht="29.25" thickBot="1" x14ac:dyDescent="0.3">
      <c r="A178" s="19" t="s">
        <v>47</v>
      </c>
      <c r="B178" s="10"/>
      <c r="C178" s="14"/>
      <c r="D178" s="11"/>
      <c r="E178" s="11"/>
      <c r="F178" s="12">
        <f t="shared" si="2"/>
        <v>0</v>
      </c>
      <c r="G178" s="20"/>
      <c r="H178" s="20"/>
      <c r="I178" s="9"/>
      <c r="J178" s="9"/>
      <c r="K178" s="9"/>
    </row>
    <row r="179" spans="1:11" s="13" customFormat="1" ht="29.25" thickBot="1" x14ac:dyDescent="0.3">
      <c r="A179" s="19" t="s">
        <v>47</v>
      </c>
      <c r="B179" s="10"/>
      <c r="C179" s="14"/>
      <c r="D179" s="11"/>
      <c r="E179" s="11"/>
      <c r="F179" s="12">
        <f t="shared" si="2"/>
        <v>0</v>
      </c>
      <c r="G179" s="20"/>
      <c r="H179" s="20"/>
      <c r="I179" s="9"/>
      <c r="J179" s="9"/>
      <c r="K179" s="9"/>
    </row>
    <row r="180" spans="1:11" s="13" customFormat="1" ht="29.25" thickBot="1" x14ac:dyDescent="0.3">
      <c r="A180" s="19" t="s">
        <v>47</v>
      </c>
      <c r="B180" s="10"/>
      <c r="C180" s="14"/>
      <c r="D180" s="11"/>
      <c r="E180" s="11"/>
      <c r="F180" s="12">
        <f t="shared" si="2"/>
        <v>0</v>
      </c>
      <c r="G180" s="20"/>
      <c r="H180" s="20"/>
      <c r="I180" s="9"/>
      <c r="J180" s="9"/>
      <c r="K180" s="9"/>
    </row>
    <row r="181" spans="1:11" s="13" customFormat="1" ht="29.25" thickBot="1" x14ac:dyDescent="0.3">
      <c r="A181" s="19" t="s">
        <v>47</v>
      </c>
      <c r="B181" s="10"/>
      <c r="C181" s="14"/>
      <c r="D181" s="11"/>
      <c r="E181" s="11"/>
      <c r="F181" s="12">
        <f t="shared" si="2"/>
        <v>0</v>
      </c>
      <c r="G181" s="20"/>
      <c r="H181" s="20"/>
      <c r="I181" s="9"/>
      <c r="J181" s="9"/>
      <c r="K181" s="9"/>
    </row>
    <row r="182" spans="1:11" s="13" customFormat="1" ht="29.25" thickBot="1" x14ac:dyDescent="0.3">
      <c r="A182" s="19" t="s">
        <v>47</v>
      </c>
      <c r="B182" s="10"/>
      <c r="C182" s="14"/>
      <c r="D182" s="11"/>
      <c r="E182" s="11"/>
      <c r="F182" s="12">
        <f t="shared" si="2"/>
        <v>0</v>
      </c>
      <c r="G182" s="20"/>
      <c r="H182" s="20"/>
      <c r="I182" s="9"/>
      <c r="J182" s="9"/>
      <c r="K182" s="9"/>
    </row>
    <row r="183" spans="1:11" s="13" customFormat="1" ht="29.25" thickBot="1" x14ac:dyDescent="0.3">
      <c r="A183" s="19" t="s">
        <v>47</v>
      </c>
      <c r="B183" s="10"/>
      <c r="C183" s="14"/>
      <c r="D183" s="11"/>
      <c r="E183" s="11"/>
      <c r="F183" s="12">
        <f t="shared" si="2"/>
        <v>0</v>
      </c>
      <c r="G183" s="20"/>
      <c r="H183" s="20"/>
      <c r="I183" s="9"/>
      <c r="J183" s="9"/>
      <c r="K183" s="9"/>
    </row>
    <row r="184" spans="1:11" s="13" customFormat="1" ht="29.25" thickBot="1" x14ac:dyDescent="0.3">
      <c r="A184" s="19" t="s">
        <v>47</v>
      </c>
      <c r="B184" s="10"/>
      <c r="C184" s="14"/>
      <c r="D184" s="11"/>
      <c r="E184" s="11"/>
      <c r="F184" s="12">
        <f t="shared" si="2"/>
        <v>0</v>
      </c>
      <c r="G184" s="20"/>
      <c r="H184" s="20"/>
      <c r="I184" s="9"/>
      <c r="J184" s="9"/>
      <c r="K184" s="9"/>
    </row>
    <row r="185" spans="1:11" s="13" customFormat="1" ht="29.25" thickBot="1" x14ac:dyDescent="0.3">
      <c r="A185" s="19" t="s">
        <v>47</v>
      </c>
      <c r="B185" s="10"/>
      <c r="C185" s="14"/>
      <c r="D185" s="11"/>
      <c r="E185" s="11"/>
      <c r="F185" s="12">
        <f t="shared" si="2"/>
        <v>0</v>
      </c>
      <c r="G185" s="20"/>
      <c r="H185" s="20"/>
      <c r="I185" s="9"/>
      <c r="J185" s="9"/>
      <c r="K185" s="9"/>
    </row>
    <row r="186" spans="1:11" s="13" customFormat="1" ht="29.25" thickBot="1" x14ac:dyDescent="0.3">
      <c r="A186" s="19" t="s">
        <v>47</v>
      </c>
      <c r="B186" s="10"/>
      <c r="C186" s="14"/>
      <c r="D186" s="11"/>
      <c r="E186" s="11"/>
      <c r="F186" s="12">
        <f t="shared" si="2"/>
        <v>0</v>
      </c>
      <c r="G186" s="20"/>
      <c r="H186" s="20"/>
      <c r="I186" s="9"/>
      <c r="J186" s="9"/>
      <c r="K186" s="9"/>
    </row>
    <row r="187" spans="1:11" s="13" customFormat="1" ht="29.25" thickBot="1" x14ac:dyDescent="0.3">
      <c r="A187" s="19" t="s">
        <v>47</v>
      </c>
      <c r="B187" s="10"/>
      <c r="C187" s="14"/>
      <c r="D187" s="11"/>
      <c r="E187" s="11"/>
      <c r="F187" s="12">
        <f t="shared" si="2"/>
        <v>0</v>
      </c>
      <c r="G187" s="20"/>
      <c r="H187" s="20"/>
      <c r="I187" s="9"/>
      <c r="J187" s="9"/>
      <c r="K187" s="9"/>
    </row>
    <row r="188" spans="1:11" s="13" customFormat="1" ht="29.25" thickBot="1" x14ac:dyDescent="0.3">
      <c r="A188" s="19" t="s">
        <v>47</v>
      </c>
      <c r="B188" s="10"/>
      <c r="C188" s="14"/>
      <c r="D188" s="11"/>
      <c r="E188" s="11"/>
      <c r="F188" s="12">
        <f t="shared" si="2"/>
        <v>0</v>
      </c>
      <c r="G188" s="20"/>
      <c r="H188" s="20"/>
      <c r="I188" s="9"/>
      <c r="J188" s="9"/>
      <c r="K188" s="9"/>
    </row>
    <row r="189" spans="1:11" s="13" customFormat="1" ht="29.25" thickBot="1" x14ac:dyDescent="0.3">
      <c r="A189" s="19" t="s">
        <v>47</v>
      </c>
      <c r="B189" s="10"/>
      <c r="C189" s="14"/>
      <c r="D189" s="11"/>
      <c r="E189" s="11"/>
      <c r="F189" s="12">
        <f t="shared" si="2"/>
        <v>0</v>
      </c>
      <c r="G189" s="20"/>
      <c r="H189" s="20"/>
      <c r="I189" s="9"/>
      <c r="J189" s="9"/>
      <c r="K189" s="9"/>
    </row>
    <row r="190" spans="1:11" s="13" customFormat="1" ht="29.25" thickBot="1" x14ac:dyDescent="0.3">
      <c r="A190" s="19" t="s">
        <v>47</v>
      </c>
      <c r="B190" s="10"/>
      <c r="C190" s="14"/>
      <c r="D190" s="11"/>
      <c r="E190" s="11"/>
      <c r="F190" s="12">
        <f t="shared" si="2"/>
        <v>0</v>
      </c>
      <c r="G190" s="20"/>
      <c r="H190" s="20"/>
      <c r="I190" s="9"/>
      <c r="J190" s="9"/>
      <c r="K190" s="9"/>
    </row>
    <row r="191" spans="1:11" s="13" customFormat="1" ht="29.25" thickBot="1" x14ac:dyDescent="0.3">
      <c r="A191" s="19" t="s">
        <v>47</v>
      </c>
      <c r="B191" s="10"/>
      <c r="C191" s="14"/>
      <c r="D191" s="11"/>
      <c r="E191" s="11"/>
      <c r="F191" s="12">
        <f t="shared" si="2"/>
        <v>0</v>
      </c>
      <c r="G191" s="20"/>
      <c r="H191" s="20"/>
      <c r="I191" s="9"/>
      <c r="J191" s="9"/>
      <c r="K191" s="9"/>
    </row>
    <row r="192" spans="1:11" s="13" customFormat="1" ht="29.25" thickBot="1" x14ac:dyDescent="0.3">
      <c r="A192" s="19" t="s">
        <v>47</v>
      </c>
      <c r="B192" s="10"/>
      <c r="C192" s="14"/>
      <c r="D192" s="11"/>
      <c r="E192" s="11"/>
      <c r="F192" s="12">
        <f t="shared" si="2"/>
        <v>0</v>
      </c>
      <c r="G192" s="20"/>
      <c r="H192" s="20"/>
      <c r="I192" s="9"/>
      <c r="J192" s="9"/>
      <c r="K192" s="9"/>
    </row>
    <row r="193" spans="1:11" s="13" customFormat="1" ht="29.25" thickBot="1" x14ac:dyDescent="0.3">
      <c r="A193" s="19" t="s">
        <v>47</v>
      </c>
      <c r="B193" s="10"/>
      <c r="C193" s="14"/>
      <c r="D193" s="11"/>
      <c r="E193" s="11"/>
      <c r="F193" s="12">
        <f t="shared" si="2"/>
        <v>0</v>
      </c>
      <c r="G193" s="20"/>
      <c r="H193" s="20"/>
      <c r="I193" s="9"/>
      <c r="J193" s="9"/>
      <c r="K193" s="9"/>
    </row>
    <row r="194" spans="1:11" s="13" customFormat="1" ht="29.25" thickBot="1" x14ac:dyDescent="0.3">
      <c r="A194" s="19" t="s">
        <v>47</v>
      </c>
      <c r="B194" s="10"/>
      <c r="C194" s="14"/>
      <c r="D194" s="11"/>
      <c r="E194" s="11"/>
      <c r="F194" s="12">
        <f t="shared" si="2"/>
        <v>0</v>
      </c>
      <c r="G194" s="20"/>
      <c r="H194" s="20"/>
      <c r="I194" s="9"/>
      <c r="J194" s="9"/>
      <c r="K194" s="9"/>
    </row>
    <row r="195" spans="1:11" s="13" customFormat="1" ht="29.25" thickBot="1" x14ac:dyDescent="0.3">
      <c r="A195" s="19" t="s">
        <v>47</v>
      </c>
      <c r="B195" s="10"/>
      <c r="C195" s="14"/>
      <c r="D195" s="11"/>
      <c r="E195" s="11"/>
      <c r="F195" s="12">
        <f t="shared" si="2"/>
        <v>0</v>
      </c>
      <c r="G195" s="20"/>
      <c r="H195" s="20"/>
      <c r="I195" s="9"/>
      <c r="J195" s="9"/>
      <c r="K195" s="9"/>
    </row>
    <row r="196" spans="1:11" s="13" customFormat="1" ht="29.25" thickBot="1" x14ac:dyDescent="0.3">
      <c r="A196" s="19" t="s">
        <v>47</v>
      </c>
      <c r="B196" s="10"/>
      <c r="C196" s="14"/>
      <c r="D196" s="11"/>
      <c r="E196" s="11"/>
      <c r="F196" s="12">
        <f t="shared" si="2"/>
        <v>0</v>
      </c>
      <c r="G196" s="20"/>
      <c r="H196" s="20"/>
      <c r="I196" s="9"/>
      <c r="J196" s="9"/>
      <c r="K196" s="9"/>
    </row>
    <row r="197" spans="1:11" s="13" customFormat="1" ht="29.25" thickBot="1" x14ac:dyDescent="0.3">
      <c r="A197" s="19" t="s">
        <v>47</v>
      </c>
      <c r="B197" s="10"/>
      <c r="C197" s="14"/>
      <c r="D197" s="11"/>
      <c r="E197" s="11"/>
      <c r="F197" s="12">
        <f t="shared" si="2"/>
        <v>0</v>
      </c>
      <c r="G197" s="20"/>
      <c r="H197" s="20"/>
      <c r="I197" s="9"/>
      <c r="J197" s="9"/>
      <c r="K197" s="9"/>
    </row>
    <row r="198" spans="1:11" s="13" customFormat="1" ht="29.25" thickBot="1" x14ac:dyDescent="0.3">
      <c r="A198" s="19" t="s">
        <v>47</v>
      </c>
      <c r="B198" s="10"/>
      <c r="C198" s="14"/>
      <c r="D198" s="11"/>
      <c r="E198" s="11"/>
      <c r="F198" s="12">
        <f t="shared" ref="F198:F261" si="3">+(E198-D198)*24</f>
        <v>0</v>
      </c>
      <c r="G198" s="20"/>
      <c r="H198" s="20"/>
      <c r="I198" s="9"/>
      <c r="J198" s="9"/>
      <c r="K198" s="9"/>
    </row>
    <row r="199" spans="1:11" s="13" customFormat="1" ht="29.25" thickBot="1" x14ac:dyDescent="0.3">
      <c r="A199" s="19" t="s">
        <v>47</v>
      </c>
      <c r="B199" s="10"/>
      <c r="C199" s="14"/>
      <c r="D199" s="11"/>
      <c r="E199" s="11"/>
      <c r="F199" s="12">
        <f t="shared" si="3"/>
        <v>0</v>
      </c>
      <c r="G199" s="20"/>
      <c r="H199" s="20"/>
      <c r="I199" s="9"/>
      <c r="J199" s="9"/>
      <c r="K199" s="9"/>
    </row>
    <row r="200" spans="1:11" s="13" customFormat="1" ht="29.25" thickBot="1" x14ac:dyDescent="0.3">
      <c r="A200" s="19" t="s">
        <v>47</v>
      </c>
      <c r="B200" s="10"/>
      <c r="C200" s="14"/>
      <c r="D200" s="11"/>
      <c r="E200" s="11"/>
      <c r="F200" s="12">
        <f t="shared" si="3"/>
        <v>0</v>
      </c>
      <c r="G200" s="20"/>
      <c r="H200" s="20"/>
      <c r="I200" s="9"/>
      <c r="J200" s="9"/>
      <c r="K200" s="9"/>
    </row>
    <row r="201" spans="1:11" s="13" customFormat="1" ht="29.25" thickBot="1" x14ac:dyDescent="0.3">
      <c r="A201" s="19" t="s">
        <v>47</v>
      </c>
      <c r="B201" s="10"/>
      <c r="C201" s="14"/>
      <c r="D201" s="11"/>
      <c r="E201" s="11"/>
      <c r="F201" s="12">
        <f t="shared" si="3"/>
        <v>0</v>
      </c>
      <c r="G201" s="20"/>
      <c r="H201" s="20"/>
      <c r="I201" s="9"/>
      <c r="J201" s="9"/>
      <c r="K201" s="9"/>
    </row>
    <row r="202" spans="1:11" s="13" customFormat="1" ht="29.25" thickBot="1" x14ac:dyDescent="0.3">
      <c r="A202" s="19" t="s">
        <v>47</v>
      </c>
      <c r="B202" s="10"/>
      <c r="C202" s="14"/>
      <c r="D202" s="11"/>
      <c r="E202" s="11"/>
      <c r="F202" s="12">
        <f t="shared" si="3"/>
        <v>0</v>
      </c>
      <c r="G202" s="20"/>
      <c r="H202" s="20"/>
      <c r="I202" s="9"/>
      <c r="J202" s="9"/>
      <c r="K202" s="9"/>
    </row>
    <row r="203" spans="1:11" s="13" customFormat="1" ht="29.25" thickBot="1" x14ac:dyDescent="0.3">
      <c r="A203" s="19" t="s">
        <v>47</v>
      </c>
      <c r="B203" s="10"/>
      <c r="C203" s="14"/>
      <c r="D203" s="11"/>
      <c r="E203" s="11"/>
      <c r="F203" s="12">
        <f t="shared" si="3"/>
        <v>0</v>
      </c>
      <c r="G203" s="20"/>
      <c r="H203" s="20"/>
      <c r="I203" s="9"/>
      <c r="J203" s="9"/>
      <c r="K203" s="9"/>
    </row>
    <row r="204" spans="1:11" s="13" customFormat="1" ht="29.25" thickBot="1" x14ac:dyDescent="0.3">
      <c r="A204" s="19" t="s">
        <v>47</v>
      </c>
      <c r="B204" s="10"/>
      <c r="C204" s="14"/>
      <c r="D204" s="11"/>
      <c r="E204" s="11"/>
      <c r="F204" s="12">
        <f t="shared" si="3"/>
        <v>0</v>
      </c>
      <c r="G204" s="20"/>
      <c r="H204" s="20"/>
      <c r="I204" s="9"/>
      <c r="J204" s="9"/>
      <c r="K204" s="9"/>
    </row>
    <row r="205" spans="1:11" s="13" customFormat="1" ht="29.25" thickBot="1" x14ac:dyDescent="0.3">
      <c r="A205" s="19" t="s">
        <v>47</v>
      </c>
      <c r="B205" s="10"/>
      <c r="C205" s="14"/>
      <c r="D205" s="11"/>
      <c r="E205" s="11"/>
      <c r="F205" s="12">
        <f t="shared" si="3"/>
        <v>0</v>
      </c>
      <c r="G205" s="20"/>
      <c r="H205" s="20"/>
      <c r="I205" s="9"/>
      <c r="J205" s="9"/>
      <c r="K205" s="9"/>
    </row>
    <row r="206" spans="1:11" s="13" customFormat="1" ht="29.25" thickBot="1" x14ac:dyDescent="0.3">
      <c r="A206" s="19" t="s">
        <v>47</v>
      </c>
      <c r="B206" s="10"/>
      <c r="C206" s="14"/>
      <c r="D206" s="11"/>
      <c r="E206" s="11"/>
      <c r="F206" s="12">
        <f t="shared" si="3"/>
        <v>0</v>
      </c>
      <c r="G206" s="20"/>
      <c r="H206" s="20"/>
      <c r="I206" s="9"/>
      <c r="J206" s="9"/>
      <c r="K206" s="9"/>
    </row>
    <row r="207" spans="1:11" s="13" customFormat="1" ht="29.25" thickBot="1" x14ac:dyDescent="0.3">
      <c r="A207" s="19" t="s">
        <v>47</v>
      </c>
      <c r="B207" s="10"/>
      <c r="C207" s="14"/>
      <c r="D207" s="11"/>
      <c r="E207" s="11"/>
      <c r="F207" s="12">
        <f t="shared" si="3"/>
        <v>0</v>
      </c>
      <c r="G207" s="20"/>
      <c r="H207" s="20"/>
      <c r="I207" s="9"/>
      <c r="J207" s="9"/>
      <c r="K207" s="9"/>
    </row>
    <row r="208" spans="1:11" s="13" customFormat="1" ht="29.25" thickBot="1" x14ac:dyDescent="0.3">
      <c r="A208" s="19" t="s">
        <v>47</v>
      </c>
      <c r="B208" s="10"/>
      <c r="C208" s="14"/>
      <c r="D208" s="11"/>
      <c r="E208" s="11"/>
      <c r="F208" s="12">
        <f t="shared" si="3"/>
        <v>0</v>
      </c>
      <c r="G208" s="20"/>
      <c r="H208" s="20"/>
      <c r="I208" s="9"/>
      <c r="J208" s="9"/>
      <c r="K208" s="9"/>
    </row>
    <row r="209" spans="1:11" s="13" customFormat="1" ht="29.25" thickBot="1" x14ac:dyDescent="0.3">
      <c r="A209" s="19" t="s">
        <v>47</v>
      </c>
      <c r="B209" s="10"/>
      <c r="C209" s="14"/>
      <c r="D209" s="11"/>
      <c r="E209" s="11"/>
      <c r="F209" s="12">
        <f t="shared" si="3"/>
        <v>0</v>
      </c>
      <c r="G209" s="20"/>
      <c r="H209" s="20"/>
      <c r="I209" s="9"/>
      <c r="J209" s="9"/>
      <c r="K209" s="9"/>
    </row>
    <row r="210" spans="1:11" s="13" customFormat="1" ht="29.25" thickBot="1" x14ac:dyDescent="0.3">
      <c r="A210" s="19" t="s">
        <v>47</v>
      </c>
      <c r="B210" s="10"/>
      <c r="C210" s="14"/>
      <c r="D210" s="11"/>
      <c r="E210" s="11"/>
      <c r="F210" s="12">
        <f t="shared" si="3"/>
        <v>0</v>
      </c>
      <c r="G210" s="20"/>
      <c r="H210" s="20"/>
      <c r="I210" s="9"/>
      <c r="J210" s="9"/>
      <c r="K210" s="9"/>
    </row>
    <row r="211" spans="1:11" s="13" customFormat="1" ht="29.25" thickBot="1" x14ac:dyDescent="0.3">
      <c r="A211" s="19" t="s">
        <v>47</v>
      </c>
      <c r="B211" s="10"/>
      <c r="C211" s="14"/>
      <c r="D211" s="11"/>
      <c r="E211" s="11"/>
      <c r="F211" s="12">
        <f t="shared" si="3"/>
        <v>0</v>
      </c>
      <c r="G211" s="20"/>
      <c r="H211" s="20"/>
      <c r="I211" s="9"/>
      <c r="J211" s="9"/>
      <c r="K211" s="9"/>
    </row>
    <row r="212" spans="1:11" s="13" customFormat="1" ht="29.25" thickBot="1" x14ac:dyDescent="0.3">
      <c r="A212" s="19" t="s">
        <v>47</v>
      </c>
      <c r="B212" s="10"/>
      <c r="C212" s="14"/>
      <c r="D212" s="11"/>
      <c r="E212" s="11"/>
      <c r="F212" s="12">
        <f t="shared" si="3"/>
        <v>0</v>
      </c>
      <c r="G212" s="20"/>
      <c r="H212" s="20"/>
      <c r="I212" s="9"/>
      <c r="J212" s="9"/>
      <c r="K212" s="9"/>
    </row>
    <row r="213" spans="1:11" s="13" customFormat="1" ht="29.25" thickBot="1" x14ac:dyDescent="0.3">
      <c r="A213" s="19" t="s">
        <v>47</v>
      </c>
      <c r="B213" s="10"/>
      <c r="C213" s="14"/>
      <c r="D213" s="11"/>
      <c r="E213" s="11"/>
      <c r="F213" s="12">
        <f t="shared" si="3"/>
        <v>0</v>
      </c>
      <c r="G213" s="20"/>
      <c r="H213" s="20"/>
      <c r="I213" s="9"/>
      <c r="J213" s="9"/>
      <c r="K213" s="9"/>
    </row>
    <row r="214" spans="1:11" s="13" customFormat="1" ht="29.25" thickBot="1" x14ac:dyDescent="0.3">
      <c r="A214" s="19" t="s">
        <v>47</v>
      </c>
      <c r="B214" s="10"/>
      <c r="C214" s="14"/>
      <c r="D214" s="11"/>
      <c r="E214" s="11"/>
      <c r="F214" s="12">
        <f t="shared" si="3"/>
        <v>0</v>
      </c>
      <c r="G214" s="20"/>
      <c r="H214" s="20"/>
      <c r="I214" s="9"/>
      <c r="J214" s="9"/>
      <c r="K214" s="9"/>
    </row>
    <row r="215" spans="1:11" s="13" customFormat="1" ht="29.25" thickBot="1" x14ac:dyDescent="0.3">
      <c r="A215" s="19" t="s">
        <v>47</v>
      </c>
      <c r="B215" s="10"/>
      <c r="C215" s="14"/>
      <c r="D215" s="11"/>
      <c r="E215" s="11"/>
      <c r="F215" s="12">
        <f t="shared" si="3"/>
        <v>0</v>
      </c>
      <c r="G215" s="20"/>
      <c r="H215" s="20"/>
      <c r="I215" s="9"/>
      <c r="J215" s="9"/>
      <c r="K215" s="9"/>
    </row>
    <row r="216" spans="1:11" s="13" customFormat="1" ht="29.25" thickBot="1" x14ac:dyDescent="0.3">
      <c r="A216" s="19" t="s">
        <v>47</v>
      </c>
      <c r="B216" s="10"/>
      <c r="C216" s="14"/>
      <c r="D216" s="11"/>
      <c r="E216" s="11"/>
      <c r="F216" s="12">
        <f t="shared" si="3"/>
        <v>0</v>
      </c>
      <c r="G216" s="20"/>
      <c r="H216" s="20"/>
      <c r="I216" s="9"/>
      <c r="J216" s="9"/>
      <c r="K216" s="9"/>
    </row>
    <row r="217" spans="1:11" s="13" customFormat="1" ht="29.25" thickBot="1" x14ac:dyDescent="0.3">
      <c r="A217" s="19" t="s">
        <v>47</v>
      </c>
      <c r="B217" s="10"/>
      <c r="C217" s="14"/>
      <c r="D217" s="11"/>
      <c r="E217" s="11"/>
      <c r="F217" s="12">
        <f t="shared" si="3"/>
        <v>0</v>
      </c>
      <c r="G217" s="20"/>
      <c r="H217" s="20"/>
      <c r="I217" s="9"/>
      <c r="J217" s="9"/>
      <c r="K217" s="9"/>
    </row>
    <row r="218" spans="1:11" s="13" customFormat="1" ht="29.25" thickBot="1" x14ac:dyDescent="0.3">
      <c r="A218" s="19" t="s">
        <v>47</v>
      </c>
      <c r="B218" s="10"/>
      <c r="C218" s="14"/>
      <c r="D218" s="11"/>
      <c r="E218" s="11"/>
      <c r="F218" s="12">
        <f t="shared" si="3"/>
        <v>0</v>
      </c>
      <c r="G218" s="20"/>
      <c r="H218" s="20"/>
      <c r="I218" s="9"/>
      <c r="J218" s="9"/>
      <c r="K218" s="9"/>
    </row>
    <row r="219" spans="1:11" ht="29.25" thickBot="1" x14ac:dyDescent="0.25">
      <c r="A219" s="19" t="s">
        <v>47</v>
      </c>
      <c r="B219" s="10"/>
      <c r="C219" s="14"/>
      <c r="D219" s="11"/>
      <c r="E219" s="11"/>
      <c r="F219" s="12">
        <f t="shared" si="3"/>
        <v>0</v>
      </c>
      <c r="G219" s="20"/>
      <c r="H219" s="20"/>
      <c r="I219" s="9"/>
      <c r="J219" s="9"/>
      <c r="K219" s="9"/>
    </row>
    <row r="220" spans="1:11" ht="29.25" thickBot="1" x14ac:dyDescent="0.25">
      <c r="A220" s="19" t="s">
        <v>47</v>
      </c>
      <c r="B220" s="10"/>
      <c r="C220" s="14"/>
      <c r="D220" s="11"/>
      <c r="E220" s="11"/>
      <c r="F220" s="12">
        <f t="shared" si="3"/>
        <v>0</v>
      </c>
      <c r="G220" s="20"/>
      <c r="H220" s="20"/>
      <c r="I220" s="9"/>
      <c r="J220" s="9"/>
      <c r="K220" s="9"/>
    </row>
    <row r="221" spans="1:11" ht="29.25" thickBot="1" x14ac:dyDescent="0.25">
      <c r="A221" s="19" t="s">
        <v>47</v>
      </c>
      <c r="B221" s="10"/>
      <c r="C221" s="14"/>
      <c r="D221" s="11"/>
      <c r="E221" s="11"/>
      <c r="F221" s="12">
        <f t="shared" si="3"/>
        <v>0</v>
      </c>
      <c r="G221" s="20"/>
      <c r="H221" s="20"/>
      <c r="I221" s="9"/>
      <c r="J221" s="9"/>
      <c r="K221" s="9"/>
    </row>
    <row r="222" spans="1:11" ht="29.25" thickBot="1" x14ac:dyDescent="0.25">
      <c r="A222" s="19" t="s">
        <v>47</v>
      </c>
      <c r="B222" s="10"/>
      <c r="C222" s="14"/>
      <c r="D222" s="11"/>
      <c r="E222" s="11"/>
      <c r="F222" s="12">
        <f t="shared" si="3"/>
        <v>0</v>
      </c>
      <c r="G222" s="20"/>
      <c r="H222" s="20"/>
      <c r="I222" s="9"/>
      <c r="J222" s="9"/>
      <c r="K222" s="9"/>
    </row>
    <row r="223" spans="1:11" ht="29.25" thickBot="1" x14ac:dyDescent="0.25">
      <c r="A223" s="19" t="s">
        <v>47</v>
      </c>
      <c r="B223" s="10"/>
      <c r="C223" s="14"/>
      <c r="D223" s="11"/>
      <c r="E223" s="11"/>
      <c r="F223" s="12">
        <f t="shared" si="3"/>
        <v>0</v>
      </c>
      <c r="G223" s="20"/>
      <c r="H223" s="20"/>
      <c r="I223" s="9"/>
      <c r="J223" s="9"/>
      <c r="K223" s="9"/>
    </row>
    <row r="224" spans="1:11" ht="29.25" thickBot="1" x14ac:dyDescent="0.25">
      <c r="A224" s="19" t="s">
        <v>47</v>
      </c>
      <c r="B224" s="10"/>
      <c r="C224" s="14"/>
      <c r="D224" s="11"/>
      <c r="E224" s="11"/>
      <c r="F224" s="12">
        <f t="shared" si="3"/>
        <v>0</v>
      </c>
      <c r="G224" s="20"/>
      <c r="H224" s="20"/>
      <c r="I224" s="9"/>
      <c r="J224" s="9"/>
      <c r="K224" s="9"/>
    </row>
    <row r="225" spans="1:11" ht="29.25" thickBot="1" x14ac:dyDescent="0.25">
      <c r="A225" s="19" t="s">
        <v>47</v>
      </c>
      <c r="B225" s="10"/>
      <c r="C225" s="14"/>
      <c r="D225" s="11"/>
      <c r="E225" s="11"/>
      <c r="F225" s="12">
        <f t="shared" si="3"/>
        <v>0</v>
      </c>
      <c r="G225" s="20"/>
      <c r="H225" s="20"/>
      <c r="I225" s="9"/>
      <c r="J225" s="9"/>
      <c r="K225" s="9"/>
    </row>
    <row r="226" spans="1:11" ht="29.25" thickBot="1" x14ac:dyDescent="0.25">
      <c r="A226" s="19" t="s">
        <v>47</v>
      </c>
      <c r="B226" s="10"/>
      <c r="C226" s="14"/>
      <c r="D226" s="11"/>
      <c r="E226" s="11"/>
      <c r="F226" s="12">
        <f t="shared" si="3"/>
        <v>0</v>
      </c>
      <c r="G226" s="20"/>
      <c r="H226" s="20"/>
      <c r="I226" s="9"/>
      <c r="J226" s="9"/>
      <c r="K226" s="9"/>
    </row>
    <row r="227" spans="1:11" ht="29.25" thickBot="1" x14ac:dyDescent="0.25">
      <c r="A227" s="19" t="s">
        <v>47</v>
      </c>
      <c r="B227" s="10"/>
      <c r="C227" s="14"/>
      <c r="D227" s="11"/>
      <c r="E227" s="11"/>
      <c r="F227" s="12">
        <f t="shared" si="3"/>
        <v>0</v>
      </c>
      <c r="G227" s="20"/>
      <c r="H227" s="20"/>
      <c r="I227" s="9"/>
      <c r="J227" s="9"/>
      <c r="K227" s="9"/>
    </row>
    <row r="228" spans="1:11" ht="29.25" thickBot="1" x14ac:dyDescent="0.25">
      <c r="A228" s="19" t="s">
        <v>47</v>
      </c>
      <c r="B228" s="10"/>
      <c r="C228" s="14"/>
      <c r="D228" s="11"/>
      <c r="E228" s="11"/>
      <c r="F228" s="12">
        <f t="shared" si="3"/>
        <v>0</v>
      </c>
      <c r="G228" s="20"/>
      <c r="H228" s="20"/>
      <c r="I228" s="9"/>
      <c r="J228" s="9"/>
      <c r="K228" s="9"/>
    </row>
    <row r="229" spans="1:11" ht="29.25" thickBot="1" x14ac:dyDescent="0.25">
      <c r="A229" s="19" t="s">
        <v>47</v>
      </c>
      <c r="B229" s="10"/>
      <c r="C229" s="14"/>
      <c r="D229" s="11"/>
      <c r="E229" s="11"/>
      <c r="F229" s="12">
        <f t="shared" si="3"/>
        <v>0</v>
      </c>
      <c r="G229" s="20"/>
      <c r="H229" s="20"/>
      <c r="I229" s="9"/>
      <c r="J229" s="9"/>
      <c r="K229" s="9"/>
    </row>
    <row r="230" spans="1:11" ht="29.25" thickBot="1" x14ac:dyDescent="0.25">
      <c r="A230" s="19" t="s">
        <v>47</v>
      </c>
      <c r="B230" s="10"/>
      <c r="C230" s="14"/>
      <c r="D230" s="11"/>
      <c r="E230" s="11"/>
      <c r="F230" s="12">
        <f t="shared" si="3"/>
        <v>0</v>
      </c>
      <c r="G230" s="20"/>
      <c r="H230" s="20"/>
      <c r="I230" s="9"/>
      <c r="J230" s="9"/>
      <c r="K230" s="9"/>
    </row>
    <row r="231" spans="1:11" ht="29.25" thickBot="1" x14ac:dyDescent="0.25">
      <c r="A231" s="19" t="s">
        <v>47</v>
      </c>
      <c r="B231" s="10"/>
      <c r="C231" s="14"/>
      <c r="D231" s="11"/>
      <c r="E231" s="11"/>
      <c r="F231" s="12">
        <f t="shared" si="3"/>
        <v>0</v>
      </c>
      <c r="G231" s="20"/>
      <c r="H231" s="20"/>
      <c r="I231" s="9"/>
      <c r="J231" s="9"/>
      <c r="K231" s="9"/>
    </row>
    <row r="232" spans="1:11" ht="29.25" thickBot="1" x14ac:dyDescent="0.25">
      <c r="A232" s="19" t="s">
        <v>47</v>
      </c>
      <c r="B232" s="10"/>
      <c r="C232" s="14"/>
      <c r="D232" s="11"/>
      <c r="E232" s="11"/>
      <c r="F232" s="12">
        <f t="shared" si="3"/>
        <v>0</v>
      </c>
      <c r="G232" s="20"/>
      <c r="H232" s="20"/>
      <c r="I232" s="9"/>
      <c r="J232" s="9"/>
      <c r="K232" s="9"/>
    </row>
    <row r="233" spans="1:11" ht="29.25" thickBot="1" x14ac:dyDescent="0.25">
      <c r="A233" s="19" t="s">
        <v>47</v>
      </c>
      <c r="B233" s="10"/>
      <c r="C233" s="14"/>
      <c r="D233" s="11"/>
      <c r="E233" s="11"/>
      <c r="F233" s="12">
        <f t="shared" si="3"/>
        <v>0</v>
      </c>
      <c r="G233" s="20"/>
      <c r="H233" s="20"/>
      <c r="I233" s="9"/>
      <c r="J233" s="9"/>
      <c r="K233" s="9"/>
    </row>
    <row r="234" spans="1:11" ht="29.25" thickBot="1" x14ac:dyDescent="0.25">
      <c r="A234" s="19" t="s">
        <v>47</v>
      </c>
      <c r="B234" s="10"/>
      <c r="C234" s="14"/>
      <c r="D234" s="11"/>
      <c r="E234" s="11"/>
      <c r="F234" s="12">
        <f t="shared" si="3"/>
        <v>0</v>
      </c>
      <c r="G234" s="20"/>
      <c r="H234" s="20"/>
      <c r="I234" s="9"/>
      <c r="J234" s="9"/>
      <c r="K234" s="9"/>
    </row>
    <row r="235" spans="1:11" ht="29.25" thickBot="1" x14ac:dyDescent="0.25">
      <c r="A235" s="19" t="s">
        <v>47</v>
      </c>
      <c r="B235" s="10"/>
      <c r="C235" s="14"/>
      <c r="D235" s="11"/>
      <c r="E235" s="11"/>
      <c r="F235" s="12">
        <f t="shared" si="3"/>
        <v>0</v>
      </c>
      <c r="G235" s="20"/>
      <c r="H235" s="20"/>
      <c r="I235" s="9"/>
      <c r="J235" s="9"/>
      <c r="K235" s="9"/>
    </row>
    <row r="236" spans="1:11" ht="29.25" thickBot="1" x14ac:dyDescent="0.25">
      <c r="A236" s="19" t="s">
        <v>47</v>
      </c>
      <c r="B236" s="10"/>
      <c r="C236" s="14"/>
      <c r="D236" s="11"/>
      <c r="E236" s="11"/>
      <c r="F236" s="12">
        <f t="shared" si="3"/>
        <v>0</v>
      </c>
      <c r="G236" s="20"/>
      <c r="H236" s="20"/>
      <c r="I236" s="9"/>
      <c r="J236" s="9"/>
      <c r="K236" s="9"/>
    </row>
    <row r="237" spans="1:11" ht="29.25" thickBot="1" x14ac:dyDescent="0.25">
      <c r="A237" s="19" t="s">
        <v>47</v>
      </c>
      <c r="B237" s="10"/>
      <c r="C237" s="14"/>
      <c r="D237" s="11"/>
      <c r="E237" s="11"/>
      <c r="F237" s="12">
        <f t="shared" si="3"/>
        <v>0</v>
      </c>
      <c r="G237" s="20"/>
      <c r="H237" s="20"/>
      <c r="I237" s="9"/>
      <c r="J237" s="9"/>
      <c r="K237" s="9"/>
    </row>
    <row r="238" spans="1:11" ht="29.25" thickBot="1" x14ac:dyDescent="0.25">
      <c r="A238" s="19" t="s">
        <v>47</v>
      </c>
      <c r="B238" s="10"/>
      <c r="C238" s="14"/>
      <c r="D238" s="11"/>
      <c r="E238" s="11"/>
      <c r="F238" s="12">
        <f t="shared" si="3"/>
        <v>0</v>
      </c>
      <c r="G238" s="20"/>
      <c r="H238" s="20"/>
      <c r="I238" s="9"/>
      <c r="J238" s="9"/>
      <c r="K238" s="9"/>
    </row>
    <row r="239" spans="1:11" ht="29.25" thickBot="1" x14ac:dyDescent="0.25">
      <c r="A239" s="19" t="s">
        <v>47</v>
      </c>
      <c r="B239" s="10"/>
      <c r="C239" s="14"/>
      <c r="D239" s="11"/>
      <c r="E239" s="11"/>
      <c r="F239" s="12">
        <f t="shared" si="3"/>
        <v>0</v>
      </c>
      <c r="G239" s="20"/>
      <c r="H239" s="20"/>
      <c r="I239" s="9"/>
      <c r="J239" s="9"/>
      <c r="K239" s="9"/>
    </row>
    <row r="240" spans="1:11" ht="29.25" thickBot="1" x14ac:dyDescent="0.25">
      <c r="A240" s="19" t="s">
        <v>47</v>
      </c>
      <c r="B240" s="10"/>
      <c r="C240" s="14"/>
      <c r="D240" s="11"/>
      <c r="E240" s="11"/>
      <c r="F240" s="12">
        <f t="shared" si="3"/>
        <v>0</v>
      </c>
      <c r="G240" s="20"/>
      <c r="H240" s="20"/>
      <c r="I240" s="9"/>
      <c r="J240" s="9"/>
      <c r="K240" s="9"/>
    </row>
    <row r="241" spans="1:11" ht="29.25" thickBot="1" x14ac:dyDescent="0.25">
      <c r="A241" s="19" t="s">
        <v>47</v>
      </c>
      <c r="B241" s="10"/>
      <c r="C241" s="14"/>
      <c r="D241" s="11"/>
      <c r="E241" s="11"/>
      <c r="F241" s="12">
        <f t="shared" si="3"/>
        <v>0</v>
      </c>
      <c r="G241" s="20"/>
      <c r="H241" s="20"/>
      <c r="I241" s="9"/>
      <c r="J241" s="9"/>
      <c r="K241" s="9"/>
    </row>
    <row r="242" spans="1:11" ht="29.25" thickBot="1" x14ac:dyDescent="0.25">
      <c r="A242" s="19" t="s">
        <v>47</v>
      </c>
      <c r="B242" s="10"/>
      <c r="C242" s="14"/>
      <c r="D242" s="11"/>
      <c r="E242" s="11"/>
      <c r="F242" s="12">
        <f t="shared" si="3"/>
        <v>0</v>
      </c>
      <c r="G242" s="20"/>
      <c r="H242" s="20"/>
      <c r="I242" s="9"/>
      <c r="J242" s="9"/>
      <c r="K242" s="9"/>
    </row>
    <row r="243" spans="1:11" ht="29.25" thickBot="1" x14ac:dyDescent="0.25">
      <c r="A243" s="19" t="s">
        <v>47</v>
      </c>
      <c r="B243" s="10"/>
      <c r="C243" s="14"/>
      <c r="D243" s="11"/>
      <c r="E243" s="11"/>
      <c r="F243" s="12">
        <f t="shared" si="3"/>
        <v>0</v>
      </c>
      <c r="G243" s="20"/>
      <c r="H243" s="20"/>
      <c r="I243" s="9"/>
      <c r="J243" s="9"/>
      <c r="K243" s="9"/>
    </row>
    <row r="244" spans="1:11" ht="29.25" thickBot="1" x14ac:dyDescent="0.25">
      <c r="A244" s="19" t="s">
        <v>47</v>
      </c>
      <c r="B244" s="10"/>
      <c r="C244" s="14"/>
      <c r="D244" s="11"/>
      <c r="E244" s="11"/>
      <c r="F244" s="12">
        <f t="shared" si="3"/>
        <v>0</v>
      </c>
      <c r="G244" s="20"/>
      <c r="H244" s="20"/>
      <c r="I244" s="9"/>
      <c r="J244" s="9"/>
      <c r="K244" s="9"/>
    </row>
    <row r="245" spans="1:11" ht="29.25" thickBot="1" x14ac:dyDescent="0.25">
      <c r="A245" s="19" t="s">
        <v>47</v>
      </c>
      <c r="B245" s="10"/>
      <c r="C245" s="14"/>
      <c r="D245" s="11"/>
      <c r="E245" s="11"/>
      <c r="F245" s="12">
        <f t="shared" si="3"/>
        <v>0</v>
      </c>
      <c r="G245" s="20"/>
      <c r="H245" s="20"/>
      <c r="I245" s="9"/>
      <c r="J245" s="9"/>
      <c r="K245" s="9"/>
    </row>
    <row r="246" spans="1:11" ht="29.25" thickBot="1" x14ac:dyDescent="0.25">
      <c r="A246" s="19" t="s">
        <v>47</v>
      </c>
      <c r="B246" s="10"/>
      <c r="C246" s="14"/>
      <c r="D246" s="11"/>
      <c r="E246" s="11"/>
      <c r="F246" s="12">
        <f t="shared" si="3"/>
        <v>0</v>
      </c>
      <c r="G246" s="20"/>
      <c r="H246" s="20"/>
      <c r="I246" s="9"/>
      <c r="J246" s="9"/>
      <c r="K246" s="9"/>
    </row>
    <row r="247" spans="1:11" ht="29.25" thickBot="1" x14ac:dyDescent="0.25">
      <c r="A247" s="19" t="s">
        <v>47</v>
      </c>
      <c r="B247" s="10"/>
      <c r="C247" s="14"/>
      <c r="D247" s="11"/>
      <c r="E247" s="11"/>
      <c r="F247" s="12">
        <f t="shared" si="3"/>
        <v>0</v>
      </c>
      <c r="G247" s="20"/>
      <c r="H247" s="20"/>
      <c r="I247" s="9"/>
      <c r="J247" s="9"/>
      <c r="K247" s="9"/>
    </row>
    <row r="248" spans="1:11" ht="29.25" thickBot="1" x14ac:dyDescent="0.25">
      <c r="A248" s="19" t="s">
        <v>47</v>
      </c>
      <c r="B248" s="10"/>
      <c r="C248" s="14"/>
      <c r="D248" s="11"/>
      <c r="E248" s="11"/>
      <c r="F248" s="12">
        <f t="shared" si="3"/>
        <v>0</v>
      </c>
      <c r="G248" s="20"/>
      <c r="H248" s="20"/>
      <c r="I248" s="9"/>
      <c r="J248" s="9"/>
      <c r="K248" s="9"/>
    </row>
    <row r="249" spans="1:11" ht="29.25" thickBot="1" x14ac:dyDescent="0.25">
      <c r="A249" s="19" t="s">
        <v>47</v>
      </c>
      <c r="B249" s="10"/>
      <c r="C249" s="14"/>
      <c r="D249" s="11"/>
      <c r="E249" s="11"/>
      <c r="F249" s="12">
        <f t="shared" si="3"/>
        <v>0</v>
      </c>
      <c r="G249" s="20"/>
      <c r="H249" s="20"/>
      <c r="I249" s="9"/>
      <c r="J249" s="9"/>
      <c r="K249" s="9"/>
    </row>
    <row r="250" spans="1:11" ht="29.25" thickBot="1" x14ac:dyDescent="0.25">
      <c r="A250" s="19" t="s">
        <v>47</v>
      </c>
      <c r="B250" s="10"/>
      <c r="C250" s="14"/>
      <c r="D250" s="11"/>
      <c r="E250" s="11"/>
      <c r="F250" s="12">
        <f t="shared" si="3"/>
        <v>0</v>
      </c>
      <c r="G250" s="20"/>
      <c r="H250" s="20"/>
      <c r="I250" s="9"/>
      <c r="J250" s="9"/>
      <c r="K250" s="9"/>
    </row>
    <row r="251" spans="1:11" ht="29.25" thickBot="1" x14ac:dyDescent="0.25">
      <c r="A251" s="19" t="s">
        <v>47</v>
      </c>
      <c r="B251" s="10"/>
      <c r="C251" s="14"/>
      <c r="D251" s="11"/>
      <c r="E251" s="11"/>
      <c r="F251" s="12">
        <f t="shared" si="3"/>
        <v>0</v>
      </c>
      <c r="G251" s="20"/>
      <c r="H251" s="20"/>
      <c r="I251" s="9"/>
      <c r="J251" s="9"/>
      <c r="K251" s="9"/>
    </row>
    <row r="252" spans="1:11" ht="29.25" thickBot="1" x14ac:dyDescent="0.25">
      <c r="A252" s="19" t="s">
        <v>47</v>
      </c>
      <c r="B252" s="10"/>
      <c r="C252" s="14"/>
      <c r="D252" s="11"/>
      <c r="E252" s="11"/>
      <c r="F252" s="12">
        <f t="shared" si="3"/>
        <v>0</v>
      </c>
      <c r="G252" s="20"/>
      <c r="H252" s="20"/>
      <c r="I252" s="9"/>
      <c r="J252" s="9"/>
      <c r="K252" s="9"/>
    </row>
    <row r="253" spans="1:11" ht="29.25" thickBot="1" x14ac:dyDescent="0.25">
      <c r="A253" s="19" t="s">
        <v>47</v>
      </c>
      <c r="B253" s="10"/>
      <c r="C253" s="14"/>
      <c r="D253" s="11"/>
      <c r="E253" s="11"/>
      <c r="F253" s="12">
        <f t="shared" si="3"/>
        <v>0</v>
      </c>
      <c r="G253" s="20"/>
      <c r="H253" s="20"/>
      <c r="I253" s="9"/>
      <c r="J253" s="9"/>
      <c r="K253" s="9"/>
    </row>
    <row r="254" spans="1:11" ht="29.25" thickBot="1" x14ac:dyDescent="0.25">
      <c r="A254" s="19" t="s">
        <v>47</v>
      </c>
      <c r="B254" s="10"/>
      <c r="C254" s="14"/>
      <c r="D254" s="11"/>
      <c r="E254" s="11"/>
      <c r="F254" s="12">
        <f t="shared" si="3"/>
        <v>0</v>
      </c>
      <c r="G254" s="20"/>
      <c r="H254" s="20"/>
      <c r="I254" s="9"/>
      <c r="J254" s="9"/>
      <c r="K254" s="9"/>
    </row>
    <row r="255" spans="1:11" ht="29.25" thickBot="1" x14ac:dyDescent="0.25">
      <c r="A255" s="19" t="s">
        <v>47</v>
      </c>
      <c r="B255" s="10"/>
      <c r="C255" s="14"/>
      <c r="D255" s="11"/>
      <c r="E255" s="11"/>
      <c r="F255" s="12">
        <f t="shared" si="3"/>
        <v>0</v>
      </c>
      <c r="G255" s="20"/>
      <c r="H255" s="20"/>
      <c r="I255" s="9"/>
      <c r="J255" s="9"/>
      <c r="K255" s="9"/>
    </row>
    <row r="256" spans="1:11" ht="29.25" thickBot="1" x14ac:dyDescent="0.25">
      <c r="A256" s="19" t="s">
        <v>47</v>
      </c>
      <c r="B256" s="10"/>
      <c r="C256" s="14"/>
      <c r="D256" s="11"/>
      <c r="E256" s="11"/>
      <c r="F256" s="12">
        <f t="shared" si="3"/>
        <v>0</v>
      </c>
      <c r="G256" s="20"/>
      <c r="H256" s="20"/>
      <c r="I256" s="9"/>
      <c r="J256" s="9"/>
      <c r="K256" s="9"/>
    </row>
    <row r="257" spans="1:11" ht="29.25" thickBot="1" x14ac:dyDescent="0.25">
      <c r="A257" s="19" t="s">
        <v>47</v>
      </c>
      <c r="B257" s="10"/>
      <c r="C257" s="14"/>
      <c r="D257" s="11"/>
      <c r="E257" s="11"/>
      <c r="F257" s="12">
        <f t="shared" si="3"/>
        <v>0</v>
      </c>
      <c r="G257" s="20"/>
      <c r="H257" s="20"/>
      <c r="I257" s="9"/>
      <c r="J257" s="9"/>
      <c r="K257" s="9"/>
    </row>
    <row r="258" spans="1:11" s="7" customFormat="1" ht="29.25" thickBot="1" x14ac:dyDescent="0.25">
      <c r="A258" s="19" t="s">
        <v>47</v>
      </c>
      <c r="B258" s="10"/>
      <c r="C258" s="14"/>
      <c r="D258" s="11"/>
      <c r="E258" s="11"/>
      <c r="F258" s="12">
        <f t="shared" si="3"/>
        <v>0</v>
      </c>
      <c r="G258" s="20"/>
      <c r="H258" s="20"/>
      <c r="I258" s="9"/>
      <c r="J258" s="9"/>
      <c r="K258" s="9"/>
    </row>
    <row r="259" spans="1:11" s="7" customFormat="1" ht="29.25" thickBot="1" x14ac:dyDescent="0.25">
      <c r="A259" s="19" t="s">
        <v>47</v>
      </c>
      <c r="B259" s="10"/>
      <c r="C259" s="14"/>
      <c r="D259" s="11"/>
      <c r="E259" s="11"/>
      <c r="F259" s="12">
        <f t="shared" si="3"/>
        <v>0</v>
      </c>
      <c r="G259" s="20"/>
      <c r="H259" s="20"/>
      <c r="I259" s="9"/>
      <c r="J259" s="9"/>
      <c r="K259" s="9"/>
    </row>
    <row r="260" spans="1:11" s="7" customFormat="1" ht="29.25" thickBot="1" x14ac:dyDescent="0.25">
      <c r="A260" s="19" t="s">
        <v>47</v>
      </c>
      <c r="B260" s="10"/>
      <c r="C260" s="14"/>
      <c r="D260" s="11"/>
      <c r="E260" s="11"/>
      <c r="F260" s="12">
        <f t="shared" si="3"/>
        <v>0</v>
      </c>
      <c r="G260" s="20"/>
      <c r="H260" s="20"/>
      <c r="I260" s="9"/>
      <c r="J260" s="9"/>
      <c r="K260" s="9"/>
    </row>
    <row r="261" spans="1:11" s="7" customFormat="1" ht="29.25" thickBot="1" x14ac:dyDescent="0.25">
      <c r="A261" s="19" t="s">
        <v>47</v>
      </c>
      <c r="B261" s="10"/>
      <c r="C261" s="14"/>
      <c r="D261" s="11"/>
      <c r="E261" s="11"/>
      <c r="F261" s="12">
        <f t="shared" si="3"/>
        <v>0</v>
      </c>
      <c r="G261" s="20"/>
      <c r="H261" s="20"/>
      <c r="I261" s="9"/>
      <c r="J261" s="9"/>
      <c r="K261" s="9"/>
    </row>
    <row r="262" spans="1:11" s="7" customFormat="1" ht="29.25" thickBot="1" x14ac:dyDescent="0.25">
      <c r="A262" s="19" t="s">
        <v>47</v>
      </c>
      <c r="B262" s="10"/>
      <c r="C262" s="14"/>
      <c r="D262" s="11"/>
      <c r="E262" s="11"/>
      <c r="F262" s="12">
        <f t="shared" ref="F262:F298" si="4">+(E262-D262)*24</f>
        <v>0</v>
      </c>
      <c r="G262" s="20"/>
      <c r="H262" s="20"/>
      <c r="I262" s="9"/>
      <c r="J262" s="9"/>
      <c r="K262" s="9"/>
    </row>
    <row r="263" spans="1:11" s="7" customFormat="1" ht="29.25" thickBot="1" x14ac:dyDescent="0.25">
      <c r="A263" s="19" t="s">
        <v>47</v>
      </c>
      <c r="B263" s="10"/>
      <c r="C263" s="14"/>
      <c r="D263" s="11"/>
      <c r="E263" s="11"/>
      <c r="F263" s="12">
        <f t="shared" si="4"/>
        <v>0</v>
      </c>
      <c r="G263" s="20"/>
      <c r="H263" s="20"/>
      <c r="I263" s="9"/>
      <c r="J263" s="9"/>
      <c r="K263" s="9"/>
    </row>
    <row r="264" spans="1:11" s="7" customFormat="1" ht="29.25" thickBot="1" x14ac:dyDescent="0.25">
      <c r="A264" s="19" t="s">
        <v>47</v>
      </c>
      <c r="B264" s="10"/>
      <c r="C264" s="14"/>
      <c r="D264" s="11"/>
      <c r="E264" s="11"/>
      <c r="F264" s="12">
        <f t="shared" si="4"/>
        <v>0</v>
      </c>
      <c r="G264" s="20"/>
      <c r="H264" s="20"/>
      <c r="I264" s="9"/>
      <c r="J264" s="9"/>
      <c r="K264" s="9"/>
    </row>
    <row r="265" spans="1:11" s="7" customFormat="1" ht="29.25" thickBot="1" x14ac:dyDescent="0.25">
      <c r="A265" s="19" t="s">
        <v>47</v>
      </c>
      <c r="B265" s="10"/>
      <c r="C265" s="14"/>
      <c r="D265" s="11"/>
      <c r="E265" s="11"/>
      <c r="F265" s="12">
        <f t="shared" si="4"/>
        <v>0</v>
      </c>
      <c r="G265" s="20"/>
      <c r="H265" s="20"/>
      <c r="I265" s="9"/>
      <c r="J265" s="9"/>
      <c r="K265" s="9"/>
    </row>
    <row r="266" spans="1:11" s="7" customFormat="1" ht="29.25" thickBot="1" x14ac:dyDescent="0.25">
      <c r="A266" s="19" t="s">
        <v>47</v>
      </c>
      <c r="B266" s="10"/>
      <c r="C266" s="14"/>
      <c r="D266" s="11"/>
      <c r="E266" s="11"/>
      <c r="F266" s="12">
        <f t="shared" si="4"/>
        <v>0</v>
      </c>
      <c r="G266" s="20"/>
      <c r="H266" s="20"/>
      <c r="I266" s="9"/>
      <c r="J266" s="9"/>
      <c r="K266" s="9"/>
    </row>
    <row r="267" spans="1:11" s="7" customFormat="1" ht="29.25" thickBot="1" x14ac:dyDescent="0.25">
      <c r="A267" s="19" t="s">
        <v>47</v>
      </c>
      <c r="B267" s="10"/>
      <c r="C267" s="14"/>
      <c r="D267" s="11"/>
      <c r="E267" s="11"/>
      <c r="F267" s="12">
        <f t="shared" si="4"/>
        <v>0</v>
      </c>
      <c r="G267" s="20"/>
      <c r="H267" s="20"/>
      <c r="I267" s="9"/>
      <c r="J267" s="9"/>
      <c r="K267" s="9"/>
    </row>
    <row r="268" spans="1:11" s="7" customFormat="1" ht="29.25" thickBot="1" x14ac:dyDescent="0.25">
      <c r="A268" s="19" t="s">
        <v>47</v>
      </c>
      <c r="B268" s="10"/>
      <c r="C268" s="14"/>
      <c r="D268" s="11"/>
      <c r="E268" s="11"/>
      <c r="F268" s="12">
        <f t="shared" si="4"/>
        <v>0</v>
      </c>
      <c r="G268" s="20"/>
      <c r="H268" s="20"/>
      <c r="I268" s="9"/>
      <c r="J268" s="9"/>
      <c r="K268" s="9"/>
    </row>
    <row r="269" spans="1:11" s="7" customFormat="1" ht="29.25" thickBot="1" x14ac:dyDescent="0.25">
      <c r="A269" s="19" t="s">
        <v>47</v>
      </c>
      <c r="B269" s="10"/>
      <c r="C269" s="14"/>
      <c r="D269" s="11"/>
      <c r="E269" s="11"/>
      <c r="F269" s="12">
        <f t="shared" si="4"/>
        <v>0</v>
      </c>
      <c r="G269" s="20"/>
      <c r="H269" s="20"/>
      <c r="I269" s="9"/>
      <c r="J269" s="9"/>
      <c r="K269" s="9"/>
    </row>
    <row r="270" spans="1:11" s="7" customFormat="1" ht="29.25" thickBot="1" x14ac:dyDescent="0.25">
      <c r="A270" s="19" t="s">
        <v>47</v>
      </c>
      <c r="B270" s="10"/>
      <c r="C270" s="14"/>
      <c r="D270" s="11"/>
      <c r="E270" s="11"/>
      <c r="F270" s="12">
        <f t="shared" si="4"/>
        <v>0</v>
      </c>
      <c r="G270" s="20"/>
      <c r="H270" s="20"/>
      <c r="I270" s="9"/>
      <c r="J270" s="9"/>
      <c r="K270" s="9"/>
    </row>
    <row r="271" spans="1:11" s="7" customFormat="1" ht="29.25" thickBot="1" x14ac:dyDescent="0.25">
      <c r="A271" s="19" t="s">
        <v>47</v>
      </c>
      <c r="B271" s="10"/>
      <c r="C271" s="14"/>
      <c r="D271" s="11"/>
      <c r="E271" s="11"/>
      <c r="F271" s="12">
        <f t="shared" si="4"/>
        <v>0</v>
      </c>
      <c r="G271" s="20"/>
      <c r="H271" s="20"/>
      <c r="I271" s="9"/>
      <c r="J271" s="9"/>
      <c r="K271" s="9"/>
    </row>
    <row r="272" spans="1:11" s="7" customFormat="1" ht="29.25" thickBot="1" x14ac:dyDescent="0.25">
      <c r="A272" s="19" t="s">
        <v>47</v>
      </c>
      <c r="B272" s="10"/>
      <c r="C272" s="14"/>
      <c r="D272" s="11"/>
      <c r="E272" s="11"/>
      <c r="F272" s="12">
        <f t="shared" si="4"/>
        <v>0</v>
      </c>
      <c r="G272" s="20"/>
      <c r="H272" s="20"/>
      <c r="I272" s="9"/>
      <c r="J272" s="9"/>
      <c r="K272" s="9"/>
    </row>
    <row r="273" spans="1:11" s="7" customFormat="1" ht="29.25" thickBot="1" x14ac:dyDescent="0.25">
      <c r="A273" s="19" t="s">
        <v>47</v>
      </c>
      <c r="B273" s="10"/>
      <c r="C273" s="14"/>
      <c r="D273" s="11"/>
      <c r="E273" s="11"/>
      <c r="F273" s="12">
        <f t="shared" si="4"/>
        <v>0</v>
      </c>
      <c r="G273" s="20"/>
      <c r="H273" s="20"/>
      <c r="I273" s="9"/>
      <c r="J273" s="9"/>
      <c r="K273" s="9"/>
    </row>
    <row r="274" spans="1:11" s="7" customFormat="1" ht="29.25" thickBot="1" x14ac:dyDescent="0.25">
      <c r="A274" s="19" t="s">
        <v>47</v>
      </c>
      <c r="B274" s="10"/>
      <c r="C274" s="14"/>
      <c r="D274" s="11"/>
      <c r="E274" s="11"/>
      <c r="F274" s="12">
        <f t="shared" si="4"/>
        <v>0</v>
      </c>
      <c r="G274" s="20"/>
      <c r="H274" s="20"/>
      <c r="I274" s="9"/>
      <c r="J274" s="9"/>
      <c r="K274" s="9"/>
    </row>
    <row r="275" spans="1:11" s="7" customFormat="1" ht="29.25" thickBot="1" x14ac:dyDescent="0.25">
      <c r="A275" s="19" t="s">
        <v>47</v>
      </c>
      <c r="B275" s="10"/>
      <c r="C275" s="14"/>
      <c r="D275" s="11"/>
      <c r="E275" s="11"/>
      <c r="F275" s="12">
        <f t="shared" si="4"/>
        <v>0</v>
      </c>
      <c r="G275" s="20"/>
      <c r="H275" s="20"/>
      <c r="I275" s="9"/>
      <c r="J275" s="9"/>
      <c r="K275" s="9"/>
    </row>
    <row r="276" spans="1:11" s="7" customFormat="1" ht="29.25" thickBot="1" x14ac:dyDescent="0.25">
      <c r="A276" s="19" t="s">
        <v>47</v>
      </c>
      <c r="B276" s="10"/>
      <c r="C276" s="14"/>
      <c r="D276" s="11"/>
      <c r="E276" s="11"/>
      <c r="F276" s="12">
        <f t="shared" si="4"/>
        <v>0</v>
      </c>
      <c r="G276" s="20"/>
      <c r="H276" s="20"/>
      <c r="I276" s="9"/>
      <c r="J276" s="9"/>
      <c r="K276" s="9"/>
    </row>
    <row r="277" spans="1:11" s="7" customFormat="1" ht="29.25" thickBot="1" x14ac:dyDescent="0.25">
      <c r="A277" s="19" t="s">
        <v>47</v>
      </c>
      <c r="B277" s="10"/>
      <c r="C277" s="14"/>
      <c r="D277" s="11"/>
      <c r="E277" s="11"/>
      <c r="F277" s="12">
        <f t="shared" si="4"/>
        <v>0</v>
      </c>
      <c r="G277" s="20"/>
      <c r="H277" s="20"/>
      <c r="I277" s="9"/>
      <c r="J277" s="9"/>
      <c r="K277" s="9"/>
    </row>
    <row r="278" spans="1:11" s="7" customFormat="1" ht="29.25" thickBot="1" x14ac:dyDescent="0.25">
      <c r="A278" s="19" t="s">
        <v>47</v>
      </c>
      <c r="B278" s="10"/>
      <c r="C278" s="14"/>
      <c r="D278" s="11"/>
      <c r="E278" s="11"/>
      <c r="F278" s="12">
        <f t="shared" si="4"/>
        <v>0</v>
      </c>
      <c r="G278" s="20"/>
      <c r="H278" s="20"/>
      <c r="I278" s="9"/>
      <c r="J278" s="9"/>
      <c r="K278" s="9"/>
    </row>
    <row r="279" spans="1:11" s="7" customFormat="1" ht="29.25" thickBot="1" x14ac:dyDescent="0.25">
      <c r="A279" s="19" t="s">
        <v>47</v>
      </c>
      <c r="B279" s="10"/>
      <c r="C279" s="14"/>
      <c r="D279" s="11"/>
      <c r="E279" s="11"/>
      <c r="F279" s="12">
        <f t="shared" si="4"/>
        <v>0</v>
      </c>
      <c r="G279" s="20"/>
      <c r="H279" s="20"/>
      <c r="I279" s="9"/>
      <c r="J279" s="9"/>
      <c r="K279" s="9"/>
    </row>
    <row r="280" spans="1:11" s="7" customFormat="1" ht="29.25" thickBot="1" x14ac:dyDescent="0.25">
      <c r="A280" s="19" t="s">
        <v>47</v>
      </c>
      <c r="B280" s="10"/>
      <c r="C280" s="14"/>
      <c r="D280" s="11"/>
      <c r="E280" s="11"/>
      <c r="F280" s="12">
        <f t="shared" si="4"/>
        <v>0</v>
      </c>
      <c r="G280" s="20"/>
      <c r="H280" s="20"/>
      <c r="I280" s="9"/>
      <c r="J280" s="9"/>
      <c r="K280" s="9"/>
    </row>
    <row r="281" spans="1:11" s="7" customFormat="1" ht="29.25" thickBot="1" x14ac:dyDescent="0.25">
      <c r="A281" s="19" t="s">
        <v>47</v>
      </c>
      <c r="B281" s="10"/>
      <c r="C281" s="14"/>
      <c r="D281" s="11"/>
      <c r="E281" s="11"/>
      <c r="F281" s="12">
        <f t="shared" si="4"/>
        <v>0</v>
      </c>
      <c r="G281" s="20"/>
      <c r="H281" s="20"/>
      <c r="I281" s="9"/>
      <c r="J281" s="9"/>
      <c r="K281" s="9"/>
    </row>
    <row r="282" spans="1:11" s="7" customFormat="1" ht="29.25" thickBot="1" x14ac:dyDescent="0.25">
      <c r="A282" s="19" t="s">
        <v>47</v>
      </c>
      <c r="B282" s="10"/>
      <c r="C282" s="14"/>
      <c r="D282" s="11"/>
      <c r="E282" s="11"/>
      <c r="F282" s="12">
        <f t="shared" si="4"/>
        <v>0</v>
      </c>
      <c r="G282" s="20"/>
      <c r="H282" s="20"/>
      <c r="I282" s="9"/>
      <c r="J282" s="9"/>
      <c r="K282" s="9"/>
    </row>
    <row r="283" spans="1:11" s="7" customFormat="1" ht="29.25" thickBot="1" x14ac:dyDescent="0.25">
      <c r="A283" s="19" t="s">
        <v>47</v>
      </c>
      <c r="B283" s="10"/>
      <c r="C283" s="14"/>
      <c r="D283" s="11"/>
      <c r="E283" s="11"/>
      <c r="F283" s="12">
        <f t="shared" si="4"/>
        <v>0</v>
      </c>
      <c r="G283" s="20"/>
      <c r="H283" s="20"/>
      <c r="I283" s="9"/>
      <c r="J283" s="9"/>
      <c r="K283" s="9"/>
    </row>
    <row r="284" spans="1:11" s="7" customFormat="1" ht="29.25" thickBot="1" x14ac:dyDescent="0.25">
      <c r="A284" s="19" t="s">
        <v>47</v>
      </c>
      <c r="B284" s="10"/>
      <c r="C284" s="14"/>
      <c r="D284" s="11"/>
      <c r="E284" s="11"/>
      <c r="F284" s="12">
        <f t="shared" si="4"/>
        <v>0</v>
      </c>
      <c r="G284" s="20"/>
      <c r="H284" s="20"/>
      <c r="I284" s="9"/>
      <c r="J284" s="9"/>
      <c r="K284" s="9"/>
    </row>
    <row r="285" spans="1:11" s="7" customFormat="1" ht="29.25" thickBot="1" x14ac:dyDescent="0.25">
      <c r="A285" s="19" t="s">
        <v>47</v>
      </c>
      <c r="B285" s="10"/>
      <c r="C285" s="14"/>
      <c r="D285" s="11"/>
      <c r="E285" s="11"/>
      <c r="F285" s="12">
        <f t="shared" si="4"/>
        <v>0</v>
      </c>
      <c r="G285" s="20"/>
      <c r="H285" s="20"/>
      <c r="I285" s="9"/>
      <c r="J285" s="9"/>
      <c r="K285" s="9"/>
    </row>
    <row r="286" spans="1:11" s="7" customFormat="1" ht="29.25" thickBot="1" x14ac:dyDescent="0.25">
      <c r="A286" s="19" t="s">
        <v>47</v>
      </c>
      <c r="B286" s="10"/>
      <c r="C286" s="14"/>
      <c r="D286" s="11"/>
      <c r="E286" s="11"/>
      <c r="F286" s="12">
        <f t="shared" si="4"/>
        <v>0</v>
      </c>
      <c r="G286" s="20"/>
      <c r="H286" s="20"/>
      <c r="I286" s="9"/>
      <c r="J286" s="9"/>
      <c r="K286" s="9"/>
    </row>
    <row r="287" spans="1:11" s="7" customFormat="1" ht="29.25" thickBot="1" x14ac:dyDescent="0.25">
      <c r="A287" s="19" t="s">
        <v>47</v>
      </c>
      <c r="B287" s="10"/>
      <c r="C287" s="14"/>
      <c r="D287" s="11"/>
      <c r="E287" s="11"/>
      <c r="F287" s="12">
        <f t="shared" si="4"/>
        <v>0</v>
      </c>
      <c r="G287" s="20"/>
      <c r="H287" s="20"/>
      <c r="I287" s="9"/>
      <c r="J287" s="9"/>
      <c r="K287" s="9"/>
    </row>
    <row r="288" spans="1:11" s="7" customFormat="1" ht="29.25" thickBot="1" x14ac:dyDescent="0.25">
      <c r="A288" s="19" t="s">
        <v>47</v>
      </c>
      <c r="B288" s="10"/>
      <c r="C288" s="14"/>
      <c r="D288" s="11"/>
      <c r="E288" s="11"/>
      <c r="F288" s="12">
        <f t="shared" si="4"/>
        <v>0</v>
      </c>
      <c r="G288" s="20"/>
      <c r="H288" s="20"/>
      <c r="I288" s="9"/>
      <c r="J288" s="9"/>
      <c r="K288" s="9"/>
    </row>
    <row r="289" spans="1:11" s="7" customFormat="1" ht="29.25" thickBot="1" x14ac:dyDescent="0.25">
      <c r="A289" s="19" t="s">
        <v>47</v>
      </c>
      <c r="B289" s="10"/>
      <c r="C289" s="14"/>
      <c r="D289" s="11"/>
      <c r="E289" s="11"/>
      <c r="F289" s="12">
        <f t="shared" si="4"/>
        <v>0</v>
      </c>
      <c r="G289" s="20"/>
      <c r="H289" s="20"/>
      <c r="I289" s="9"/>
      <c r="J289" s="9"/>
      <c r="K289" s="9"/>
    </row>
    <row r="290" spans="1:11" s="7" customFormat="1" ht="29.25" thickBot="1" x14ac:dyDescent="0.25">
      <c r="A290" s="19" t="s">
        <v>47</v>
      </c>
      <c r="B290" s="10"/>
      <c r="C290" s="14"/>
      <c r="D290" s="11"/>
      <c r="E290" s="11"/>
      <c r="F290" s="12">
        <f t="shared" si="4"/>
        <v>0</v>
      </c>
      <c r="G290" s="20"/>
      <c r="H290" s="20"/>
      <c r="I290" s="9"/>
      <c r="J290" s="9"/>
      <c r="K290" s="9"/>
    </row>
    <row r="291" spans="1:11" s="7" customFormat="1" ht="29.25" thickBot="1" x14ac:dyDescent="0.25">
      <c r="A291" s="19" t="s">
        <v>47</v>
      </c>
      <c r="B291" s="10"/>
      <c r="C291" s="14"/>
      <c r="D291" s="11"/>
      <c r="E291" s="11"/>
      <c r="F291" s="12">
        <f t="shared" si="4"/>
        <v>0</v>
      </c>
      <c r="G291" s="20"/>
      <c r="H291" s="20"/>
      <c r="I291" s="9"/>
      <c r="J291" s="9"/>
      <c r="K291" s="9"/>
    </row>
    <row r="292" spans="1:11" s="7" customFormat="1" ht="29.25" thickBot="1" x14ac:dyDescent="0.25">
      <c r="A292" s="19" t="s">
        <v>47</v>
      </c>
      <c r="B292" s="10"/>
      <c r="C292" s="14"/>
      <c r="D292" s="11"/>
      <c r="E292" s="11"/>
      <c r="F292" s="12">
        <f t="shared" si="4"/>
        <v>0</v>
      </c>
      <c r="G292" s="20"/>
      <c r="H292" s="20"/>
      <c r="I292" s="9"/>
      <c r="J292" s="9"/>
      <c r="K292" s="9"/>
    </row>
    <row r="293" spans="1:11" s="7" customFormat="1" ht="29.25" thickBot="1" x14ac:dyDescent="0.25">
      <c r="A293" s="19" t="s">
        <v>47</v>
      </c>
      <c r="B293" s="10"/>
      <c r="C293" s="14"/>
      <c r="D293" s="11"/>
      <c r="E293" s="11"/>
      <c r="F293" s="12">
        <f t="shared" si="4"/>
        <v>0</v>
      </c>
      <c r="G293" s="20"/>
      <c r="H293" s="20"/>
      <c r="I293" s="9"/>
      <c r="J293" s="9"/>
      <c r="K293" s="9"/>
    </row>
    <row r="294" spans="1:11" s="7" customFormat="1" ht="29.25" thickBot="1" x14ac:dyDescent="0.25">
      <c r="A294" s="19" t="s">
        <v>47</v>
      </c>
      <c r="B294" s="10"/>
      <c r="C294" s="14"/>
      <c r="D294" s="11"/>
      <c r="E294" s="11"/>
      <c r="F294" s="12">
        <f t="shared" si="4"/>
        <v>0</v>
      </c>
      <c r="G294" s="20"/>
      <c r="H294" s="20"/>
      <c r="I294" s="9"/>
      <c r="J294" s="9"/>
      <c r="K294" s="9"/>
    </row>
    <row r="295" spans="1:11" s="7" customFormat="1" ht="29.25" thickBot="1" x14ac:dyDescent="0.25">
      <c r="A295" s="19" t="s">
        <v>47</v>
      </c>
      <c r="B295" s="10"/>
      <c r="C295" s="14"/>
      <c r="D295" s="11"/>
      <c r="E295" s="11"/>
      <c r="F295" s="12">
        <f t="shared" si="4"/>
        <v>0</v>
      </c>
      <c r="G295" s="20"/>
      <c r="H295" s="20"/>
      <c r="I295" s="9"/>
      <c r="J295" s="9"/>
      <c r="K295" s="9"/>
    </row>
    <row r="296" spans="1:11" s="7" customFormat="1" ht="29.25" thickBot="1" x14ac:dyDescent="0.25">
      <c r="A296" s="19" t="s">
        <v>47</v>
      </c>
      <c r="B296" s="10"/>
      <c r="C296" s="14"/>
      <c r="D296" s="11"/>
      <c r="E296" s="11"/>
      <c r="F296" s="12">
        <f t="shared" si="4"/>
        <v>0</v>
      </c>
      <c r="G296" s="20"/>
      <c r="H296" s="20"/>
      <c r="I296" s="9"/>
      <c r="J296" s="9"/>
      <c r="K296" s="9"/>
    </row>
    <row r="297" spans="1:11" s="7" customFormat="1" ht="29.25" thickBot="1" x14ac:dyDescent="0.25">
      <c r="A297" s="19" t="s">
        <v>47</v>
      </c>
      <c r="B297" s="10"/>
      <c r="C297" s="14"/>
      <c r="D297" s="11"/>
      <c r="E297" s="11"/>
      <c r="F297" s="12">
        <f t="shared" si="4"/>
        <v>0</v>
      </c>
      <c r="G297" s="20"/>
      <c r="H297" s="20"/>
      <c r="I297" s="9"/>
      <c r="J297" s="9"/>
      <c r="K297" s="9"/>
    </row>
    <row r="298" spans="1:11" s="7" customFormat="1" ht="29.25" thickBot="1" x14ac:dyDescent="0.25">
      <c r="A298" s="19" t="s">
        <v>47</v>
      </c>
      <c r="B298" s="10"/>
      <c r="C298" s="14"/>
      <c r="D298" s="11"/>
      <c r="E298" s="11"/>
      <c r="F298" s="12">
        <f t="shared" si="4"/>
        <v>0</v>
      </c>
      <c r="G298" s="20"/>
      <c r="H298" s="20"/>
      <c r="I298" s="9"/>
      <c r="J298" s="9"/>
      <c r="K298" s="9"/>
    </row>
    <row r="299" spans="1:11" s="7" customFormat="1" ht="15" thickBot="1" x14ac:dyDescent="0.25">
      <c r="A299" s="19"/>
      <c r="B299" s="10"/>
      <c r="C299" s="14"/>
      <c r="D299" s="11"/>
      <c r="E299" s="11"/>
      <c r="F299" s="12"/>
      <c r="G299" s="9"/>
      <c r="H299" s="20"/>
      <c r="I299" s="9"/>
      <c r="J299" s="9"/>
      <c r="K299" s="9"/>
    </row>
    <row r="300" spans="1:11" s="7" customFormat="1" ht="15" thickBot="1" x14ac:dyDescent="0.25">
      <c r="A300" s="9"/>
      <c r="B300" s="9"/>
      <c r="C300" s="9"/>
      <c r="D300" s="9"/>
      <c r="E300" s="9"/>
      <c r="F300" s="9">
        <f>SUBTOTAL(9,$F$2:$F$299)</f>
        <v>96</v>
      </c>
      <c r="G300" s="9" t="s">
        <v>11</v>
      </c>
      <c r="H300" s="9"/>
      <c r="I300" s="9"/>
      <c r="J300" s="9"/>
      <c r="K300" s="9"/>
    </row>
    <row r="301" spans="1:11" s="7" customFormat="1" ht="15" thickBot="1" x14ac:dyDescent="0.25">
      <c r="A301" s="9"/>
      <c r="B301" s="9"/>
      <c r="C301" s="9"/>
      <c r="D301" s="9"/>
      <c r="E301" s="9"/>
      <c r="F301" s="9">
        <v>0</v>
      </c>
      <c r="G301" s="9" t="s">
        <v>19</v>
      </c>
      <c r="H301" s="9"/>
      <c r="I301" s="9"/>
      <c r="J301" s="9"/>
      <c r="K301" s="9"/>
    </row>
    <row r="302" spans="1:11" s="7" customFormat="1" ht="15" thickBot="1" x14ac:dyDescent="0.25">
      <c r="A302" s="9"/>
      <c r="B302" s="9"/>
      <c r="C302" s="9"/>
      <c r="D302" s="9"/>
      <c r="E302" s="9"/>
      <c r="F302" s="9">
        <v>0</v>
      </c>
      <c r="G302" s="9" t="s">
        <v>20</v>
      </c>
      <c r="H302" s="9"/>
      <c r="I302" s="9"/>
      <c r="J302" s="9"/>
      <c r="K302" s="9"/>
    </row>
    <row r="303" spans="1:11" s="7" customFormat="1" ht="15" thickBot="1" x14ac:dyDescent="0.25">
      <c r="A303" s="9"/>
      <c r="B303" s="9"/>
      <c r="C303" s="9"/>
      <c r="D303" s="9"/>
      <c r="E303" s="9"/>
      <c r="F303" s="9">
        <v>0</v>
      </c>
      <c r="G303" s="9" t="s">
        <v>22</v>
      </c>
      <c r="H303" s="9"/>
      <c r="I303" s="9"/>
      <c r="J303" s="9"/>
      <c r="K303" s="9"/>
    </row>
    <row r="304" spans="1:11" s="7" customFormat="1" ht="15" thickBot="1" x14ac:dyDescent="0.25">
      <c r="A304" s="9"/>
      <c r="B304" s="9"/>
      <c r="C304" s="9"/>
      <c r="D304" s="9"/>
      <c r="E304" s="9"/>
      <c r="F304" s="9">
        <v>0</v>
      </c>
      <c r="G304" s="9" t="s">
        <v>45</v>
      </c>
      <c r="H304" s="9"/>
      <c r="I304" s="9"/>
      <c r="J304" s="9"/>
      <c r="K304" s="9"/>
    </row>
    <row r="305" spans="1:11" s="7" customFormat="1" ht="15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s="7" customFormat="1" ht="15" thickBot="1" x14ac:dyDescent="0.25">
      <c r="A306" s="9"/>
      <c r="B306" s="9"/>
      <c r="C306" s="9"/>
      <c r="D306" s="9"/>
      <c r="E306" s="9"/>
      <c r="F306" s="9">
        <f>SUBTOTAL(9,F301:F304)</f>
        <v>0</v>
      </c>
      <c r="G306" s="9" t="s">
        <v>12</v>
      </c>
      <c r="H306" s="9"/>
      <c r="I306" s="9"/>
      <c r="J306" s="9"/>
      <c r="K306" s="9"/>
    </row>
    <row r="307" spans="1:11" s="7" customFormat="1" ht="15" thickBot="1" x14ac:dyDescent="0.25">
      <c r="A307" s="9"/>
      <c r="B307" s="9"/>
      <c r="C307" s="9"/>
      <c r="D307" s="9"/>
      <c r="E307" s="9"/>
      <c r="F307" s="9">
        <f>F306/8</f>
        <v>0</v>
      </c>
      <c r="G307" s="9" t="s">
        <v>13</v>
      </c>
      <c r="H307" s="9"/>
      <c r="I307" s="9"/>
      <c r="J307" s="9"/>
      <c r="K307" s="9"/>
    </row>
    <row r="308" spans="1:11" s="7" customFormat="1" ht="15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s="7" customFormat="1" ht="15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s="7" customFormat="1" ht="15" thickBot="1" x14ac:dyDescent="0.25">
      <c r="A310" s="9"/>
      <c r="B310" s="9"/>
      <c r="C310" s="9"/>
      <c r="D310" s="9"/>
      <c r="E310" s="9"/>
      <c r="F310" s="9">
        <v>0</v>
      </c>
      <c r="G310" s="9" t="s">
        <v>74</v>
      </c>
      <c r="H310" s="9"/>
      <c r="I310" s="9"/>
      <c r="J310" s="9"/>
      <c r="K310" s="9"/>
    </row>
    <row r="311" spans="1:11" s="7" customFormat="1" ht="15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s="7" customFormat="1" ht="15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s="7" customFormat="1" ht="15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s="7" customFormat="1" ht="15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s="7" customFormat="1" ht="15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s="7" customFormat="1" ht="15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s="7" customFormat="1" ht="15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s="7" customFormat="1" ht="15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s="7" customFormat="1" ht="15" thickBo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s="7" customFormat="1" ht="15" thickBo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s="7" customFormat="1" ht="15" thickBo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s="7" customFormat="1" ht="15" thickBo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s="7" customFormat="1" ht="15" thickBo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s="7" customFormat="1" ht="15" thickBo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s="7" customFormat="1" ht="15" thickBo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s="7" customFormat="1" ht="15" thickBo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s="7" customFormat="1" ht="15" thickBo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s="7" customFormat="1" ht="15" thickBo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s="7" customFormat="1" ht="15" thickBo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s="7" customFormat="1" ht="15" thickBo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s="7" customFormat="1" ht="15" thickBo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s="7" customFormat="1" ht="15" thickBo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s="7" customFormat="1" ht="15" thickBo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s="7" customFormat="1" ht="15" thickBo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s="7" customFormat="1" ht="15" thickBo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s="7" customFormat="1" ht="15" thickBo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s="7" customFormat="1" ht="15" thickBo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s="7" customFormat="1" ht="15" thickBo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s="7" customFormat="1" ht="15" thickBo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s="7" customFormat="1" ht="15" thickBo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s="7" customFormat="1" ht="15" thickBo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s="7" customFormat="1" ht="15" thickBo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s="7" customFormat="1" ht="15" thickBo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s="7" customFormat="1" ht="15" thickBo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s="7" customFormat="1" ht="15" thickBo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s="7" customFormat="1" ht="15" thickBo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s="7" customFormat="1" ht="15" thickBo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s="7" customFormat="1" ht="15" thickBo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s="7" customFormat="1" ht="15" thickBo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s="7" customFormat="1" ht="15" thickBo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s="7" customFormat="1" x14ac:dyDescent="0.2">
      <c r="B351" s="5"/>
      <c r="C351" s="5"/>
      <c r="D351" s="5"/>
      <c r="E351" s="5"/>
      <c r="F351" s="5"/>
      <c r="I351" s="5"/>
      <c r="J351" s="5"/>
    </row>
    <row r="352" spans="1:11" s="7" customFormat="1" x14ac:dyDescent="0.2">
      <c r="B352" s="5"/>
      <c r="C352" s="5"/>
      <c r="D352" s="5"/>
      <c r="E352" s="5"/>
      <c r="F352" s="5"/>
      <c r="I352" s="5"/>
      <c r="J352" s="5"/>
    </row>
    <row r="353" spans="2:10" s="7" customFormat="1" x14ac:dyDescent="0.2">
      <c r="B353" s="5"/>
      <c r="C353" s="5"/>
      <c r="D353" s="5"/>
      <c r="E353" s="5"/>
      <c r="F353" s="5"/>
      <c r="I353" s="5"/>
      <c r="J353" s="5"/>
    </row>
    <row r="354" spans="2:10" s="7" customFormat="1" x14ac:dyDescent="0.2">
      <c r="B354" s="5"/>
      <c r="C354" s="5"/>
      <c r="D354" s="5"/>
      <c r="E354" s="5"/>
      <c r="F354" s="5"/>
      <c r="I354" s="5"/>
      <c r="J354" s="5"/>
    </row>
    <row r="355" spans="2:10" s="7" customFormat="1" x14ac:dyDescent="0.2">
      <c r="B355" s="5"/>
      <c r="C355" s="5"/>
      <c r="D355" s="5"/>
      <c r="E355" s="5"/>
      <c r="F355" s="5"/>
      <c r="I355" s="5"/>
      <c r="J355" s="5"/>
    </row>
    <row r="356" spans="2:10" s="7" customFormat="1" x14ac:dyDescent="0.2">
      <c r="B356" s="5"/>
      <c r="C356" s="5"/>
      <c r="D356" s="5"/>
      <c r="E356" s="5"/>
      <c r="F356" s="5"/>
      <c r="I356" s="5"/>
      <c r="J356" s="5"/>
    </row>
    <row r="357" spans="2:10" s="7" customFormat="1" x14ac:dyDescent="0.2">
      <c r="B357" s="5"/>
      <c r="C357" s="5"/>
      <c r="D357" s="5"/>
      <c r="E357" s="5"/>
      <c r="F357" s="5"/>
      <c r="I357" s="5"/>
      <c r="J357" s="5"/>
    </row>
    <row r="358" spans="2:10" s="7" customFormat="1" x14ac:dyDescent="0.2">
      <c r="B358" s="5"/>
      <c r="C358" s="5"/>
      <c r="D358" s="5"/>
      <c r="E358" s="5"/>
      <c r="F358" s="5"/>
      <c r="I358" s="5"/>
      <c r="J358" s="5"/>
    </row>
    <row r="359" spans="2:10" s="7" customFormat="1" x14ac:dyDescent="0.2">
      <c r="B359" s="5"/>
      <c r="C359" s="5"/>
      <c r="D359" s="5"/>
      <c r="E359" s="5"/>
      <c r="F359" s="5"/>
      <c r="I359" s="5"/>
      <c r="J359" s="5"/>
    </row>
    <row r="360" spans="2:10" s="7" customFormat="1" x14ac:dyDescent="0.2">
      <c r="B360" s="5"/>
      <c r="C360" s="5"/>
      <c r="D360" s="5"/>
      <c r="E360" s="5"/>
      <c r="F360" s="5"/>
      <c r="I360" s="5"/>
      <c r="J360" s="5"/>
    </row>
    <row r="361" spans="2:10" s="7" customFormat="1" x14ac:dyDescent="0.2">
      <c r="B361" s="5"/>
      <c r="C361" s="5"/>
      <c r="D361" s="5"/>
      <c r="E361" s="5"/>
      <c r="F361" s="5"/>
      <c r="I361" s="5"/>
      <c r="J361" s="5"/>
    </row>
    <row r="362" spans="2:10" s="7" customFormat="1" x14ac:dyDescent="0.2">
      <c r="B362" s="5"/>
      <c r="C362" s="5"/>
      <c r="D362" s="5"/>
      <c r="E362" s="5"/>
      <c r="F362" s="5"/>
      <c r="I362" s="5"/>
      <c r="J362" s="5"/>
    </row>
    <row r="363" spans="2:10" s="7" customFormat="1" x14ac:dyDescent="0.2">
      <c r="B363" s="5"/>
      <c r="C363" s="5"/>
      <c r="D363" s="5"/>
      <c r="E363" s="5"/>
      <c r="F363" s="5"/>
      <c r="I363" s="5"/>
      <c r="J363" s="5"/>
    </row>
    <row r="364" spans="2:10" s="7" customFormat="1" x14ac:dyDescent="0.2">
      <c r="B364" s="5"/>
      <c r="C364" s="5"/>
      <c r="D364" s="5"/>
      <c r="E364" s="5"/>
      <c r="F364" s="5"/>
      <c r="I364" s="5"/>
      <c r="J364" s="5"/>
    </row>
    <row r="365" spans="2:10" s="7" customFormat="1" x14ac:dyDescent="0.2">
      <c r="B365" s="5"/>
      <c r="C365" s="5"/>
      <c r="D365" s="5"/>
      <c r="E365" s="5"/>
      <c r="F365" s="5"/>
      <c r="I365" s="5"/>
      <c r="J365" s="5"/>
    </row>
    <row r="366" spans="2:10" s="7" customFormat="1" x14ac:dyDescent="0.2">
      <c r="B366" s="5"/>
      <c r="C366" s="5"/>
      <c r="D366" s="5"/>
      <c r="E366" s="5"/>
      <c r="F366" s="5"/>
      <c r="I366" s="5"/>
      <c r="J366" s="5"/>
    </row>
    <row r="367" spans="2:10" s="7" customFormat="1" x14ac:dyDescent="0.2">
      <c r="B367" s="5"/>
      <c r="C367" s="5"/>
      <c r="D367" s="5"/>
      <c r="E367" s="5"/>
      <c r="F367" s="5"/>
      <c r="I367" s="5"/>
      <c r="J367" s="5"/>
    </row>
    <row r="368" spans="2:10" s="7" customFormat="1" x14ac:dyDescent="0.2">
      <c r="B368" s="5"/>
      <c r="C368" s="5"/>
      <c r="D368" s="5"/>
      <c r="E368" s="5"/>
      <c r="F368" s="5"/>
      <c r="I368" s="5"/>
      <c r="J368" s="5"/>
    </row>
    <row r="369" spans="2:10" s="7" customFormat="1" x14ac:dyDescent="0.2">
      <c r="B369" s="5"/>
      <c r="C369" s="5"/>
      <c r="D369" s="5"/>
      <c r="E369" s="5"/>
      <c r="F369" s="5"/>
      <c r="I369" s="5"/>
      <c r="J369" s="5"/>
    </row>
    <row r="370" spans="2:10" s="7" customFormat="1" x14ac:dyDescent="0.2">
      <c r="B370" s="5"/>
      <c r="C370" s="5"/>
      <c r="D370" s="5"/>
      <c r="E370" s="5"/>
      <c r="F370" s="5"/>
      <c r="I370" s="5"/>
      <c r="J370" s="5"/>
    </row>
    <row r="371" spans="2:10" s="7" customFormat="1" x14ac:dyDescent="0.2">
      <c r="B371" s="5"/>
      <c r="C371" s="5"/>
      <c r="D371" s="5"/>
      <c r="E371" s="5"/>
      <c r="F371" s="5"/>
      <c r="I371" s="5"/>
      <c r="J371" s="5"/>
    </row>
    <row r="372" spans="2:10" s="7" customFormat="1" x14ac:dyDescent="0.2">
      <c r="B372" s="5"/>
      <c r="C372" s="5"/>
      <c r="D372" s="5"/>
      <c r="E372" s="5"/>
      <c r="F372" s="5"/>
      <c r="I372" s="5"/>
      <c r="J372" s="5"/>
    </row>
    <row r="373" spans="2:10" s="7" customFormat="1" x14ac:dyDescent="0.2">
      <c r="B373" s="5"/>
      <c r="C373" s="5"/>
      <c r="D373" s="5"/>
      <c r="E373" s="5"/>
      <c r="F373" s="5"/>
      <c r="I373" s="5"/>
      <c r="J373" s="5"/>
    </row>
    <row r="374" spans="2:10" s="7" customFormat="1" x14ac:dyDescent="0.2">
      <c r="B374" s="5"/>
      <c r="C374" s="5"/>
      <c r="D374" s="5"/>
      <c r="E374" s="5"/>
      <c r="F374" s="5"/>
      <c r="I374" s="5"/>
      <c r="J374" s="5"/>
    </row>
    <row r="375" spans="2:10" s="7" customFormat="1" x14ac:dyDescent="0.2">
      <c r="B375" s="5"/>
      <c r="C375" s="5"/>
      <c r="D375" s="5"/>
      <c r="E375" s="5"/>
      <c r="F375" s="5"/>
      <c r="I375" s="5"/>
      <c r="J375" s="5"/>
    </row>
    <row r="376" spans="2:10" s="7" customFormat="1" x14ac:dyDescent="0.2">
      <c r="B376" s="5"/>
      <c r="C376" s="5"/>
      <c r="D376" s="5"/>
      <c r="E376" s="5"/>
      <c r="F376" s="5"/>
      <c r="I376" s="5"/>
      <c r="J376" s="5"/>
    </row>
    <row r="377" spans="2:10" s="7" customFormat="1" x14ac:dyDescent="0.2">
      <c r="B377" s="5"/>
      <c r="C377" s="5"/>
      <c r="D377" s="5"/>
      <c r="E377" s="5"/>
      <c r="F377" s="5"/>
      <c r="I377" s="5"/>
      <c r="J377" s="5"/>
    </row>
    <row r="378" spans="2:10" s="7" customFormat="1" x14ac:dyDescent="0.2">
      <c r="B378" s="5"/>
      <c r="C378" s="5"/>
      <c r="D378" s="5"/>
      <c r="E378" s="5"/>
      <c r="F378" s="5"/>
      <c r="I378" s="5"/>
      <c r="J378" s="5"/>
    </row>
    <row r="379" spans="2:10" s="7" customFormat="1" x14ac:dyDescent="0.2">
      <c r="B379" s="5"/>
      <c r="C379" s="5"/>
      <c r="D379" s="5"/>
      <c r="E379" s="5"/>
      <c r="F379" s="5"/>
      <c r="I379" s="5"/>
      <c r="J379" s="5"/>
    </row>
    <row r="380" spans="2:10" s="7" customFormat="1" x14ac:dyDescent="0.2">
      <c r="B380" s="5"/>
      <c r="C380" s="5"/>
      <c r="D380" s="5"/>
      <c r="E380" s="5"/>
      <c r="F380" s="5"/>
      <c r="I380" s="5"/>
      <c r="J380" s="5"/>
    </row>
    <row r="381" spans="2:10" s="7" customFormat="1" x14ac:dyDescent="0.2">
      <c r="B381" s="5"/>
      <c r="C381" s="5"/>
      <c r="D381" s="5"/>
      <c r="E381" s="5"/>
      <c r="F381" s="5"/>
      <c r="I381" s="5"/>
      <c r="J381" s="5"/>
    </row>
    <row r="382" spans="2:10" s="7" customFormat="1" x14ac:dyDescent="0.2">
      <c r="B382" s="5"/>
      <c r="C382" s="5"/>
      <c r="D382" s="5"/>
      <c r="E382" s="5"/>
      <c r="F382" s="5"/>
      <c r="I382" s="5"/>
      <c r="J382" s="5"/>
    </row>
    <row r="383" spans="2:10" s="7" customFormat="1" x14ac:dyDescent="0.2">
      <c r="B383" s="5"/>
      <c r="C383" s="5"/>
      <c r="D383" s="5"/>
      <c r="E383" s="5"/>
      <c r="F383" s="5"/>
      <c r="I383" s="5"/>
      <c r="J383" s="5"/>
    </row>
    <row r="384" spans="2:10" s="7" customFormat="1" x14ac:dyDescent="0.2">
      <c r="B384" s="5"/>
      <c r="C384" s="5"/>
      <c r="D384" s="5"/>
      <c r="E384" s="5"/>
      <c r="F384" s="5"/>
      <c r="I384" s="5"/>
      <c r="J384" s="5"/>
    </row>
    <row r="385" spans="2:10" s="7" customFormat="1" x14ac:dyDescent="0.2">
      <c r="B385" s="5"/>
      <c r="C385" s="5"/>
      <c r="D385" s="5"/>
      <c r="E385" s="5"/>
      <c r="F385" s="5"/>
      <c r="I385" s="5"/>
      <c r="J385" s="5"/>
    </row>
    <row r="386" spans="2:10" s="7" customFormat="1" x14ac:dyDescent="0.2">
      <c r="B386" s="5"/>
      <c r="C386" s="5"/>
      <c r="D386" s="5"/>
      <c r="E386" s="5"/>
      <c r="F386" s="5"/>
      <c r="I386" s="5"/>
      <c r="J386" s="5"/>
    </row>
    <row r="387" spans="2:10" s="7" customFormat="1" x14ac:dyDescent="0.2">
      <c r="B387" s="5"/>
      <c r="C387" s="5"/>
      <c r="D387" s="5"/>
      <c r="E387" s="5"/>
      <c r="F387" s="5"/>
      <c r="I387" s="5"/>
      <c r="J387" s="5"/>
    </row>
    <row r="388" spans="2:10" s="7" customFormat="1" x14ac:dyDescent="0.2">
      <c r="B388" s="5"/>
      <c r="C388" s="5"/>
      <c r="D388" s="5"/>
      <c r="E388" s="5"/>
      <c r="F388" s="5"/>
      <c r="I388" s="5"/>
      <c r="J388" s="5"/>
    </row>
    <row r="389" spans="2:10" s="7" customFormat="1" x14ac:dyDescent="0.2">
      <c r="B389" s="5"/>
      <c r="C389" s="5"/>
      <c r="D389" s="5"/>
      <c r="E389" s="5"/>
      <c r="F389" s="5"/>
      <c r="I389" s="5"/>
      <c r="J389" s="5"/>
    </row>
    <row r="390" spans="2:10" s="7" customFormat="1" x14ac:dyDescent="0.2">
      <c r="B390" s="5"/>
      <c r="C390" s="5"/>
      <c r="D390" s="5"/>
      <c r="E390" s="5"/>
      <c r="F390" s="5"/>
      <c r="I390" s="5"/>
      <c r="J390" s="5"/>
    </row>
    <row r="391" spans="2:10" s="7" customFormat="1" x14ac:dyDescent="0.2">
      <c r="B391" s="5"/>
      <c r="C391" s="5"/>
      <c r="D391" s="5"/>
      <c r="E391" s="5"/>
      <c r="F391" s="5"/>
      <c r="I391" s="5"/>
      <c r="J391" s="5"/>
    </row>
    <row r="392" spans="2:10" s="7" customFormat="1" x14ac:dyDescent="0.2">
      <c r="B392" s="5"/>
      <c r="C392" s="5"/>
      <c r="D392" s="5"/>
      <c r="E392" s="5"/>
      <c r="F392" s="5"/>
      <c r="I392" s="5"/>
      <c r="J392" s="5"/>
    </row>
    <row r="393" spans="2:10" s="7" customFormat="1" x14ac:dyDescent="0.2">
      <c r="B393" s="5"/>
      <c r="C393" s="5"/>
      <c r="D393" s="5"/>
      <c r="E393" s="5"/>
      <c r="F393" s="5"/>
      <c r="I393" s="5"/>
      <c r="J393" s="5"/>
    </row>
    <row r="394" spans="2:10" s="7" customFormat="1" x14ac:dyDescent="0.2">
      <c r="B394" s="5"/>
      <c r="C394" s="5"/>
      <c r="D394" s="5"/>
      <c r="E394" s="5"/>
      <c r="F394" s="5"/>
      <c r="I394" s="5"/>
      <c r="J394" s="5"/>
    </row>
    <row r="395" spans="2:10" s="7" customFormat="1" x14ac:dyDescent="0.2">
      <c r="B395" s="5"/>
      <c r="C395" s="5"/>
      <c r="D395" s="5"/>
      <c r="E395" s="5"/>
      <c r="F395" s="5"/>
      <c r="I395" s="5"/>
      <c r="J395" s="5"/>
    </row>
    <row r="396" spans="2:10" s="7" customFormat="1" x14ac:dyDescent="0.2">
      <c r="B396" s="5"/>
      <c r="C396" s="5"/>
      <c r="D396" s="5"/>
      <c r="E396" s="5"/>
      <c r="F396" s="5"/>
      <c r="I396" s="5"/>
      <c r="J396" s="5"/>
    </row>
    <row r="397" spans="2:10" s="7" customFormat="1" x14ac:dyDescent="0.2">
      <c r="B397" s="5"/>
      <c r="C397" s="5"/>
      <c r="D397" s="5"/>
      <c r="E397" s="5"/>
      <c r="F397" s="5"/>
      <c r="I397" s="5"/>
      <c r="J397" s="5"/>
    </row>
    <row r="398" spans="2:10" s="7" customFormat="1" x14ac:dyDescent="0.2">
      <c r="B398" s="5"/>
      <c r="C398" s="5"/>
      <c r="D398" s="5"/>
      <c r="E398" s="5"/>
      <c r="F398" s="5"/>
      <c r="I398" s="5"/>
      <c r="J398" s="5"/>
    </row>
    <row r="399" spans="2:10" s="7" customFormat="1" x14ac:dyDescent="0.2">
      <c r="B399" s="5"/>
      <c r="C399" s="5"/>
      <c r="D399" s="5"/>
      <c r="E399" s="5"/>
      <c r="F399" s="5"/>
      <c r="I399" s="5"/>
      <c r="J399" s="5"/>
    </row>
    <row r="400" spans="2:10" s="7" customFormat="1" x14ac:dyDescent="0.2">
      <c r="B400" s="5"/>
      <c r="C400" s="5"/>
      <c r="D400" s="5"/>
      <c r="E400" s="5"/>
      <c r="F400" s="5"/>
      <c r="I400" s="5"/>
      <c r="J400" s="5"/>
    </row>
    <row r="401" spans="2:10" s="7" customFormat="1" x14ac:dyDescent="0.2">
      <c r="B401" s="5"/>
      <c r="C401" s="5"/>
      <c r="D401" s="5"/>
      <c r="E401" s="5"/>
      <c r="F401" s="5"/>
      <c r="I401" s="5"/>
      <c r="J401" s="5"/>
    </row>
    <row r="402" spans="2:10" s="7" customFormat="1" x14ac:dyDescent="0.2">
      <c r="B402" s="5"/>
      <c r="C402" s="5"/>
      <c r="D402" s="5"/>
      <c r="E402" s="5"/>
      <c r="F402" s="5"/>
      <c r="I402" s="5"/>
      <c r="J402" s="5"/>
    </row>
    <row r="403" spans="2:10" s="7" customFormat="1" x14ac:dyDescent="0.2">
      <c r="B403" s="5"/>
      <c r="C403" s="5"/>
      <c r="D403" s="5"/>
      <c r="E403" s="5"/>
      <c r="F403" s="5"/>
      <c r="I403" s="5"/>
      <c r="J403" s="5"/>
    </row>
    <row r="404" spans="2:10" s="7" customFormat="1" x14ac:dyDescent="0.2">
      <c r="B404" s="5"/>
      <c r="C404" s="5"/>
      <c r="D404" s="5"/>
      <c r="E404" s="5"/>
      <c r="F404" s="5"/>
      <c r="I404" s="5"/>
      <c r="J404" s="5"/>
    </row>
    <row r="405" spans="2:10" s="7" customFormat="1" x14ac:dyDescent="0.2">
      <c r="B405" s="5"/>
      <c r="C405" s="5"/>
      <c r="D405" s="5"/>
      <c r="E405" s="5"/>
      <c r="F405" s="5"/>
      <c r="I405" s="5"/>
      <c r="J405" s="5"/>
    </row>
    <row r="406" spans="2:10" s="7" customFormat="1" x14ac:dyDescent="0.2">
      <c r="B406" s="5"/>
      <c r="C406" s="5"/>
      <c r="D406" s="5"/>
      <c r="E406" s="5"/>
      <c r="F406" s="5"/>
      <c r="I406" s="5"/>
      <c r="J406" s="5"/>
    </row>
    <row r="407" spans="2:10" s="7" customFormat="1" x14ac:dyDescent="0.2">
      <c r="B407" s="5"/>
      <c r="C407" s="5"/>
      <c r="D407" s="5"/>
      <c r="E407" s="5"/>
      <c r="F407" s="5"/>
      <c r="I407" s="5"/>
      <c r="J407" s="5"/>
    </row>
    <row r="408" spans="2:10" s="7" customFormat="1" x14ac:dyDescent="0.2">
      <c r="B408" s="5"/>
      <c r="C408" s="5"/>
      <c r="D408" s="5"/>
      <c r="E408" s="5"/>
      <c r="F408" s="5"/>
      <c r="I408" s="5"/>
      <c r="J408" s="5"/>
    </row>
    <row r="409" spans="2:10" s="7" customFormat="1" x14ac:dyDescent="0.2">
      <c r="B409" s="5"/>
      <c r="C409" s="5"/>
      <c r="D409" s="5"/>
      <c r="E409" s="5"/>
      <c r="F409" s="5"/>
      <c r="I409" s="5"/>
      <c r="J409" s="5"/>
    </row>
    <row r="410" spans="2:10" s="7" customFormat="1" x14ac:dyDescent="0.2">
      <c r="B410" s="5"/>
      <c r="C410" s="5"/>
      <c r="D410" s="5"/>
      <c r="E410" s="5"/>
      <c r="F410" s="5"/>
      <c r="I410" s="5"/>
      <c r="J410" s="5"/>
    </row>
    <row r="411" spans="2:10" s="7" customFormat="1" x14ac:dyDescent="0.2">
      <c r="B411" s="5"/>
      <c r="C411" s="5"/>
      <c r="D411" s="5"/>
      <c r="E411" s="5"/>
      <c r="F411" s="5"/>
      <c r="I411" s="5"/>
      <c r="J411" s="5"/>
    </row>
    <row r="412" spans="2:10" s="7" customFormat="1" x14ac:dyDescent="0.2">
      <c r="B412" s="5"/>
      <c r="C412" s="5"/>
      <c r="D412" s="5"/>
      <c r="E412" s="5"/>
      <c r="F412" s="5"/>
      <c r="I412" s="5"/>
      <c r="J412" s="5"/>
    </row>
    <row r="413" spans="2:10" s="7" customFormat="1" x14ac:dyDescent="0.2">
      <c r="B413" s="5"/>
      <c r="C413" s="5"/>
      <c r="D413" s="5"/>
      <c r="E413" s="5"/>
      <c r="F413" s="5"/>
      <c r="I413" s="5"/>
      <c r="J413" s="5"/>
    </row>
    <row r="414" spans="2:10" s="7" customFormat="1" x14ac:dyDescent="0.2">
      <c r="B414" s="5"/>
      <c r="C414" s="5"/>
      <c r="D414" s="5"/>
      <c r="E414" s="5"/>
      <c r="F414" s="5"/>
      <c r="I414" s="5"/>
      <c r="J414" s="5"/>
    </row>
    <row r="415" spans="2:10" s="7" customFormat="1" x14ac:dyDescent="0.2">
      <c r="B415" s="5"/>
      <c r="C415" s="5"/>
      <c r="D415" s="5"/>
      <c r="E415" s="5"/>
      <c r="F415" s="5"/>
      <c r="I415" s="5"/>
      <c r="J415" s="5"/>
    </row>
    <row r="416" spans="2:10" s="7" customFormat="1" x14ac:dyDescent="0.2">
      <c r="B416" s="5"/>
      <c r="C416" s="5"/>
      <c r="D416" s="5"/>
      <c r="E416" s="5"/>
      <c r="F416" s="5"/>
      <c r="I416" s="5"/>
      <c r="J416" s="5"/>
    </row>
    <row r="417" spans="2:10" s="7" customFormat="1" x14ac:dyDescent="0.2">
      <c r="B417" s="5"/>
      <c r="C417" s="5"/>
      <c r="D417" s="5"/>
      <c r="E417" s="5"/>
      <c r="F417" s="5"/>
      <c r="I417" s="5"/>
      <c r="J417" s="5"/>
    </row>
    <row r="418" spans="2:10" s="7" customFormat="1" x14ac:dyDescent="0.2">
      <c r="B418" s="5"/>
      <c r="C418" s="5"/>
      <c r="D418" s="5"/>
      <c r="E418" s="5"/>
      <c r="F418" s="5"/>
      <c r="I418" s="5"/>
      <c r="J418" s="5"/>
    </row>
    <row r="419" spans="2:10" s="7" customFormat="1" x14ac:dyDescent="0.2">
      <c r="B419" s="5"/>
      <c r="C419" s="5"/>
      <c r="D419" s="5"/>
      <c r="E419" s="5"/>
      <c r="F419" s="5"/>
      <c r="I419" s="5"/>
      <c r="J419" s="5"/>
    </row>
    <row r="420" spans="2:10" s="7" customFormat="1" x14ac:dyDescent="0.2">
      <c r="B420" s="5"/>
      <c r="C420" s="5"/>
      <c r="D420" s="5"/>
      <c r="E420" s="5"/>
      <c r="F420" s="5"/>
      <c r="I420" s="5"/>
      <c r="J420" s="5"/>
    </row>
    <row r="421" spans="2:10" s="7" customFormat="1" x14ac:dyDescent="0.2">
      <c r="B421" s="5"/>
      <c r="C421" s="5"/>
      <c r="D421" s="5"/>
      <c r="E421" s="5"/>
      <c r="F421" s="5"/>
      <c r="I421" s="5"/>
      <c r="J421" s="5"/>
    </row>
    <row r="422" spans="2:10" s="7" customFormat="1" x14ac:dyDescent="0.2">
      <c r="B422" s="5"/>
      <c r="C422" s="5"/>
      <c r="D422" s="5"/>
      <c r="E422" s="5"/>
      <c r="F422" s="5"/>
      <c r="I422" s="5"/>
      <c r="J422" s="5"/>
    </row>
    <row r="423" spans="2:10" s="7" customFormat="1" x14ac:dyDescent="0.2">
      <c r="B423" s="5"/>
      <c r="C423" s="5"/>
      <c r="D423" s="5"/>
      <c r="E423" s="5"/>
      <c r="F423" s="5"/>
      <c r="I423" s="5"/>
      <c r="J423" s="5"/>
    </row>
    <row r="424" spans="2:10" s="7" customFormat="1" x14ac:dyDescent="0.2">
      <c r="B424" s="5"/>
      <c r="C424" s="5"/>
      <c r="D424" s="5"/>
      <c r="E424" s="5"/>
      <c r="F424" s="5"/>
      <c r="I424" s="5"/>
      <c r="J424" s="5"/>
    </row>
    <row r="425" spans="2:10" s="7" customFormat="1" x14ac:dyDescent="0.2">
      <c r="B425" s="5"/>
      <c r="C425" s="5"/>
      <c r="D425" s="5"/>
      <c r="E425" s="5"/>
      <c r="F425" s="5"/>
      <c r="I425" s="5"/>
      <c r="J425" s="5"/>
    </row>
    <row r="426" spans="2:10" s="7" customFormat="1" x14ac:dyDescent="0.2">
      <c r="B426" s="5"/>
      <c r="C426" s="5"/>
      <c r="D426" s="5"/>
      <c r="E426" s="5"/>
      <c r="F426" s="5"/>
      <c r="I426" s="5"/>
      <c r="J426" s="5"/>
    </row>
    <row r="427" spans="2:10" s="7" customFormat="1" x14ac:dyDescent="0.2">
      <c r="B427" s="5"/>
      <c r="C427" s="5"/>
      <c r="D427" s="5"/>
      <c r="E427" s="5"/>
      <c r="F427" s="5"/>
      <c r="I427" s="5"/>
      <c r="J427" s="5"/>
    </row>
    <row r="428" spans="2:10" s="7" customFormat="1" x14ac:dyDescent="0.2">
      <c r="B428" s="5"/>
      <c r="C428" s="5"/>
      <c r="D428" s="5"/>
      <c r="E428" s="5"/>
      <c r="F428" s="5"/>
      <c r="I428" s="5"/>
      <c r="J428" s="5"/>
    </row>
    <row r="429" spans="2:10" s="7" customFormat="1" x14ac:dyDescent="0.2">
      <c r="B429" s="5"/>
      <c r="C429" s="5"/>
      <c r="D429" s="5"/>
      <c r="E429" s="5"/>
      <c r="F429" s="5"/>
      <c r="I429" s="5"/>
      <c r="J429" s="5"/>
    </row>
    <row r="430" spans="2:10" s="7" customFormat="1" x14ac:dyDescent="0.2">
      <c r="B430" s="5"/>
      <c r="C430" s="5"/>
      <c r="D430" s="5"/>
      <c r="E430" s="5"/>
      <c r="F430" s="5"/>
      <c r="I430" s="5"/>
      <c r="J430" s="5"/>
    </row>
    <row r="431" spans="2:10" s="7" customFormat="1" x14ac:dyDescent="0.2">
      <c r="B431" s="5"/>
      <c r="C431" s="5"/>
      <c r="D431" s="5"/>
      <c r="E431" s="5"/>
      <c r="F431" s="5"/>
      <c r="I431" s="5"/>
      <c r="J431" s="5"/>
    </row>
    <row r="432" spans="2:10" s="7" customFormat="1" x14ac:dyDescent="0.2">
      <c r="B432" s="5"/>
      <c r="C432" s="5"/>
      <c r="D432" s="5"/>
      <c r="E432" s="5"/>
      <c r="F432" s="5"/>
      <c r="I432" s="5"/>
      <c r="J432" s="5"/>
    </row>
    <row r="433" spans="2:10" s="7" customFormat="1" x14ac:dyDescent="0.2">
      <c r="B433" s="5"/>
      <c r="C433" s="5"/>
      <c r="D433" s="5"/>
      <c r="E433" s="5"/>
      <c r="F433" s="5"/>
      <c r="I433" s="5"/>
      <c r="J433" s="5"/>
    </row>
    <row r="434" spans="2:10" s="7" customFormat="1" x14ac:dyDescent="0.2">
      <c r="B434" s="5"/>
      <c r="C434" s="5"/>
      <c r="D434" s="5"/>
      <c r="E434" s="5"/>
      <c r="F434" s="5"/>
      <c r="I434" s="5"/>
      <c r="J434" s="5"/>
    </row>
    <row r="435" spans="2:10" s="7" customFormat="1" x14ac:dyDescent="0.2">
      <c r="B435" s="5"/>
      <c r="C435" s="5"/>
      <c r="D435" s="5"/>
      <c r="E435" s="5"/>
      <c r="F435" s="5"/>
      <c r="I435" s="5"/>
      <c r="J435" s="5"/>
    </row>
    <row r="436" spans="2:10" s="7" customFormat="1" x14ac:dyDescent="0.2">
      <c r="B436" s="5"/>
      <c r="C436" s="5"/>
      <c r="D436" s="5"/>
      <c r="E436" s="5"/>
      <c r="F436" s="5"/>
      <c r="I436" s="5"/>
      <c r="J436" s="5"/>
    </row>
    <row r="437" spans="2:10" s="7" customFormat="1" x14ac:dyDescent="0.2">
      <c r="B437" s="5"/>
      <c r="C437" s="5"/>
      <c r="D437" s="5"/>
      <c r="E437" s="5"/>
      <c r="F437" s="5"/>
      <c r="I437" s="5"/>
      <c r="J437" s="5"/>
    </row>
    <row r="438" spans="2:10" s="7" customFormat="1" x14ac:dyDescent="0.2">
      <c r="B438" s="5"/>
      <c r="C438" s="5"/>
      <c r="D438" s="5"/>
      <c r="E438" s="5"/>
      <c r="F438" s="5"/>
      <c r="I438" s="5"/>
      <c r="J438" s="5"/>
    </row>
    <row r="439" spans="2:10" s="7" customFormat="1" x14ac:dyDescent="0.2">
      <c r="B439" s="5"/>
      <c r="C439" s="5"/>
      <c r="D439" s="5"/>
      <c r="E439" s="5"/>
      <c r="F439" s="5"/>
      <c r="I439" s="5"/>
      <c r="J439" s="5"/>
    </row>
    <row r="440" spans="2:10" s="7" customFormat="1" x14ac:dyDescent="0.2">
      <c r="B440" s="5"/>
      <c r="C440" s="5"/>
      <c r="D440" s="5"/>
      <c r="E440" s="5"/>
      <c r="F440" s="5"/>
      <c r="I440" s="5"/>
      <c r="J440" s="5"/>
    </row>
    <row r="441" spans="2:10" s="7" customFormat="1" x14ac:dyDescent="0.2">
      <c r="B441" s="5"/>
      <c r="C441" s="5"/>
      <c r="D441" s="5"/>
      <c r="E441" s="5"/>
      <c r="F441" s="5"/>
      <c r="I441" s="5"/>
      <c r="J441" s="5"/>
    </row>
    <row r="442" spans="2:10" s="7" customFormat="1" x14ac:dyDescent="0.2">
      <c r="B442" s="5"/>
      <c r="C442" s="5"/>
      <c r="D442" s="5"/>
      <c r="E442" s="5"/>
      <c r="F442" s="5"/>
      <c r="I442" s="5"/>
      <c r="J442" s="5"/>
    </row>
    <row r="443" spans="2:10" s="7" customFormat="1" x14ac:dyDescent="0.2">
      <c r="B443" s="5"/>
      <c r="C443" s="5"/>
      <c r="D443" s="5"/>
      <c r="E443" s="5"/>
      <c r="F443" s="5"/>
      <c r="I443" s="5"/>
      <c r="J443" s="5"/>
    </row>
    <row r="444" spans="2:10" s="7" customFormat="1" x14ac:dyDescent="0.2">
      <c r="B444" s="5"/>
      <c r="C444" s="5"/>
      <c r="D444" s="5"/>
      <c r="E444" s="5"/>
      <c r="F444" s="5"/>
      <c r="I444" s="5"/>
      <c r="J444" s="5"/>
    </row>
    <row r="445" spans="2:10" s="7" customFormat="1" x14ac:dyDescent="0.2">
      <c r="B445" s="5"/>
      <c r="C445" s="5"/>
      <c r="D445" s="5"/>
      <c r="E445" s="5"/>
      <c r="F445" s="5"/>
      <c r="I445" s="5"/>
      <c r="J445" s="5"/>
    </row>
    <row r="446" spans="2:10" s="7" customFormat="1" x14ac:dyDescent="0.2">
      <c r="B446" s="5"/>
      <c r="C446" s="5"/>
      <c r="D446" s="5"/>
      <c r="E446" s="5"/>
      <c r="F446" s="5"/>
      <c r="I446" s="5"/>
      <c r="J446" s="5"/>
    </row>
    <row r="447" spans="2:10" s="7" customFormat="1" x14ac:dyDescent="0.2">
      <c r="B447" s="5"/>
      <c r="C447" s="5"/>
      <c r="D447" s="5"/>
      <c r="E447" s="5"/>
      <c r="F447" s="5"/>
      <c r="I447" s="5"/>
      <c r="J447" s="5"/>
    </row>
    <row r="448" spans="2:10" s="7" customFormat="1" x14ac:dyDescent="0.2">
      <c r="B448" s="5"/>
      <c r="C448" s="5"/>
      <c r="D448" s="5"/>
      <c r="E448" s="5"/>
      <c r="F448" s="5"/>
      <c r="I448" s="5"/>
      <c r="J448" s="5"/>
    </row>
    <row r="449" spans="2:10" s="7" customFormat="1" x14ac:dyDescent="0.2">
      <c r="B449" s="5"/>
      <c r="C449" s="5"/>
      <c r="D449" s="5"/>
      <c r="E449" s="5"/>
      <c r="F449" s="5"/>
      <c r="I449" s="5"/>
      <c r="J449" s="5"/>
    </row>
  </sheetData>
  <autoFilter ref="A1:M246" xr:uid="{DAD00364-664A-470B-8B0C-3CB3FB80AFDB}"/>
  <dataValidations count="1">
    <dataValidation type="time" allowBlank="1" showInputMessage="1" showErrorMessage="1" sqref="D33 D28:E32 D2:E4 F36:F44 F47:F85 F88:F127 D34:E299 F130:F162 F165:F299" xr:uid="{0589450E-2979-4192-B4E8-7CAAEC6ACC88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6A866BB-B2A3-47F5-A075-3736A1667A29}">
          <x14:formula1>
            <xm:f>Metadata!$F$2:$F$15</xm:f>
          </x14:formula1>
          <xm:sqref>I2:I299</xm:sqref>
        </x14:dataValidation>
        <x14:dataValidation type="list" allowBlank="1" showInputMessage="1" showErrorMessage="1" xr:uid="{9D5CBE95-3507-4B50-9FC9-FB5F2AF2FE8B}">
          <x14:formula1>
            <xm:f>Metadata!$C$3:$C$14</xm:f>
          </x14:formula1>
          <xm:sqref>B2:B299</xm:sqref>
        </x14:dataValidation>
        <x14:dataValidation type="list" allowBlank="1" showInputMessage="1" showErrorMessage="1" xr:uid="{5B86F534-8FF7-4C64-8D6F-C15472EEF660}">
          <x14:formula1>
            <xm:f>Metadata!$C$2:$C$15</xm:f>
          </x14:formula1>
          <xm:sqref>H2:H299</xm:sqref>
        </x14:dataValidation>
        <x14:dataValidation type="list" allowBlank="1" showInputMessage="1" showErrorMessage="1" xr:uid="{FCB8054A-BC3C-45FE-938F-834E2121DECB}">
          <x14:formula1>
            <xm:f>Metadata!$A$2:$A$15</xm:f>
          </x14:formula1>
          <xm:sqref>G2:G298</xm:sqref>
        </x14:dataValidation>
        <x14:dataValidation type="list" allowBlank="1" showInputMessage="1" showErrorMessage="1" xr:uid="{E286BD2C-309D-45CA-A580-5546C63BBD44}">
          <x14:formula1>
            <xm:f>Metadata!$H$2:$H$5</xm:f>
          </x14:formula1>
          <xm:sqref>A2:A299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031D-ED71-4581-86F1-93E0749A2351}">
  <sheetPr codeName="Tabelle6">
    <pageSetUpPr fitToPage="1"/>
  </sheetPr>
  <dimension ref="A1:K449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11" sqref="A11"/>
      <selection pane="bottomRight" activeCell="D49" sqref="D49"/>
    </sheetView>
  </sheetViews>
  <sheetFormatPr baseColWidth="10" defaultColWidth="11.42578125" defaultRowHeight="14.25" x14ac:dyDescent="0.2"/>
  <cols>
    <col min="1" max="1" width="21.28515625" style="7" hidden="1" customWidth="1"/>
    <col min="2" max="2" width="15.8554687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7.710937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2" width="11.42578125" style="5"/>
    <col min="13" max="13" width="15.42578125" style="5" customWidth="1"/>
    <col min="14" max="16384" width="11.42578125" style="5"/>
  </cols>
  <sheetData>
    <row r="1" spans="1:11" s="18" customFormat="1" ht="60.75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1" s="13" customFormat="1" ht="29.25" thickBot="1" x14ac:dyDescent="0.3">
      <c r="A2" s="19" t="s">
        <v>47</v>
      </c>
      <c r="B2" s="10" t="s">
        <v>1</v>
      </c>
      <c r="C2" s="14">
        <v>46174</v>
      </c>
      <c r="D2" s="11"/>
      <c r="E2" s="11"/>
      <c r="F2" s="12">
        <f>+(E2-D2)*24</f>
        <v>0</v>
      </c>
      <c r="G2" s="20"/>
      <c r="H2" s="20"/>
      <c r="I2" s="9"/>
      <c r="J2" s="9"/>
      <c r="K2" s="9"/>
    </row>
    <row r="3" spans="1:11" s="13" customFormat="1" ht="29.25" thickBot="1" x14ac:dyDescent="0.3">
      <c r="A3" s="19" t="s">
        <v>47</v>
      </c>
      <c r="B3" s="10" t="s">
        <v>1</v>
      </c>
      <c r="C3" s="14">
        <v>46174</v>
      </c>
      <c r="D3" s="11"/>
      <c r="E3" s="11"/>
      <c r="F3" s="12">
        <f>+(E3-D3)*24</f>
        <v>0</v>
      </c>
      <c r="G3" s="20"/>
      <c r="H3" s="20"/>
      <c r="I3" s="9"/>
      <c r="J3" s="9"/>
      <c r="K3" s="9"/>
    </row>
    <row r="4" spans="1:11" s="13" customFormat="1" ht="29.25" thickBot="1" x14ac:dyDescent="0.3">
      <c r="A4" s="19" t="s">
        <v>47</v>
      </c>
      <c r="B4" s="10" t="s">
        <v>1</v>
      </c>
      <c r="C4" s="14">
        <v>46174</v>
      </c>
      <c r="D4" s="11"/>
      <c r="E4" s="11"/>
      <c r="F4" s="12">
        <f>+(E4-D4)*24</f>
        <v>0</v>
      </c>
      <c r="G4" s="20"/>
      <c r="H4" s="20"/>
      <c r="I4" s="9"/>
      <c r="J4" s="9"/>
      <c r="K4" s="9"/>
    </row>
    <row r="5" spans="1:11" s="13" customFormat="1" ht="29.25" thickBot="1" x14ac:dyDescent="0.3">
      <c r="A5" s="19" t="s">
        <v>47</v>
      </c>
      <c r="B5" s="10" t="s">
        <v>1</v>
      </c>
      <c r="C5" s="14">
        <v>46174</v>
      </c>
      <c r="D5" s="11"/>
      <c r="E5" s="11"/>
      <c r="F5" s="12">
        <f>+(E5-D5)*24</f>
        <v>0</v>
      </c>
      <c r="G5" s="20"/>
      <c r="H5" s="20"/>
      <c r="I5" s="9"/>
      <c r="J5" s="9"/>
      <c r="K5" s="9"/>
    </row>
    <row r="6" spans="1:11" s="13" customFormat="1" ht="29.25" thickBot="1" x14ac:dyDescent="0.3">
      <c r="A6" s="19" t="s">
        <v>47</v>
      </c>
      <c r="B6" s="10" t="s">
        <v>1</v>
      </c>
      <c r="C6" s="14">
        <v>46174</v>
      </c>
      <c r="D6" s="11"/>
      <c r="E6" s="11"/>
      <c r="F6" s="12">
        <f t="shared" ref="F6:F69" si="0">+(E6-D6)*24</f>
        <v>0</v>
      </c>
      <c r="G6" s="20"/>
      <c r="H6" s="20"/>
      <c r="I6" s="9"/>
      <c r="J6" s="9"/>
      <c r="K6" s="9"/>
    </row>
    <row r="7" spans="1:11" s="13" customFormat="1" ht="29.25" thickBot="1" x14ac:dyDescent="0.3">
      <c r="A7" s="19" t="s">
        <v>47</v>
      </c>
      <c r="B7" s="10" t="s">
        <v>1</v>
      </c>
      <c r="C7" s="14">
        <v>46174</v>
      </c>
      <c r="D7" s="11"/>
      <c r="E7" s="11"/>
      <c r="F7" s="12">
        <f t="shared" si="0"/>
        <v>0</v>
      </c>
      <c r="G7" s="20"/>
      <c r="H7" s="20"/>
      <c r="I7" s="9"/>
      <c r="J7" s="9"/>
      <c r="K7" s="9"/>
    </row>
    <row r="8" spans="1:11" s="13" customFormat="1" ht="13.9" customHeight="1" thickBot="1" x14ac:dyDescent="0.3">
      <c r="A8" s="19" t="s">
        <v>47</v>
      </c>
      <c r="B8" s="10" t="s">
        <v>1</v>
      </c>
      <c r="C8" s="14">
        <v>46174</v>
      </c>
      <c r="D8" s="11"/>
      <c r="E8" s="11"/>
      <c r="F8" s="12">
        <f t="shared" si="0"/>
        <v>0</v>
      </c>
      <c r="G8" s="20"/>
      <c r="H8" s="20"/>
      <c r="I8" s="9"/>
      <c r="J8" s="9"/>
      <c r="K8" s="9"/>
    </row>
    <row r="9" spans="1:11" s="13" customFormat="1" ht="29.25" thickBot="1" x14ac:dyDescent="0.3">
      <c r="A9" s="19" t="s">
        <v>47</v>
      </c>
      <c r="B9" s="10"/>
      <c r="C9" s="14">
        <v>46174</v>
      </c>
      <c r="D9" s="11"/>
      <c r="E9" s="11"/>
      <c r="F9" s="12">
        <f t="shared" si="0"/>
        <v>0</v>
      </c>
      <c r="G9" s="20"/>
      <c r="H9" s="20"/>
      <c r="I9" s="9"/>
      <c r="J9" s="9"/>
      <c r="K9" s="9"/>
    </row>
    <row r="10" spans="1:11" s="13" customFormat="1" ht="29.25" thickBot="1" x14ac:dyDescent="0.3">
      <c r="A10" s="19" t="s">
        <v>47</v>
      </c>
      <c r="B10" s="10" t="s">
        <v>1</v>
      </c>
      <c r="C10" s="14">
        <v>46174</v>
      </c>
      <c r="D10" s="11"/>
      <c r="E10" s="11"/>
      <c r="F10" s="12">
        <f t="shared" si="0"/>
        <v>0</v>
      </c>
      <c r="G10" s="20"/>
      <c r="H10" s="20"/>
      <c r="I10" s="9"/>
      <c r="J10" s="24"/>
      <c r="K10" s="9"/>
    </row>
    <row r="11" spans="1:11" s="13" customFormat="1" ht="29.25" thickBot="1" x14ac:dyDescent="0.3">
      <c r="A11" s="19" t="s">
        <v>47</v>
      </c>
      <c r="B11" s="10" t="s">
        <v>1</v>
      </c>
      <c r="C11" s="14">
        <v>46175</v>
      </c>
      <c r="D11" s="11"/>
      <c r="E11" s="11"/>
      <c r="F11" s="12">
        <f t="shared" si="0"/>
        <v>0</v>
      </c>
      <c r="G11" s="20"/>
      <c r="H11" s="20"/>
      <c r="I11" s="9"/>
      <c r="J11" s="24"/>
      <c r="K11" s="9"/>
    </row>
    <row r="12" spans="1:11" s="13" customFormat="1" ht="29.25" thickBot="1" x14ac:dyDescent="0.3">
      <c r="A12" s="19" t="s">
        <v>47</v>
      </c>
      <c r="B12" s="10" t="s">
        <v>1</v>
      </c>
      <c r="C12" s="14">
        <v>46175</v>
      </c>
      <c r="D12" s="11"/>
      <c r="E12" s="11"/>
      <c r="F12" s="12">
        <f t="shared" si="0"/>
        <v>0</v>
      </c>
      <c r="G12" s="20"/>
      <c r="H12" s="20"/>
      <c r="I12" s="9"/>
      <c r="J12" s="9"/>
      <c r="K12" s="9"/>
    </row>
    <row r="13" spans="1:11" s="13" customFormat="1" ht="29.25" thickBot="1" x14ac:dyDescent="0.3">
      <c r="A13" s="19" t="s">
        <v>47</v>
      </c>
      <c r="B13" s="10" t="s">
        <v>1</v>
      </c>
      <c r="C13" s="14">
        <v>46175</v>
      </c>
      <c r="D13" s="11"/>
      <c r="E13" s="11"/>
      <c r="F13" s="12">
        <f t="shared" si="0"/>
        <v>0</v>
      </c>
      <c r="G13" s="20"/>
      <c r="H13" s="20"/>
      <c r="I13" s="9"/>
      <c r="J13" s="9"/>
      <c r="K13" s="9"/>
    </row>
    <row r="14" spans="1:11" s="13" customFormat="1" ht="29.25" thickBot="1" x14ac:dyDescent="0.3">
      <c r="A14" s="19" t="s">
        <v>47</v>
      </c>
      <c r="B14" s="10" t="s">
        <v>1</v>
      </c>
      <c r="C14" s="14">
        <v>46175</v>
      </c>
      <c r="D14" s="11"/>
      <c r="E14" s="11"/>
      <c r="F14" s="12">
        <f t="shared" si="0"/>
        <v>0</v>
      </c>
      <c r="G14" s="20"/>
      <c r="H14" s="20"/>
      <c r="I14" s="9"/>
      <c r="J14" s="9"/>
      <c r="K14" s="9"/>
    </row>
    <row r="15" spans="1:11" s="13" customFormat="1" ht="29.25" thickBot="1" x14ac:dyDescent="0.3">
      <c r="A15" s="19" t="s">
        <v>47</v>
      </c>
      <c r="B15" s="10" t="s">
        <v>1</v>
      </c>
      <c r="C15" s="14">
        <v>46175</v>
      </c>
      <c r="D15" s="11"/>
      <c r="E15" s="11"/>
      <c r="F15" s="12">
        <f t="shared" si="0"/>
        <v>0</v>
      </c>
      <c r="G15" s="20"/>
      <c r="H15" s="20"/>
      <c r="I15" s="9"/>
      <c r="J15" s="9"/>
      <c r="K15" s="9"/>
    </row>
    <row r="16" spans="1:11" s="13" customFormat="1" ht="29.25" thickBot="1" x14ac:dyDescent="0.3">
      <c r="A16" s="19" t="s">
        <v>47</v>
      </c>
      <c r="B16" s="10" t="s">
        <v>1</v>
      </c>
      <c r="C16" s="14">
        <v>46175</v>
      </c>
      <c r="D16" s="11"/>
      <c r="E16" s="11"/>
      <c r="F16" s="12">
        <f t="shared" si="0"/>
        <v>0</v>
      </c>
      <c r="G16" s="20"/>
      <c r="H16" s="20"/>
      <c r="I16" s="9"/>
      <c r="J16" s="9"/>
      <c r="K16" s="9"/>
    </row>
    <row r="17" spans="1:11" s="13" customFormat="1" ht="29.25" thickBot="1" x14ac:dyDescent="0.3">
      <c r="A17" s="19" t="s">
        <v>47</v>
      </c>
      <c r="B17" s="10" t="s">
        <v>1</v>
      </c>
      <c r="C17" s="14">
        <v>46175</v>
      </c>
      <c r="D17" s="11"/>
      <c r="E17" s="11"/>
      <c r="F17" s="12">
        <f t="shared" si="0"/>
        <v>0</v>
      </c>
      <c r="G17" s="20"/>
      <c r="H17" s="20"/>
      <c r="I17" s="9"/>
      <c r="J17" s="9"/>
      <c r="K17" s="9"/>
    </row>
    <row r="18" spans="1:11" s="13" customFormat="1" ht="15.75" customHeight="1" thickBot="1" x14ac:dyDescent="0.3">
      <c r="A18" s="19" t="s">
        <v>47</v>
      </c>
      <c r="B18" s="10" t="s">
        <v>1</v>
      </c>
      <c r="C18" s="14">
        <v>46175</v>
      </c>
      <c r="D18" s="11"/>
      <c r="E18" s="11"/>
      <c r="F18" s="12">
        <f t="shared" si="0"/>
        <v>0</v>
      </c>
      <c r="G18" s="20"/>
      <c r="H18" s="20"/>
      <c r="I18" s="9"/>
      <c r="J18" s="9"/>
      <c r="K18" s="9"/>
    </row>
    <row r="19" spans="1:11" s="13" customFormat="1" ht="29.25" thickBot="1" x14ac:dyDescent="0.3">
      <c r="A19" s="19" t="s">
        <v>47</v>
      </c>
      <c r="B19" s="10" t="s">
        <v>1</v>
      </c>
      <c r="C19" s="14">
        <v>46175</v>
      </c>
      <c r="D19" s="11"/>
      <c r="E19" s="11"/>
      <c r="F19" s="12">
        <f t="shared" si="0"/>
        <v>0</v>
      </c>
      <c r="G19" s="20"/>
      <c r="H19" s="20"/>
      <c r="I19" s="9"/>
      <c r="J19" s="9"/>
      <c r="K19" s="9"/>
    </row>
    <row r="20" spans="1:11" s="13" customFormat="1" ht="29.25" thickBot="1" x14ac:dyDescent="0.3">
      <c r="A20" s="19" t="s">
        <v>47</v>
      </c>
      <c r="B20" s="10" t="s">
        <v>1</v>
      </c>
      <c r="C20" s="14">
        <v>46176</v>
      </c>
      <c r="D20" s="11"/>
      <c r="E20" s="11"/>
      <c r="F20" s="12">
        <f t="shared" si="0"/>
        <v>0</v>
      </c>
      <c r="G20" s="20"/>
      <c r="H20" s="20"/>
      <c r="I20" s="9"/>
      <c r="J20" s="9"/>
      <c r="K20" s="9"/>
    </row>
    <row r="21" spans="1:11" s="13" customFormat="1" ht="29.25" thickBot="1" x14ac:dyDescent="0.3">
      <c r="A21" s="19" t="s">
        <v>47</v>
      </c>
      <c r="B21" s="10" t="s">
        <v>1</v>
      </c>
      <c r="C21" s="14">
        <v>46176</v>
      </c>
      <c r="D21" s="11"/>
      <c r="E21" s="11"/>
      <c r="F21" s="12">
        <f t="shared" si="0"/>
        <v>0</v>
      </c>
      <c r="G21" s="20"/>
      <c r="H21" s="20"/>
      <c r="I21" s="9"/>
      <c r="J21" s="9"/>
      <c r="K21" s="9"/>
    </row>
    <row r="22" spans="1:11" s="13" customFormat="1" ht="29.25" thickBot="1" x14ac:dyDescent="0.3">
      <c r="A22" s="19" t="s">
        <v>47</v>
      </c>
      <c r="B22" s="10" t="s">
        <v>1</v>
      </c>
      <c r="C22" s="14">
        <v>46176</v>
      </c>
      <c r="D22" s="11"/>
      <c r="E22" s="11"/>
      <c r="F22" s="12">
        <f t="shared" si="0"/>
        <v>0</v>
      </c>
      <c r="G22" s="20"/>
      <c r="H22" s="20"/>
      <c r="I22" s="9"/>
      <c r="J22" s="9"/>
      <c r="K22" s="9"/>
    </row>
    <row r="23" spans="1:11" s="13" customFormat="1" ht="29.25" thickBot="1" x14ac:dyDescent="0.3">
      <c r="A23" s="19" t="s">
        <v>47</v>
      </c>
      <c r="B23" s="10" t="s">
        <v>1</v>
      </c>
      <c r="C23" s="14">
        <v>46176</v>
      </c>
      <c r="D23" s="11"/>
      <c r="E23" s="11"/>
      <c r="F23" s="12">
        <f t="shared" si="0"/>
        <v>0</v>
      </c>
      <c r="G23" s="20"/>
      <c r="H23" s="20"/>
      <c r="I23" s="9"/>
      <c r="J23" s="9"/>
      <c r="K23" s="9"/>
    </row>
    <row r="24" spans="1:11" s="13" customFormat="1" ht="29.25" thickBot="1" x14ac:dyDescent="0.3">
      <c r="A24" s="19" t="s">
        <v>47</v>
      </c>
      <c r="B24" s="10" t="s">
        <v>1</v>
      </c>
      <c r="C24" s="14">
        <v>46176</v>
      </c>
      <c r="D24" s="11"/>
      <c r="E24" s="11"/>
      <c r="F24" s="12">
        <f t="shared" si="0"/>
        <v>0</v>
      </c>
      <c r="G24" s="20"/>
      <c r="H24" s="20"/>
      <c r="I24" s="9"/>
      <c r="J24" s="9"/>
      <c r="K24" s="9"/>
    </row>
    <row r="25" spans="1:11" s="13" customFormat="1" ht="29.25" thickBot="1" x14ac:dyDescent="0.3">
      <c r="A25" s="19" t="s">
        <v>47</v>
      </c>
      <c r="B25" s="10" t="s">
        <v>1</v>
      </c>
      <c r="C25" s="14">
        <v>46176</v>
      </c>
      <c r="D25" s="11"/>
      <c r="E25" s="11"/>
      <c r="F25" s="12">
        <f t="shared" si="0"/>
        <v>0</v>
      </c>
      <c r="G25" s="20"/>
      <c r="H25" s="20"/>
      <c r="I25" s="9"/>
      <c r="J25" s="9"/>
      <c r="K25" s="9"/>
    </row>
    <row r="26" spans="1:11" s="13" customFormat="1" ht="29.25" thickBot="1" x14ac:dyDescent="0.3">
      <c r="A26" s="19" t="s">
        <v>47</v>
      </c>
      <c r="B26" s="10" t="s">
        <v>1</v>
      </c>
      <c r="C26" s="14">
        <v>46176</v>
      </c>
      <c r="D26" s="11"/>
      <c r="E26" s="11"/>
      <c r="F26" s="12">
        <f t="shared" si="0"/>
        <v>0</v>
      </c>
      <c r="G26" s="20"/>
      <c r="H26" s="20"/>
      <c r="I26" s="9"/>
      <c r="J26" s="9"/>
      <c r="K26" s="9"/>
    </row>
    <row r="27" spans="1:11" s="13" customFormat="1" ht="29.25" thickBot="1" x14ac:dyDescent="0.3">
      <c r="A27" s="19" t="s">
        <v>47</v>
      </c>
      <c r="B27" s="10" t="s">
        <v>1</v>
      </c>
      <c r="C27" s="14">
        <v>46176</v>
      </c>
      <c r="D27" s="11"/>
      <c r="E27" s="11"/>
      <c r="F27" s="12">
        <f t="shared" si="0"/>
        <v>0</v>
      </c>
      <c r="G27" s="20"/>
      <c r="H27" s="20"/>
      <c r="I27" s="9"/>
      <c r="J27" s="9"/>
      <c r="K27" s="9"/>
    </row>
    <row r="28" spans="1:11" s="13" customFormat="1" ht="29.25" thickBot="1" x14ac:dyDescent="0.3">
      <c r="A28" s="19" t="s">
        <v>47</v>
      </c>
      <c r="B28" s="10" t="s">
        <v>1</v>
      </c>
      <c r="C28" s="14">
        <v>46176</v>
      </c>
      <c r="D28" s="11"/>
      <c r="E28" s="11"/>
      <c r="F28" s="12">
        <f t="shared" si="0"/>
        <v>0</v>
      </c>
      <c r="G28" s="20"/>
      <c r="H28" s="20"/>
      <c r="I28" s="9"/>
      <c r="J28" s="9"/>
      <c r="K28" s="9"/>
    </row>
    <row r="29" spans="1:11" s="13" customFormat="1" ht="29.25" thickBot="1" x14ac:dyDescent="0.3">
      <c r="A29" s="19" t="s">
        <v>47</v>
      </c>
      <c r="B29" s="10" t="s">
        <v>1</v>
      </c>
      <c r="C29" s="14">
        <v>46177</v>
      </c>
      <c r="D29" s="11">
        <v>0.35416666666666669</v>
      </c>
      <c r="E29" s="11">
        <v>0.6875</v>
      </c>
      <c r="F29" s="12">
        <f>+(E29-D29)*24</f>
        <v>8</v>
      </c>
      <c r="G29" s="20" t="s">
        <v>21</v>
      </c>
      <c r="H29" s="20" t="s">
        <v>30</v>
      </c>
      <c r="I29" s="9"/>
      <c r="J29" s="9" t="s">
        <v>81</v>
      </c>
      <c r="K29" s="9"/>
    </row>
    <row r="30" spans="1:11" s="13" customFormat="1" ht="29.25" thickBot="1" x14ac:dyDescent="0.3">
      <c r="A30" s="19" t="s">
        <v>47</v>
      </c>
      <c r="B30" s="10" t="s">
        <v>1</v>
      </c>
      <c r="C30" s="14">
        <v>46177</v>
      </c>
      <c r="D30" s="11"/>
      <c r="E30" s="11"/>
      <c r="F30" s="12">
        <f t="shared" si="0"/>
        <v>0</v>
      </c>
      <c r="G30" s="20"/>
      <c r="H30" s="20"/>
      <c r="I30" s="9"/>
      <c r="J30" s="9"/>
      <c r="K30" s="9"/>
    </row>
    <row r="31" spans="1:11" s="13" customFormat="1" ht="29.25" thickBot="1" x14ac:dyDescent="0.3">
      <c r="A31" s="19" t="s">
        <v>47</v>
      </c>
      <c r="B31" s="10" t="s">
        <v>1</v>
      </c>
      <c r="C31" s="14">
        <v>46177</v>
      </c>
      <c r="D31" s="11"/>
      <c r="E31" s="11"/>
      <c r="F31" s="12">
        <f t="shared" si="0"/>
        <v>0</v>
      </c>
      <c r="G31" s="20"/>
      <c r="H31" s="20"/>
      <c r="I31" s="9"/>
      <c r="J31" s="9"/>
      <c r="K31" s="9"/>
    </row>
    <row r="32" spans="1:11" s="13" customFormat="1" ht="29.25" thickBot="1" x14ac:dyDescent="0.3">
      <c r="A32" s="19" t="s">
        <v>47</v>
      </c>
      <c r="B32" s="10" t="s">
        <v>1</v>
      </c>
      <c r="C32" s="14">
        <v>46177</v>
      </c>
      <c r="D32" s="11"/>
      <c r="E32" s="11"/>
      <c r="F32" s="12">
        <f t="shared" si="0"/>
        <v>0</v>
      </c>
      <c r="G32" s="20"/>
      <c r="H32" s="20"/>
      <c r="I32" s="9"/>
      <c r="J32" s="9"/>
      <c r="K32" s="9"/>
    </row>
    <row r="33" spans="1:11" s="13" customFormat="1" ht="29.25" thickBot="1" x14ac:dyDescent="0.3">
      <c r="A33" s="19" t="s">
        <v>47</v>
      </c>
      <c r="B33" s="10" t="s">
        <v>1</v>
      </c>
      <c r="C33" s="14">
        <v>46177</v>
      </c>
      <c r="D33" s="11"/>
      <c r="E33" s="11"/>
      <c r="F33" s="12">
        <f t="shared" si="0"/>
        <v>0</v>
      </c>
      <c r="G33" s="20"/>
      <c r="H33" s="20"/>
      <c r="I33" s="9"/>
      <c r="J33" s="9"/>
      <c r="K33" s="9"/>
    </row>
    <row r="34" spans="1:11" s="13" customFormat="1" ht="29.25" thickBot="1" x14ac:dyDescent="0.3">
      <c r="A34" s="19" t="s">
        <v>47</v>
      </c>
      <c r="B34" s="10" t="s">
        <v>1</v>
      </c>
      <c r="C34" s="14">
        <v>46177</v>
      </c>
      <c r="D34" s="11"/>
      <c r="E34" s="11"/>
      <c r="F34" s="12">
        <f t="shared" si="0"/>
        <v>0</v>
      </c>
      <c r="G34" s="20"/>
      <c r="H34" s="20"/>
      <c r="I34" s="9"/>
      <c r="J34" s="9"/>
      <c r="K34" s="9"/>
    </row>
    <row r="35" spans="1:11" s="13" customFormat="1" ht="29.25" thickBot="1" x14ac:dyDescent="0.3">
      <c r="A35" s="19" t="s">
        <v>47</v>
      </c>
      <c r="B35" s="10" t="s">
        <v>1</v>
      </c>
      <c r="C35" s="14">
        <v>46177</v>
      </c>
      <c r="D35" s="11"/>
      <c r="E35" s="11"/>
      <c r="F35" s="12">
        <f t="shared" si="0"/>
        <v>0</v>
      </c>
      <c r="G35" s="20"/>
      <c r="H35" s="20"/>
      <c r="I35" s="9"/>
      <c r="J35" s="9"/>
      <c r="K35" s="9"/>
    </row>
    <row r="36" spans="1:11" s="13" customFormat="1" ht="29.25" thickBot="1" x14ac:dyDescent="0.3">
      <c r="A36" s="19" t="s">
        <v>47</v>
      </c>
      <c r="B36" s="10" t="s">
        <v>1</v>
      </c>
      <c r="C36" s="14">
        <v>46177</v>
      </c>
      <c r="D36" s="11"/>
      <c r="E36" s="11"/>
      <c r="F36" s="12">
        <f t="shared" si="0"/>
        <v>0</v>
      </c>
      <c r="G36" s="20"/>
      <c r="H36" s="20"/>
      <c r="I36" s="9"/>
      <c r="J36" s="9"/>
      <c r="K36" s="9"/>
    </row>
    <row r="37" spans="1:11" s="13" customFormat="1" ht="29.25" thickBot="1" x14ac:dyDescent="0.3">
      <c r="A37" s="19" t="s">
        <v>47</v>
      </c>
      <c r="B37" s="10" t="s">
        <v>1</v>
      </c>
      <c r="C37" s="14">
        <v>46177</v>
      </c>
      <c r="D37" s="11"/>
      <c r="E37" s="11"/>
      <c r="F37" s="12">
        <f t="shared" si="0"/>
        <v>0</v>
      </c>
      <c r="G37" s="20"/>
      <c r="H37" s="20"/>
      <c r="I37" s="9"/>
      <c r="J37" s="9"/>
      <c r="K37" s="9"/>
    </row>
    <row r="38" spans="1:11" s="13" customFormat="1" ht="29.25" thickBot="1" x14ac:dyDescent="0.3">
      <c r="A38" s="19" t="s">
        <v>47</v>
      </c>
      <c r="B38" s="10" t="s">
        <v>1</v>
      </c>
      <c r="C38" s="14">
        <v>46178</v>
      </c>
      <c r="D38" s="11"/>
      <c r="E38" s="11"/>
      <c r="F38" s="12">
        <f t="shared" si="0"/>
        <v>0</v>
      </c>
      <c r="G38" s="20"/>
      <c r="H38" s="20"/>
      <c r="I38" s="9"/>
      <c r="J38" s="9"/>
      <c r="K38" s="9"/>
    </row>
    <row r="39" spans="1:11" s="13" customFormat="1" ht="29.25" thickBot="1" x14ac:dyDescent="0.3">
      <c r="A39" s="19" t="s">
        <v>47</v>
      </c>
      <c r="B39" s="10" t="s">
        <v>1</v>
      </c>
      <c r="C39" s="14">
        <v>46178</v>
      </c>
      <c r="D39" s="11"/>
      <c r="E39" s="11"/>
      <c r="F39" s="12">
        <f t="shared" si="0"/>
        <v>0</v>
      </c>
      <c r="G39" s="20"/>
      <c r="H39" s="20"/>
      <c r="I39" s="9"/>
      <c r="J39" s="9"/>
      <c r="K39" s="9"/>
    </row>
    <row r="40" spans="1:11" s="13" customFormat="1" ht="29.25" thickBot="1" x14ac:dyDescent="0.3">
      <c r="A40" s="19" t="s">
        <v>47</v>
      </c>
      <c r="B40" s="10" t="s">
        <v>1</v>
      </c>
      <c r="C40" s="14">
        <v>46178</v>
      </c>
      <c r="D40" s="11"/>
      <c r="E40" s="11"/>
      <c r="F40" s="12">
        <f t="shared" si="0"/>
        <v>0</v>
      </c>
      <c r="G40" s="20"/>
      <c r="H40" s="20"/>
      <c r="I40" s="9"/>
      <c r="J40" s="9"/>
      <c r="K40" s="9"/>
    </row>
    <row r="41" spans="1:11" s="13" customFormat="1" ht="29.25" thickBot="1" x14ac:dyDescent="0.3">
      <c r="A41" s="19" t="s">
        <v>47</v>
      </c>
      <c r="B41" s="10" t="s">
        <v>1</v>
      </c>
      <c r="C41" s="14">
        <v>46178</v>
      </c>
      <c r="D41" s="11"/>
      <c r="E41" s="11"/>
      <c r="F41" s="12">
        <f t="shared" si="0"/>
        <v>0</v>
      </c>
      <c r="G41" s="20"/>
      <c r="H41" s="20"/>
      <c r="I41" s="9"/>
      <c r="J41" s="9"/>
      <c r="K41" s="9"/>
    </row>
    <row r="42" spans="1:11" s="13" customFormat="1" ht="29.25" thickBot="1" x14ac:dyDescent="0.3">
      <c r="A42" s="19" t="s">
        <v>47</v>
      </c>
      <c r="B42" s="10" t="s">
        <v>1</v>
      </c>
      <c r="C42" s="14">
        <v>46178</v>
      </c>
      <c r="D42" s="11"/>
      <c r="E42" s="11"/>
      <c r="F42" s="12">
        <f t="shared" si="0"/>
        <v>0</v>
      </c>
      <c r="G42" s="20"/>
      <c r="H42" s="20"/>
      <c r="I42" s="9"/>
      <c r="J42" s="9"/>
      <c r="K42" s="9"/>
    </row>
    <row r="43" spans="1:11" s="13" customFormat="1" ht="29.25" thickBot="1" x14ac:dyDescent="0.3">
      <c r="A43" s="19" t="s">
        <v>47</v>
      </c>
      <c r="B43" s="10" t="s">
        <v>1</v>
      </c>
      <c r="C43" s="14">
        <v>46178</v>
      </c>
      <c r="D43" s="11"/>
      <c r="E43" s="11"/>
      <c r="F43" s="12">
        <f t="shared" si="0"/>
        <v>0</v>
      </c>
      <c r="G43" s="20"/>
      <c r="H43" s="20"/>
      <c r="I43" s="9"/>
      <c r="J43" s="9"/>
      <c r="K43" s="9"/>
    </row>
    <row r="44" spans="1:11" s="13" customFormat="1" ht="29.25" thickBot="1" x14ac:dyDescent="0.3">
      <c r="A44" s="19" t="s">
        <v>47</v>
      </c>
      <c r="B44" s="10" t="s">
        <v>1</v>
      </c>
      <c r="C44" s="14">
        <v>46178</v>
      </c>
      <c r="D44" s="11"/>
      <c r="E44" s="11"/>
      <c r="F44" s="12">
        <f t="shared" si="0"/>
        <v>0</v>
      </c>
      <c r="G44" s="20"/>
      <c r="H44" s="20"/>
      <c r="I44" s="9"/>
      <c r="J44" s="9"/>
      <c r="K44" s="9"/>
    </row>
    <row r="45" spans="1:11" s="13" customFormat="1" ht="29.25" thickBot="1" x14ac:dyDescent="0.3">
      <c r="A45" s="19" t="s">
        <v>47</v>
      </c>
      <c r="B45" s="10" t="s">
        <v>1</v>
      </c>
      <c r="C45" s="14">
        <v>46178</v>
      </c>
      <c r="D45" s="11"/>
      <c r="E45" s="11"/>
      <c r="F45" s="12">
        <f t="shared" si="0"/>
        <v>0</v>
      </c>
      <c r="G45" s="20"/>
      <c r="H45" s="20"/>
      <c r="I45" s="9"/>
      <c r="J45" s="9"/>
      <c r="K45" s="9"/>
    </row>
    <row r="46" spans="1:11" s="13" customFormat="1" ht="29.25" thickBot="1" x14ac:dyDescent="0.3">
      <c r="A46" s="19" t="s">
        <v>47</v>
      </c>
      <c r="B46" s="10" t="s">
        <v>1</v>
      </c>
      <c r="C46" s="14">
        <v>46178</v>
      </c>
      <c r="D46" s="11"/>
      <c r="E46" s="11"/>
      <c r="F46" s="12">
        <f t="shared" si="0"/>
        <v>0</v>
      </c>
      <c r="G46" s="20"/>
      <c r="H46" s="20"/>
      <c r="I46" s="9"/>
      <c r="J46" s="9"/>
      <c r="K46" s="9"/>
    </row>
    <row r="47" spans="1:11" s="13" customFormat="1" ht="29.25" thickBot="1" x14ac:dyDescent="0.3">
      <c r="A47" s="19" t="s">
        <v>47</v>
      </c>
      <c r="B47" s="10" t="s">
        <v>1</v>
      </c>
      <c r="C47" s="14">
        <v>46179</v>
      </c>
      <c r="D47" s="11">
        <v>0.35416666666666669</v>
      </c>
      <c r="E47" s="11">
        <v>0.6875</v>
      </c>
      <c r="F47" s="12">
        <f>+(E47-D47)*24</f>
        <v>8</v>
      </c>
      <c r="G47" s="20" t="s">
        <v>21</v>
      </c>
      <c r="H47" s="20" t="s">
        <v>30</v>
      </c>
      <c r="I47" s="9"/>
      <c r="J47" s="9" t="s">
        <v>71</v>
      </c>
      <c r="K47" s="9"/>
    </row>
    <row r="48" spans="1:11" s="13" customFormat="1" ht="29.25" thickBot="1" x14ac:dyDescent="0.3">
      <c r="A48" s="19" t="s">
        <v>47</v>
      </c>
      <c r="B48" s="10" t="s">
        <v>1</v>
      </c>
      <c r="C48" s="14">
        <v>46179</v>
      </c>
      <c r="D48" s="11"/>
      <c r="E48" s="11"/>
      <c r="F48" s="12"/>
      <c r="G48" s="20"/>
      <c r="H48" s="20"/>
      <c r="I48" s="9"/>
      <c r="J48" s="9"/>
      <c r="K48" s="9"/>
    </row>
    <row r="49" spans="1:11" s="13" customFormat="1" ht="13.9" customHeight="1" thickBot="1" x14ac:dyDescent="0.3">
      <c r="A49" s="19" t="s">
        <v>47</v>
      </c>
      <c r="B49" s="10" t="s">
        <v>1</v>
      </c>
      <c r="C49" s="14">
        <v>46179</v>
      </c>
      <c r="D49" s="11"/>
      <c r="E49" s="11"/>
      <c r="F49" s="12">
        <f t="shared" si="0"/>
        <v>0</v>
      </c>
      <c r="G49" s="20"/>
      <c r="H49" s="20"/>
      <c r="I49" s="9"/>
      <c r="J49" s="9"/>
      <c r="K49" s="9"/>
    </row>
    <row r="50" spans="1:11" s="13" customFormat="1" ht="29.25" thickBot="1" x14ac:dyDescent="0.3">
      <c r="A50" s="19" t="s">
        <v>47</v>
      </c>
      <c r="B50" s="10" t="s">
        <v>1</v>
      </c>
      <c r="C50" s="14">
        <v>46179</v>
      </c>
      <c r="D50" s="11"/>
      <c r="E50" s="11"/>
      <c r="F50" s="12">
        <f t="shared" si="0"/>
        <v>0</v>
      </c>
      <c r="G50" s="20"/>
      <c r="H50" s="20"/>
      <c r="I50" s="9"/>
      <c r="J50" s="9"/>
      <c r="K50" s="9"/>
    </row>
    <row r="51" spans="1:11" s="13" customFormat="1" ht="29.25" thickBot="1" x14ac:dyDescent="0.3">
      <c r="A51" s="19" t="s">
        <v>47</v>
      </c>
      <c r="B51" s="10" t="s">
        <v>1</v>
      </c>
      <c r="C51" s="14">
        <v>46179</v>
      </c>
      <c r="D51" s="11"/>
      <c r="E51" s="11"/>
      <c r="F51" s="12">
        <f t="shared" si="0"/>
        <v>0</v>
      </c>
      <c r="G51" s="20"/>
      <c r="H51" s="20"/>
      <c r="I51" s="9"/>
      <c r="J51" s="9"/>
      <c r="K51" s="9"/>
    </row>
    <row r="52" spans="1:11" s="13" customFormat="1" ht="29.25" thickBot="1" x14ac:dyDescent="0.3">
      <c r="A52" s="19" t="s">
        <v>47</v>
      </c>
      <c r="B52" s="10" t="s">
        <v>1</v>
      </c>
      <c r="C52" s="14">
        <v>46179</v>
      </c>
      <c r="D52" s="11"/>
      <c r="E52" s="11"/>
      <c r="F52" s="12">
        <f t="shared" si="0"/>
        <v>0</v>
      </c>
      <c r="G52" s="20"/>
      <c r="H52" s="20"/>
      <c r="I52" s="9"/>
      <c r="J52" s="9"/>
      <c r="K52" s="9"/>
    </row>
    <row r="53" spans="1:11" s="13" customFormat="1" ht="29.25" thickBot="1" x14ac:dyDescent="0.3">
      <c r="A53" s="19" t="s">
        <v>47</v>
      </c>
      <c r="B53" s="10"/>
      <c r="C53" s="14">
        <v>46179</v>
      </c>
      <c r="D53" s="11"/>
      <c r="E53" s="11"/>
      <c r="F53" s="12">
        <f t="shared" si="0"/>
        <v>0</v>
      </c>
      <c r="G53" s="20"/>
      <c r="H53" s="20"/>
      <c r="I53" s="9"/>
      <c r="J53" s="9"/>
      <c r="K53" s="9"/>
    </row>
    <row r="54" spans="1:11" s="13" customFormat="1" ht="29.25" thickBot="1" x14ac:dyDescent="0.3">
      <c r="A54" s="19" t="s">
        <v>47</v>
      </c>
      <c r="B54" s="10"/>
      <c r="C54" s="14">
        <v>46179</v>
      </c>
      <c r="D54" s="11"/>
      <c r="E54" s="11"/>
      <c r="F54" s="12">
        <f t="shared" si="0"/>
        <v>0</v>
      </c>
      <c r="G54" s="20"/>
      <c r="H54" s="20"/>
      <c r="I54" s="9"/>
      <c r="J54" s="9"/>
      <c r="K54" s="9"/>
    </row>
    <row r="55" spans="1:11" s="13" customFormat="1" ht="29.25" thickBot="1" x14ac:dyDescent="0.3">
      <c r="A55" s="19" t="s">
        <v>47</v>
      </c>
      <c r="B55" s="10"/>
      <c r="C55" s="14">
        <v>46179</v>
      </c>
      <c r="D55" s="11"/>
      <c r="E55" s="11"/>
      <c r="F55" s="12">
        <f t="shared" si="0"/>
        <v>0</v>
      </c>
      <c r="G55" s="20"/>
      <c r="H55" s="20"/>
      <c r="I55" s="9"/>
      <c r="J55" s="9"/>
      <c r="K55" s="9"/>
    </row>
    <row r="56" spans="1:11" s="13" customFormat="1" ht="29.25" thickBot="1" x14ac:dyDescent="0.3">
      <c r="A56" s="19" t="s">
        <v>47</v>
      </c>
      <c r="B56" s="10"/>
      <c r="C56" s="14">
        <v>46180</v>
      </c>
      <c r="D56" s="11">
        <v>0.35416666666666669</v>
      </c>
      <c r="E56" s="11">
        <v>0.6875</v>
      </c>
      <c r="F56" s="12">
        <f>+(E56-D56)*24</f>
        <v>8</v>
      </c>
      <c r="G56" s="20" t="s">
        <v>21</v>
      </c>
      <c r="H56" s="20" t="s">
        <v>30</v>
      </c>
      <c r="I56" s="9"/>
      <c r="J56" s="9" t="s">
        <v>71</v>
      </c>
      <c r="K56" s="9"/>
    </row>
    <row r="57" spans="1:11" s="13" customFormat="1" ht="29.25" thickBot="1" x14ac:dyDescent="0.3">
      <c r="A57" s="19" t="s">
        <v>47</v>
      </c>
      <c r="B57" s="10"/>
      <c r="C57" s="14">
        <v>46180</v>
      </c>
      <c r="D57" s="11"/>
      <c r="E57" s="11"/>
      <c r="F57" s="12">
        <f t="shared" si="0"/>
        <v>0</v>
      </c>
      <c r="G57" s="20"/>
      <c r="H57" s="20"/>
      <c r="I57" s="9"/>
      <c r="J57" s="9"/>
      <c r="K57" s="9"/>
    </row>
    <row r="58" spans="1:11" s="13" customFormat="1" ht="29.25" thickBot="1" x14ac:dyDescent="0.3">
      <c r="A58" s="19" t="s">
        <v>47</v>
      </c>
      <c r="B58" s="10"/>
      <c r="C58" s="14">
        <v>46180</v>
      </c>
      <c r="D58" s="11"/>
      <c r="E58" s="11"/>
      <c r="F58" s="12">
        <f t="shared" si="0"/>
        <v>0</v>
      </c>
      <c r="G58" s="20"/>
      <c r="H58" s="20"/>
      <c r="I58" s="9"/>
      <c r="J58" s="9"/>
      <c r="K58" s="9"/>
    </row>
    <row r="59" spans="1:11" s="13" customFormat="1" ht="29.25" thickBot="1" x14ac:dyDescent="0.3">
      <c r="A59" s="19" t="s">
        <v>47</v>
      </c>
      <c r="B59" s="10"/>
      <c r="C59" s="14">
        <v>46180</v>
      </c>
      <c r="D59" s="11"/>
      <c r="E59" s="11"/>
      <c r="F59" s="12">
        <f t="shared" si="0"/>
        <v>0</v>
      </c>
      <c r="G59" s="20"/>
      <c r="H59" s="20"/>
      <c r="I59" s="9"/>
      <c r="J59" s="9"/>
      <c r="K59" s="9"/>
    </row>
    <row r="60" spans="1:11" s="13" customFormat="1" ht="29.25" thickBot="1" x14ac:dyDescent="0.3">
      <c r="A60" s="19" t="s">
        <v>47</v>
      </c>
      <c r="B60" s="10"/>
      <c r="C60" s="14">
        <v>46180</v>
      </c>
      <c r="D60" s="11"/>
      <c r="E60" s="11"/>
      <c r="F60" s="12">
        <f t="shared" si="0"/>
        <v>0</v>
      </c>
      <c r="G60" s="20"/>
      <c r="H60" s="20"/>
      <c r="I60" s="9"/>
      <c r="J60" s="9"/>
      <c r="K60" s="9"/>
    </row>
    <row r="61" spans="1:11" s="13" customFormat="1" ht="29.25" thickBot="1" x14ac:dyDescent="0.3">
      <c r="A61" s="19" t="s">
        <v>47</v>
      </c>
      <c r="B61" s="10"/>
      <c r="C61" s="14">
        <v>46180</v>
      </c>
      <c r="D61" s="11"/>
      <c r="E61" s="11"/>
      <c r="F61" s="12">
        <f t="shared" si="0"/>
        <v>0</v>
      </c>
      <c r="G61" s="20"/>
      <c r="H61" s="20"/>
      <c r="I61" s="9"/>
      <c r="J61" s="9"/>
      <c r="K61" s="9"/>
    </row>
    <row r="62" spans="1:11" s="13" customFormat="1" ht="29.25" thickBot="1" x14ac:dyDescent="0.3">
      <c r="A62" s="19" t="s">
        <v>47</v>
      </c>
      <c r="B62" s="10"/>
      <c r="C62" s="14">
        <v>46180</v>
      </c>
      <c r="D62" s="11"/>
      <c r="E62" s="11"/>
      <c r="F62" s="12">
        <f t="shared" si="0"/>
        <v>0</v>
      </c>
      <c r="G62" s="20"/>
      <c r="H62" s="20"/>
      <c r="I62" s="9"/>
      <c r="J62" s="9"/>
      <c r="K62" s="9"/>
    </row>
    <row r="63" spans="1:11" s="13" customFormat="1" ht="29.25" thickBot="1" x14ac:dyDescent="0.3">
      <c r="A63" s="19" t="s">
        <v>47</v>
      </c>
      <c r="B63" s="10"/>
      <c r="C63" s="14">
        <v>46180</v>
      </c>
      <c r="D63" s="11"/>
      <c r="E63" s="11"/>
      <c r="F63" s="12">
        <f t="shared" si="0"/>
        <v>0</v>
      </c>
      <c r="G63" s="20"/>
      <c r="H63" s="20"/>
      <c r="I63" s="9"/>
      <c r="J63" s="9"/>
      <c r="K63" s="9"/>
    </row>
    <row r="64" spans="1:11" s="13" customFormat="1" ht="29.25" thickBot="1" x14ac:dyDescent="0.3">
      <c r="A64" s="19" t="s">
        <v>47</v>
      </c>
      <c r="B64" s="10"/>
      <c r="C64" s="14">
        <v>46180</v>
      </c>
      <c r="D64" s="11"/>
      <c r="E64" s="11"/>
      <c r="F64" s="12">
        <f t="shared" si="0"/>
        <v>0</v>
      </c>
      <c r="G64" s="20"/>
      <c r="H64" s="20"/>
      <c r="I64" s="9"/>
      <c r="J64" s="9"/>
      <c r="K64" s="9"/>
    </row>
    <row r="65" spans="1:11" s="13" customFormat="1" ht="29.25" thickBot="1" x14ac:dyDescent="0.3">
      <c r="A65" s="19" t="s">
        <v>47</v>
      </c>
      <c r="B65" s="10"/>
      <c r="C65" s="14">
        <v>46181</v>
      </c>
      <c r="D65" s="11"/>
      <c r="E65" s="11"/>
      <c r="F65" s="12">
        <f t="shared" si="0"/>
        <v>0</v>
      </c>
      <c r="G65" s="20"/>
      <c r="H65" s="20"/>
      <c r="I65" s="9"/>
      <c r="J65" s="9"/>
      <c r="K65" s="9"/>
    </row>
    <row r="66" spans="1:11" s="13" customFormat="1" ht="29.25" thickBot="1" x14ac:dyDescent="0.3">
      <c r="A66" s="19" t="s">
        <v>47</v>
      </c>
      <c r="B66" s="10"/>
      <c r="C66" s="14">
        <v>46181</v>
      </c>
      <c r="D66" s="11"/>
      <c r="E66" s="11"/>
      <c r="F66" s="12">
        <f t="shared" si="0"/>
        <v>0</v>
      </c>
      <c r="G66" s="20"/>
      <c r="H66" s="20"/>
      <c r="I66" s="9"/>
      <c r="J66" s="9"/>
      <c r="K66" s="9"/>
    </row>
    <row r="67" spans="1:11" s="13" customFormat="1" ht="29.25" thickBot="1" x14ac:dyDescent="0.3">
      <c r="A67" s="19" t="s">
        <v>47</v>
      </c>
      <c r="B67" s="10"/>
      <c r="C67" s="14">
        <v>46181</v>
      </c>
      <c r="D67" s="11"/>
      <c r="E67" s="11"/>
      <c r="F67" s="12">
        <f t="shared" si="0"/>
        <v>0</v>
      </c>
      <c r="G67" s="20"/>
      <c r="H67" s="20"/>
      <c r="I67" s="9"/>
      <c r="J67" s="9"/>
      <c r="K67" s="9"/>
    </row>
    <row r="68" spans="1:11" s="13" customFormat="1" ht="29.25" thickBot="1" x14ac:dyDescent="0.3">
      <c r="A68" s="19" t="s">
        <v>47</v>
      </c>
      <c r="B68" s="10"/>
      <c r="C68" s="14">
        <v>46181</v>
      </c>
      <c r="D68" s="11"/>
      <c r="E68" s="11"/>
      <c r="F68" s="12">
        <f t="shared" si="0"/>
        <v>0</v>
      </c>
      <c r="G68" s="20"/>
      <c r="H68" s="20"/>
      <c r="I68" s="9"/>
      <c r="J68" s="9"/>
      <c r="K68" s="9"/>
    </row>
    <row r="69" spans="1:11" s="13" customFormat="1" ht="29.25" thickBot="1" x14ac:dyDescent="0.3">
      <c r="A69" s="19" t="s">
        <v>47</v>
      </c>
      <c r="B69" s="10"/>
      <c r="C69" s="14">
        <v>46181</v>
      </c>
      <c r="D69" s="11"/>
      <c r="E69" s="11"/>
      <c r="F69" s="12">
        <f t="shared" si="0"/>
        <v>0</v>
      </c>
      <c r="G69" s="20"/>
      <c r="H69" s="20"/>
      <c r="I69" s="9"/>
      <c r="J69" s="9"/>
      <c r="K69" s="9"/>
    </row>
    <row r="70" spans="1:11" s="13" customFormat="1" ht="29.25" thickBot="1" x14ac:dyDescent="0.3">
      <c r="A70" s="19" t="s">
        <v>47</v>
      </c>
      <c r="B70" s="10"/>
      <c r="C70" s="14">
        <v>46181</v>
      </c>
      <c r="D70" s="11"/>
      <c r="E70" s="11"/>
      <c r="F70" s="12">
        <f t="shared" ref="F70:F133" si="1">+(E70-D70)*24</f>
        <v>0</v>
      </c>
      <c r="G70" s="20"/>
      <c r="H70" s="20"/>
      <c r="I70" s="9"/>
      <c r="J70" s="9"/>
      <c r="K70" s="9"/>
    </row>
    <row r="71" spans="1:11" s="13" customFormat="1" ht="29.25" thickBot="1" x14ac:dyDescent="0.3">
      <c r="A71" s="19" t="s">
        <v>47</v>
      </c>
      <c r="B71" s="10"/>
      <c r="C71" s="14">
        <v>46181</v>
      </c>
      <c r="D71" s="11"/>
      <c r="E71" s="11"/>
      <c r="F71" s="12">
        <f t="shared" si="1"/>
        <v>0</v>
      </c>
      <c r="G71" s="20"/>
      <c r="H71" s="20"/>
      <c r="I71" s="9"/>
      <c r="J71" s="9"/>
      <c r="K71" s="9"/>
    </row>
    <row r="72" spans="1:11" s="13" customFormat="1" ht="29.25" thickBot="1" x14ac:dyDescent="0.3">
      <c r="A72" s="19" t="s">
        <v>47</v>
      </c>
      <c r="B72" s="10"/>
      <c r="C72" s="14">
        <v>46181</v>
      </c>
      <c r="D72" s="11"/>
      <c r="E72" s="11"/>
      <c r="F72" s="12">
        <f t="shared" si="1"/>
        <v>0</v>
      </c>
      <c r="G72" s="20"/>
      <c r="H72" s="20"/>
      <c r="I72" s="9"/>
      <c r="J72" s="9"/>
      <c r="K72" s="9"/>
    </row>
    <row r="73" spans="1:11" s="13" customFormat="1" ht="29.25" thickBot="1" x14ac:dyDescent="0.3">
      <c r="A73" s="19" t="s">
        <v>47</v>
      </c>
      <c r="B73" s="10"/>
      <c r="C73" s="14">
        <v>46181</v>
      </c>
      <c r="D73" s="11"/>
      <c r="E73" s="11"/>
      <c r="F73" s="12">
        <f t="shared" si="1"/>
        <v>0</v>
      </c>
      <c r="G73" s="20"/>
      <c r="H73" s="20"/>
      <c r="I73" s="9"/>
      <c r="J73" s="9"/>
      <c r="K73" s="9"/>
    </row>
    <row r="74" spans="1:11" s="13" customFormat="1" ht="29.25" thickBot="1" x14ac:dyDescent="0.3">
      <c r="A74" s="19" t="s">
        <v>47</v>
      </c>
      <c r="B74" s="10"/>
      <c r="C74" s="14">
        <v>46182</v>
      </c>
      <c r="D74" s="11"/>
      <c r="E74" s="11"/>
      <c r="F74" s="12">
        <f t="shared" si="1"/>
        <v>0</v>
      </c>
      <c r="G74" s="20"/>
      <c r="H74" s="20"/>
      <c r="I74" s="9"/>
      <c r="J74" s="9"/>
      <c r="K74" s="9"/>
    </row>
    <row r="75" spans="1:11" s="13" customFormat="1" ht="29.25" thickBot="1" x14ac:dyDescent="0.3">
      <c r="A75" s="19" t="s">
        <v>47</v>
      </c>
      <c r="B75" s="10"/>
      <c r="C75" s="14">
        <v>46182</v>
      </c>
      <c r="D75" s="11"/>
      <c r="E75" s="11"/>
      <c r="F75" s="12">
        <f t="shared" si="1"/>
        <v>0</v>
      </c>
      <c r="G75" s="20"/>
      <c r="H75" s="20"/>
      <c r="I75" s="9"/>
      <c r="J75" s="9"/>
      <c r="K75" s="9"/>
    </row>
    <row r="76" spans="1:11" s="13" customFormat="1" ht="29.25" thickBot="1" x14ac:dyDescent="0.3">
      <c r="A76" s="19" t="s">
        <v>47</v>
      </c>
      <c r="B76" s="10"/>
      <c r="C76" s="14">
        <v>46182</v>
      </c>
      <c r="D76" s="11"/>
      <c r="E76" s="11"/>
      <c r="F76" s="12">
        <f t="shared" si="1"/>
        <v>0</v>
      </c>
      <c r="G76" s="20"/>
      <c r="H76" s="20"/>
      <c r="I76" s="9"/>
      <c r="J76" s="9"/>
      <c r="K76" s="9"/>
    </row>
    <row r="77" spans="1:11" s="13" customFormat="1" ht="29.25" thickBot="1" x14ac:dyDescent="0.3">
      <c r="A77" s="19" t="s">
        <v>47</v>
      </c>
      <c r="B77" s="10"/>
      <c r="C77" s="14">
        <v>46182</v>
      </c>
      <c r="D77" s="11"/>
      <c r="E77" s="11"/>
      <c r="F77" s="12">
        <f t="shared" si="1"/>
        <v>0</v>
      </c>
      <c r="G77" s="20"/>
      <c r="H77" s="20"/>
      <c r="I77" s="9"/>
      <c r="J77" s="9"/>
      <c r="K77" s="9"/>
    </row>
    <row r="78" spans="1:11" s="13" customFormat="1" ht="29.25" thickBot="1" x14ac:dyDescent="0.3">
      <c r="A78" s="19" t="s">
        <v>47</v>
      </c>
      <c r="B78" s="10"/>
      <c r="C78" s="14">
        <v>46182</v>
      </c>
      <c r="D78" s="11"/>
      <c r="E78" s="11"/>
      <c r="F78" s="12">
        <f t="shared" si="1"/>
        <v>0</v>
      </c>
      <c r="G78" s="20"/>
      <c r="H78" s="20"/>
      <c r="I78" s="9"/>
      <c r="J78" s="9"/>
      <c r="K78" s="9"/>
    </row>
    <row r="79" spans="1:11" s="13" customFormat="1" ht="29.25" thickBot="1" x14ac:dyDescent="0.3">
      <c r="A79" s="19" t="s">
        <v>47</v>
      </c>
      <c r="B79" s="10"/>
      <c r="C79" s="14">
        <v>46182</v>
      </c>
      <c r="D79" s="11"/>
      <c r="E79" s="11"/>
      <c r="F79" s="12">
        <f t="shared" si="1"/>
        <v>0</v>
      </c>
      <c r="G79" s="20"/>
      <c r="H79" s="20"/>
      <c r="I79" s="9"/>
      <c r="J79" s="9"/>
      <c r="K79" s="9"/>
    </row>
    <row r="80" spans="1:11" s="13" customFormat="1" ht="29.25" thickBot="1" x14ac:dyDescent="0.3">
      <c r="A80" s="19" t="s">
        <v>47</v>
      </c>
      <c r="B80" s="10"/>
      <c r="C80" s="14">
        <v>46182</v>
      </c>
      <c r="D80" s="11"/>
      <c r="E80" s="11"/>
      <c r="F80" s="12">
        <f t="shared" si="1"/>
        <v>0</v>
      </c>
      <c r="G80" s="20"/>
      <c r="H80" s="20"/>
      <c r="I80" s="9"/>
      <c r="J80" s="9"/>
      <c r="K80" s="9"/>
    </row>
    <row r="81" spans="1:11" s="13" customFormat="1" ht="29.25" thickBot="1" x14ac:dyDescent="0.3">
      <c r="A81" s="19" t="s">
        <v>47</v>
      </c>
      <c r="B81" s="10"/>
      <c r="C81" s="14">
        <v>46182</v>
      </c>
      <c r="D81" s="11"/>
      <c r="E81" s="11"/>
      <c r="F81" s="12">
        <f t="shared" si="1"/>
        <v>0</v>
      </c>
      <c r="G81" s="20"/>
      <c r="H81" s="20"/>
      <c r="I81" s="9"/>
      <c r="J81" s="9"/>
      <c r="K81" s="9"/>
    </row>
    <row r="82" spans="1:11" s="13" customFormat="1" ht="29.25" thickBot="1" x14ac:dyDescent="0.3">
      <c r="A82" s="19" t="s">
        <v>47</v>
      </c>
      <c r="B82" s="10"/>
      <c r="C82" s="14">
        <v>46182</v>
      </c>
      <c r="D82" s="11"/>
      <c r="E82" s="11"/>
      <c r="F82" s="12">
        <f t="shared" si="1"/>
        <v>0</v>
      </c>
      <c r="G82" s="20"/>
      <c r="H82" s="20"/>
      <c r="I82" s="9"/>
      <c r="J82" s="9"/>
      <c r="K82" s="9"/>
    </row>
    <row r="83" spans="1:11" s="13" customFormat="1" ht="29.25" thickBot="1" x14ac:dyDescent="0.3">
      <c r="A83" s="19" t="s">
        <v>47</v>
      </c>
      <c r="B83" s="10"/>
      <c r="C83" s="14">
        <v>46183</v>
      </c>
      <c r="D83" s="11"/>
      <c r="E83" s="11"/>
      <c r="F83" s="12">
        <f t="shared" si="1"/>
        <v>0</v>
      </c>
      <c r="G83" s="20"/>
      <c r="H83" s="20"/>
      <c r="I83" s="9"/>
      <c r="J83" s="9"/>
      <c r="K83" s="9"/>
    </row>
    <row r="84" spans="1:11" s="13" customFormat="1" ht="29.25" thickBot="1" x14ac:dyDescent="0.3">
      <c r="A84" s="19" t="s">
        <v>47</v>
      </c>
      <c r="B84" s="10"/>
      <c r="C84" s="14">
        <v>46183</v>
      </c>
      <c r="D84" s="11"/>
      <c r="E84" s="11"/>
      <c r="F84" s="12">
        <f t="shared" si="1"/>
        <v>0</v>
      </c>
      <c r="G84" s="20"/>
      <c r="H84" s="20"/>
      <c r="I84" s="9"/>
      <c r="J84" s="9"/>
      <c r="K84" s="9"/>
    </row>
    <row r="85" spans="1:11" s="13" customFormat="1" ht="29.25" thickBot="1" x14ac:dyDescent="0.3">
      <c r="A85" s="19" t="s">
        <v>47</v>
      </c>
      <c r="B85" s="10"/>
      <c r="C85" s="14">
        <v>46183</v>
      </c>
      <c r="D85" s="11"/>
      <c r="E85" s="11"/>
      <c r="F85" s="12">
        <f t="shared" si="1"/>
        <v>0</v>
      </c>
      <c r="G85" s="20"/>
      <c r="H85" s="20"/>
      <c r="I85" s="9"/>
      <c r="J85" s="9"/>
      <c r="K85" s="9"/>
    </row>
    <row r="86" spans="1:11" s="13" customFormat="1" ht="29.25" thickBot="1" x14ac:dyDescent="0.3">
      <c r="A86" s="19" t="s">
        <v>47</v>
      </c>
      <c r="B86" s="10"/>
      <c r="C86" s="14">
        <v>46183</v>
      </c>
      <c r="D86" s="11"/>
      <c r="E86" s="11"/>
      <c r="F86" s="12">
        <f t="shared" si="1"/>
        <v>0</v>
      </c>
      <c r="G86" s="20"/>
      <c r="H86" s="20"/>
      <c r="I86" s="9"/>
      <c r="J86" s="9"/>
      <c r="K86" s="9"/>
    </row>
    <row r="87" spans="1:11" s="13" customFormat="1" ht="29.25" thickBot="1" x14ac:dyDescent="0.3">
      <c r="A87" s="19" t="s">
        <v>47</v>
      </c>
      <c r="B87" s="10"/>
      <c r="C87" s="14">
        <v>46183</v>
      </c>
      <c r="D87" s="11"/>
      <c r="E87" s="11"/>
      <c r="F87" s="12">
        <f t="shared" si="1"/>
        <v>0</v>
      </c>
      <c r="G87" s="20"/>
      <c r="H87" s="20"/>
      <c r="I87" s="9"/>
      <c r="J87" s="9"/>
      <c r="K87" s="9"/>
    </row>
    <row r="88" spans="1:11" s="13" customFormat="1" ht="29.25" thickBot="1" x14ac:dyDescent="0.3">
      <c r="A88" s="19" t="s">
        <v>47</v>
      </c>
      <c r="B88" s="10"/>
      <c r="C88" s="14">
        <v>46183</v>
      </c>
      <c r="D88" s="11"/>
      <c r="E88" s="11"/>
      <c r="F88" s="12">
        <f t="shared" si="1"/>
        <v>0</v>
      </c>
      <c r="G88" s="20"/>
      <c r="H88" s="20"/>
      <c r="I88" s="9"/>
      <c r="J88" s="9"/>
      <c r="K88" s="9"/>
    </row>
    <row r="89" spans="1:11" s="13" customFormat="1" ht="29.25" thickBot="1" x14ac:dyDescent="0.3">
      <c r="A89" s="19" t="s">
        <v>47</v>
      </c>
      <c r="B89" s="10"/>
      <c r="C89" s="14">
        <v>46183</v>
      </c>
      <c r="D89" s="11"/>
      <c r="E89" s="11"/>
      <c r="F89" s="12">
        <f t="shared" si="1"/>
        <v>0</v>
      </c>
      <c r="G89" s="20"/>
      <c r="H89" s="20"/>
      <c r="I89" s="9"/>
      <c r="J89" s="9"/>
      <c r="K89" s="9"/>
    </row>
    <row r="90" spans="1:11" s="13" customFormat="1" ht="29.25" thickBot="1" x14ac:dyDescent="0.3">
      <c r="A90" s="19" t="s">
        <v>47</v>
      </c>
      <c r="B90" s="10"/>
      <c r="C90" s="14">
        <v>46183</v>
      </c>
      <c r="D90" s="11"/>
      <c r="E90" s="11"/>
      <c r="F90" s="12">
        <f t="shared" si="1"/>
        <v>0</v>
      </c>
      <c r="G90" s="20"/>
      <c r="H90" s="20"/>
      <c r="I90" s="9"/>
      <c r="J90" s="9"/>
      <c r="K90" s="9"/>
    </row>
    <row r="91" spans="1:11" s="13" customFormat="1" ht="29.25" thickBot="1" x14ac:dyDescent="0.3">
      <c r="A91" s="19" t="s">
        <v>47</v>
      </c>
      <c r="B91" s="10"/>
      <c r="C91" s="14">
        <v>46183</v>
      </c>
      <c r="D91" s="11"/>
      <c r="E91" s="11"/>
      <c r="F91" s="12">
        <f t="shared" si="1"/>
        <v>0</v>
      </c>
      <c r="G91" s="20"/>
      <c r="H91" s="20"/>
      <c r="I91" s="9"/>
      <c r="J91" s="9"/>
      <c r="K91" s="9"/>
    </row>
    <row r="92" spans="1:11" s="13" customFormat="1" ht="29.25" thickBot="1" x14ac:dyDescent="0.3">
      <c r="A92" s="19" t="s">
        <v>47</v>
      </c>
      <c r="B92" s="10"/>
      <c r="C92" s="14">
        <v>46184</v>
      </c>
      <c r="D92" s="11"/>
      <c r="E92" s="11"/>
      <c r="F92" s="12">
        <f t="shared" si="1"/>
        <v>0</v>
      </c>
      <c r="G92" s="20"/>
      <c r="H92" s="20"/>
      <c r="I92" s="9"/>
      <c r="J92" s="9"/>
      <c r="K92" s="9"/>
    </row>
    <row r="93" spans="1:11" s="13" customFormat="1" ht="29.25" thickBot="1" x14ac:dyDescent="0.3">
      <c r="A93" s="19" t="s">
        <v>47</v>
      </c>
      <c r="B93" s="10"/>
      <c r="C93" s="14">
        <v>46184</v>
      </c>
      <c r="D93" s="11"/>
      <c r="E93" s="11"/>
      <c r="F93" s="12">
        <f t="shared" si="1"/>
        <v>0</v>
      </c>
      <c r="G93" s="20"/>
      <c r="H93" s="20"/>
      <c r="I93" s="9"/>
      <c r="J93" s="9"/>
      <c r="K93" s="9"/>
    </row>
    <row r="94" spans="1:11" s="13" customFormat="1" ht="29.25" thickBot="1" x14ac:dyDescent="0.3">
      <c r="A94" s="19" t="s">
        <v>47</v>
      </c>
      <c r="B94" s="10"/>
      <c r="C94" s="14">
        <v>46184</v>
      </c>
      <c r="D94" s="11"/>
      <c r="E94" s="11"/>
      <c r="F94" s="12">
        <f t="shared" si="1"/>
        <v>0</v>
      </c>
      <c r="G94" s="20"/>
      <c r="H94" s="20"/>
      <c r="I94" s="9"/>
      <c r="J94" s="9"/>
      <c r="K94" s="9"/>
    </row>
    <row r="95" spans="1:11" s="13" customFormat="1" ht="29.25" thickBot="1" x14ac:dyDescent="0.3">
      <c r="A95" s="19" t="s">
        <v>47</v>
      </c>
      <c r="B95" s="10"/>
      <c r="C95" s="14">
        <v>46184</v>
      </c>
      <c r="D95" s="11"/>
      <c r="E95" s="11"/>
      <c r="F95" s="12">
        <f t="shared" si="1"/>
        <v>0</v>
      </c>
      <c r="G95" s="20"/>
      <c r="H95" s="20"/>
      <c r="I95" s="9"/>
      <c r="J95" s="9"/>
      <c r="K95" s="9"/>
    </row>
    <row r="96" spans="1:11" s="13" customFormat="1" ht="29.25" thickBot="1" x14ac:dyDescent="0.3">
      <c r="A96" s="19" t="s">
        <v>47</v>
      </c>
      <c r="B96" s="10"/>
      <c r="C96" s="14">
        <v>46184</v>
      </c>
      <c r="D96" s="11"/>
      <c r="E96" s="11"/>
      <c r="F96" s="12">
        <f t="shared" si="1"/>
        <v>0</v>
      </c>
      <c r="G96" s="20"/>
      <c r="H96" s="20"/>
      <c r="I96" s="9"/>
      <c r="J96" s="9"/>
      <c r="K96" s="9"/>
    </row>
    <row r="97" spans="1:11" s="13" customFormat="1" ht="29.25" thickBot="1" x14ac:dyDescent="0.3">
      <c r="A97" s="19" t="s">
        <v>47</v>
      </c>
      <c r="B97" s="10"/>
      <c r="C97" s="14">
        <v>46184</v>
      </c>
      <c r="D97" s="11"/>
      <c r="E97" s="11"/>
      <c r="F97" s="12">
        <f t="shared" si="1"/>
        <v>0</v>
      </c>
      <c r="G97" s="20"/>
      <c r="H97" s="20"/>
      <c r="I97" s="9"/>
      <c r="J97" s="9"/>
      <c r="K97" s="9"/>
    </row>
    <row r="98" spans="1:11" s="13" customFormat="1" ht="29.25" thickBot="1" x14ac:dyDescent="0.3">
      <c r="A98" s="19" t="s">
        <v>47</v>
      </c>
      <c r="B98" s="10"/>
      <c r="C98" s="14">
        <v>46184</v>
      </c>
      <c r="D98" s="11"/>
      <c r="E98" s="11"/>
      <c r="F98" s="12">
        <f t="shared" si="1"/>
        <v>0</v>
      </c>
      <c r="G98" s="20"/>
      <c r="H98" s="20"/>
      <c r="I98" s="9"/>
      <c r="J98" s="9"/>
      <c r="K98" s="9"/>
    </row>
    <row r="99" spans="1:11" s="13" customFormat="1" ht="29.25" thickBot="1" x14ac:dyDescent="0.3">
      <c r="A99" s="19" t="s">
        <v>47</v>
      </c>
      <c r="B99" s="10"/>
      <c r="C99" s="14">
        <v>46184</v>
      </c>
      <c r="D99" s="11"/>
      <c r="E99" s="11"/>
      <c r="F99" s="12">
        <f t="shared" si="1"/>
        <v>0</v>
      </c>
      <c r="G99" s="20"/>
      <c r="H99" s="20"/>
      <c r="I99" s="9"/>
      <c r="J99" s="9"/>
      <c r="K99" s="9"/>
    </row>
    <row r="100" spans="1:11" s="13" customFormat="1" ht="29.25" thickBot="1" x14ac:dyDescent="0.3">
      <c r="A100" s="19" t="s">
        <v>47</v>
      </c>
      <c r="B100" s="10"/>
      <c r="C100" s="14">
        <v>46184</v>
      </c>
      <c r="D100" s="11"/>
      <c r="E100" s="11"/>
      <c r="F100" s="12">
        <f t="shared" si="1"/>
        <v>0</v>
      </c>
      <c r="G100" s="20"/>
      <c r="H100" s="20"/>
      <c r="I100" s="9"/>
      <c r="J100" s="9"/>
      <c r="K100" s="9"/>
    </row>
    <row r="101" spans="1:11" s="13" customFormat="1" ht="29.25" thickBot="1" x14ac:dyDescent="0.3">
      <c r="A101" s="19" t="s">
        <v>47</v>
      </c>
      <c r="B101" s="10"/>
      <c r="C101" s="14">
        <v>46184</v>
      </c>
      <c r="D101" s="11"/>
      <c r="E101" s="11"/>
      <c r="F101" s="12">
        <f t="shared" si="1"/>
        <v>0</v>
      </c>
      <c r="G101" s="20"/>
      <c r="H101" s="20"/>
      <c r="I101" s="9"/>
      <c r="J101" s="9"/>
      <c r="K101" s="9"/>
    </row>
    <row r="102" spans="1:11" s="13" customFormat="1" ht="29.25" thickBot="1" x14ac:dyDescent="0.3">
      <c r="A102" s="19" t="s">
        <v>47</v>
      </c>
      <c r="B102" s="10"/>
      <c r="C102" s="14">
        <v>46184</v>
      </c>
      <c r="D102" s="11"/>
      <c r="E102" s="11"/>
      <c r="F102" s="12">
        <f t="shared" si="1"/>
        <v>0</v>
      </c>
      <c r="G102" s="20"/>
      <c r="H102" s="20"/>
      <c r="I102" s="9"/>
      <c r="J102" s="9"/>
      <c r="K102" s="9"/>
    </row>
    <row r="103" spans="1:11" s="13" customFormat="1" ht="29.25" thickBot="1" x14ac:dyDescent="0.3">
      <c r="A103" s="19" t="s">
        <v>47</v>
      </c>
      <c r="B103" s="10"/>
      <c r="C103" s="14">
        <v>46184</v>
      </c>
      <c r="D103" s="11"/>
      <c r="E103" s="11"/>
      <c r="F103" s="12">
        <f t="shared" si="1"/>
        <v>0</v>
      </c>
      <c r="G103" s="20"/>
      <c r="H103" s="20"/>
      <c r="I103" s="9"/>
      <c r="J103" s="9"/>
      <c r="K103" s="9"/>
    </row>
    <row r="104" spans="1:11" s="13" customFormat="1" ht="29.25" thickBot="1" x14ac:dyDescent="0.3">
      <c r="A104" s="19" t="s">
        <v>47</v>
      </c>
      <c r="B104" s="10"/>
      <c r="C104" s="14">
        <v>46184</v>
      </c>
      <c r="D104" s="11"/>
      <c r="E104" s="11"/>
      <c r="F104" s="12">
        <f t="shared" si="1"/>
        <v>0</v>
      </c>
      <c r="G104" s="20"/>
      <c r="H104" s="20"/>
      <c r="I104" s="9"/>
      <c r="J104" s="9"/>
      <c r="K104" s="9"/>
    </row>
    <row r="105" spans="1:11" s="13" customFormat="1" ht="29.25" thickBot="1" x14ac:dyDescent="0.3">
      <c r="A105" s="19" t="s">
        <v>47</v>
      </c>
      <c r="B105" s="10"/>
      <c r="C105" s="14">
        <v>46184</v>
      </c>
      <c r="D105" s="11"/>
      <c r="E105" s="11"/>
      <c r="F105" s="12">
        <f t="shared" si="1"/>
        <v>0</v>
      </c>
      <c r="G105" s="20"/>
      <c r="H105" s="20"/>
      <c r="I105" s="9"/>
      <c r="J105" s="9"/>
      <c r="K105" s="9"/>
    </row>
    <row r="106" spans="1:11" s="13" customFormat="1" ht="29.25" thickBot="1" x14ac:dyDescent="0.3">
      <c r="A106" s="19" t="s">
        <v>47</v>
      </c>
      <c r="B106" s="10"/>
      <c r="C106" s="14">
        <v>46184</v>
      </c>
      <c r="D106" s="11"/>
      <c r="E106" s="11"/>
      <c r="F106" s="12">
        <f t="shared" si="1"/>
        <v>0</v>
      </c>
      <c r="G106" s="20"/>
      <c r="H106" s="20"/>
      <c r="I106" s="9"/>
      <c r="J106" s="9"/>
      <c r="K106" s="9"/>
    </row>
    <row r="107" spans="1:11" s="13" customFormat="1" ht="29.25" thickBot="1" x14ac:dyDescent="0.3">
      <c r="A107" s="19" t="s">
        <v>47</v>
      </c>
      <c r="B107" s="10"/>
      <c r="C107" s="14">
        <v>46184</v>
      </c>
      <c r="D107" s="11"/>
      <c r="E107" s="11"/>
      <c r="F107" s="12">
        <f t="shared" si="1"/>
        <v>0</v>
      </c>
      <c r="G107" s="20"/>
      <c r="H107" s="20"/>
      <c r="I107" s="9"/>
      <c r="J107" s="9"/>
      <c r="K107" s="9"/>
    </row>
    <row r="108" spans="1:11" s="13" customFormat="1" ht="29.25" thickBot="1" x14ac:dyDescent="0.3">
      <c r="A108" s="19" t="s">
        <v>47</v>
      </c>
      <c r="B108" s="10"/>
      <c r="C108" s="14">
        <v>46184</v>
      </c>
      <c r="D108" s="11"/>
      <c r="E108" s="11"/>
      <c r="F108" s="12">
        <f t="shared" si="1"/>
        <v>0</v>
      </c>
      <c r="G108" s="20"/>
      <c r="H108" s="20"/>
      <c r="I108" s="9"/>
      <c r="J108" s="9"/>
      <c r="K108" s="9"/>
    </row>
    <row r="109" spans="1:11" s="13" customFormat="1" ht="29.25" thickBot="1" x14ac:dyDescent="0.3">
      <c r="A109" s="19" t="s">
        <v>47</v>
      </c>
      <c r="B109" s="10"/>
      <c r="C109" s="14">
        <v>46184</v>
      </c>
      <c r="D109" s="11"/>
      <c r="E109" s="11"/>
      <c r="F109" s="12">
        <f t="shared" si="1"/>
        <v>0</v>
      </c>
      <c r="G109" s="20"/>
      <c r="H109" s="20"/>
      <c r="I109" s="9"/>
      <c r="J109" s="9"/>
      <c r="K109" s="9"/>
    </row>
    <row r="110" spans="1:11" s="13" customFormat="1" ht="29.25" thickBot="1" x14ac:dyDescent="0.3">
      <c r="A110" s="19" t="s">
        <v>47</v>
      </c>
      <c r="B110" s="10"/>
      <c r="C110" s="14">
        <v>46185</v>
      </c>
      <c r="D110" s="11"/>
      <c r="E110" s="11"/>
      <c r="F110" s="12">
        <f t="shared" si="1"/>
        <v>0</v>
      </c>
      <c r="G110" s="20"/>
      <c r="H110" s="20"/>
      <c r="I110" s="9"/>
      <c r="J110" s="9"/>
      <c r="K110" s="9"/>
    </row>
    <row r="111" spans="1:11" s="13" customFormat="1" ht="29.25" thickBot="1" x14ac:dyDescent="0.3">
      <c r="A111" s="19" t="s">
        <v>47</v>
      </c>
      <c r="B111" s="10"/>
      <c r="C111" s="14">
        <v>46185</v>
      </c>
      <c r="D111" s="11"/>
      <c r="E111" s="11"/>
      <c r="F111" s="12">
        <f t="shared" si="1"/>
        <v>0</v>
      </c>
      <c r="G111" s="20"/>
      <c r="H111" s="20"/>
      <c r="I111" s="9"/>
      <c r="J111" s="9"/>
      <c r="K111" s="9"/>
    </row>
    <row r="112" spans="1:11" s="13" customFormat="1" ht="29.25" thickBot="1" x14ac:dyDescent="0.3">
      <c r="A112" s="19" t="s">
        <v>47</v>
      </c>
      <c r="B112" s="10"/>
      <c r="C112" s="14">
        <v>46185</v>
      </c>
      <c r="D112" s="11"/>
      <c r="E112" s="11"/>
      <c r="F112" s="12">
        <f t="shared" si="1"/>
        <v>0</v>
      </c>
      <c r="G112" s="20"/>
      <c r="H112" s="20"/>
      <c r="I112" s="9"/>
      <c r="J112" s="9"/>
      <c r="K112" s="9"/>
    </row>
    <row r="113" spans="1:11" s="13" customFormat="1" ht="29.25" thickBot="1" x14ac:dyDescent="0.3">
      <c r="A113" s="19" t="s">
        <v>47</v>
      </c>
      <c r="B113" s="10"/>
      <c r="C113" s="14">
        <v>46185</v>
      </c>
      <c r="D113" s="11"/>
      <c r="E113" s="11"/>
      <c r="F113" s="12">
        <f t="shared" si="1"/>
        <v>0</v>
      </c>
      <c r="G113" s="20"/>
      <c r="H113" s="20"/>
      <c r="I113" s="9"/>
      <c r="J113" s="9"/>
      <c r="K113" s="9"/>
    </row>
    <row r="114" spans="1:11" s="13" customFormat="1" ht="29.25" thickBot="1" x14ac:dyDescent="0.3">
      <c r="A114" s="19" t="s">
        <v>47</v>
      </c>
      <c r="B114" s="10"/>
      <c r="C114" s="14">
        <v>46185</v>
      </c>
      <c r="D114" s="11"/>
      <c r="E114" s="11"/>
      <c r="F114" s="12">
        <f t="shared" si="1"/>
        <v>0</v>
      </c>
      <c r="G114" s="20"/>
      <c r="H114" s="20"/>
      <c r="I114" s="9"/>
      <c r="J114" s="9"/>
      <c r="K114" s="9"/>
    </row>
    <row r="115" spans="1:11" s="13" customFormat="1" ht="29.25" thickBot="1" x14ac:dyDescent="0.3">
      <c r="A115" s="19" t="s">
        <v>47</v>
      </c>
      <c r="B115" s="10"/>
      <c r="C115" s="14">
        <v>46185</v>
      </c>
      <c r="D115" s="11"/>
      <c r="E115" s="11"/>
      <c r="F115" s="12">
        <f t="shared" si="1"/>
        <v>0</v>
      </c>
      <c r="G115" s="20"/>
      <c r="H115" s="20"/>
      <c r="I115" s="9"/>
      <c r="J115" s="9"/>
      <c r="K115" s="9"/>
    </row>
    <row r="116" spans="1:11" s="13" customFormat="1" ht="29.25" thickBot="1" x14ac:dyDescent="0.3">
      <c r="A116" s="19" t="s">
        <v>47</v>
      </c>
      <c r="B116" s="10"/>
      <c r="C116" s="14">
        <v>46185</v>
      </c>
      <c r="D116" s="11"/>
      <c r="E116" s="11"/>
      <c r="F116" s="12">
        <f t="shared" si="1"/>
        <v>0</v>
      </c>
      <c r="G116" s="20"/>
      <c r="H116" s="20"/>
      <c r="I116" s="9"/>
      <c r="J116" s="9"/>
      <c r="K116" s="9"/>
    </row>
    <row r="117" spans="1:11" s="13" customFormat="1" ht="29.25" thickBot="1" x14ac:dyDescent="0.3">
      <c r="A117" s="19" t="s">
        <v>47</v>
      </c>
      <c r="B117" s="10"/>
      <c r="C117" s="14">
        <v>46185</v>
      </c>
      <c r="D117" s="11"/>
      <c r="E117" s="11"/>
      <c r="F117" s="12">
        <f t="shared" si="1"/>
        <v>0</v>
      </c>
      <c r="G117" s="20"/>
      <c r="H117" s="20"/>
      <c r="I117" s="9"/>
      <c r="J117" s="9"/>
      <c r="K117" s="9"/>
    </row>
    <row r="118" spans="1:11" s="13" customFormat="1" ht="29.25" thickBot="1" x14ac:dyDescent="0.3">
      <c r="A118" s="19" t="s">
        <v>47</v>
      </c>
      <c r="B118" s="10"/>
      <c r="C118" s="14">
        <v>46185</v>
      </c>
      <c r="D118" s="11"/>
      <c r="E118" s="11"/>
      <c r="F118" s="12">
        <f t="shared" si="1"/>
        <v>0</v>
      </c>
      <c r="G118" s="20"/>
      <c r="H118" s="20"/>
      <c r="I118" s="9"/>
      <c r="J118" s="9"/>
      <c r="K118" s="9"/>
    </row>
    <row r="119" spans="1:11" s="13" customFormat="1" ht="29.25" thickBot="1" x14ac:dyDescent="0.3">
      <c r="A119" s="19" t="s">
        <v>47</v>
      </c>
      <c r="B119" s="10"/>
      <c r="C119" s="14">
        <v>46186</v>
      </c>
      <c r="D119" s="11">
        <v>0.35416666666666669</v>
      </c>
      <c r="E119" s="11">
        <v>0.6875</v>
      </c>
      <c r="F119" s="12">
        <f>+(E119-D119)*24</f>
        <v>8</v>
      </c>
      <c r="G119" s="20" t="s">
        <v>21</v>
      </c>
      <c r="H119" s="20" t="s">
        <v>30</v>
      </c>
      <c r="I119" s="9"/>
      <c r="J119" s="9" t="s">
        <v>71</v>
      </c>
      <c r="K119" s="9"/>
    </row>
    <row r="120" spans="1:11" s="13" customFormat="1" ht="29.25" thickBot="1" x14ac:dyDescent="0.3">
      <c r="A120" s="19" t="s">
        <v>47</v>
      </c>
      <c r="B120" s="10"/>
      <c r="C120" s="14">
        <v>46186</v>
      </c>
      <c r="D120" s="11"/>
      <c r="E120" s="11"/>
      <c r="F120" s="12"/>
      <c r="G120" s="20"/>
      <c r="H120" s="20"/>
      <c r="I120" s="9"/>
      <c r="J120" s="9"/>
      <c r="K120" s="9"/>
    </row>
    <row r="121" spans="1:11" s="13" customFormat="1" ht="29.25" thickBot="1" x14ac:dyDescent="0.3">
      <c r="A121" s="19" t="s">
        <v>47</v>
      </c>
      <c r="B121" s="10"/>
      <c r="C121" s="14">
        <v>46186</v>
      </c>
      <c r="D121" s="11"/>
      <c r="E121" s="11"/>
      <c r="F121" s="12">
        <f t="shared" ref="F121:F127" si="2">+(E121-D121)*24</f>
        <v>0</v>
      </c>
      <c r="G121" s="20"/>
      <c r="H121" s="20"/>
      <c r="I121" s="9"/>
      <c r="J121" s="9"/>
      <c r="K121" s="9"/>
    </row>
    <row r="122" spans="1:11" s="13" customFormat="1" ht="29.25" thickBot="1" x14ac:dyDescent="0.3">
      <c r="A122" s="19" t="s">
        <v>47</v>
      </c>
      <c r="B122" s="10"/>
      <c r="C122" s="14">
        <v>46186</v>
      </c>
      <c r="D122" s="11"/>
      <c r="E122" s="11"/>
      <c r="F122" s="12">
        <f t="shared" si="2"/>
        <v>0</v>
      </c>
      <c r="G122" s="20"/>
      <c r="H122" s="20"/>
      <c r="I122" s="9"/>
      <c r="J122" s="9"/>
      <c r="K122" s="9"/>
    </row>
    <row r="123" spans="1:11" s="13" customFormat="1" ht="29.25" thickBot="1" x14ac:dyDescent="0.3">
      <c r="A123" s="19" t="s">
        <v>47</v>
      </c>
      <c r="B123" s="10"/>
      <c r="C123" s="14">
        <v>46186</v>
      </c>
      <c r="D123" s="11"/>
      <c r="E123" s="11"/>
      <c r="F123" s="12">
        <f t="shared" si="2"/>
        <v>0</v>
      </c>
      <c r="G123" s="20"/>
      <c r="H123" s="20"/>
      <c r="I123" s="9"/>
      <c r="J123" s="9"/>
      <c r="K123" s="9"/>
    </row>
    <row r="124" spans="1:11" s="13" customFormat="1" ht="29.25" thickBot="1" x14ac:dyDescent="0.3">
      <c r="A124" s="19" t="s">
        <v>47</v>
      </c>
      <c r="B124" s="10"/>
      <c r="C124" s="14">
        <v>46186</v>
      </c>
      <c r="D124" s="11"/>
      <c r="E124" s="11"/>
      <c r="F124" s="12">
        <f t="shared" si="2"/>
        <v>0</v>
      </c>
      <c r="G124" s="20"/>
      <c r="H124" s="20"/>
      <c r="I124" s="9"/>
      <c r="J124" s="9"/>
      <c r="K124" s="9"/>
    </row>
    <row r="125" spans="1:11" s="13" customFormat="1" ht="29.25" thickBot="1" x14ac:dyDescent="0.3">
      <c r="A125" s="19" t="s">
        <v>47</v>
      </c>
      <c r="B125" s="10"/>
      <c r="C125" s="14">
        <v>46186</v>
      </c>
      <c r="D125" s="11"/>
      <c r="E125" s="11"/>
      <c r="F125" s="12">
        <f t="shared" si="2"/>
        <v>0</v>
      </c>
      <c r="G125" s="20"/>
      <c r="H125" s="20"/>
      <c r="I125" s="9"/>
      <c r="J125" s="9"/>
      <c r="K125" s="9"/>
    </row>
    <row r="126" spans="1:11" s="13" customFormat="1" ht="29.25" thickBot="1" x14ac:dyDescent="0.3">
      <c r="A126" s="19" t="s">
        <v>47</v>
      </c>
      <c r="B126" s="10"/>
      <c r="C126" s="14">
        <v>46186</v>
      </c>
      <c r="D126" s="11"/>
      <c r="E126" s="11"/>
      <c r="F126" s="12">
        <f t="shared" si="2"/>
        <v>0</v>
      </c>
      <c r="G126" s="20"/>
      <c r="H126" s="20"/>
      <c r="I126" s="9"/>
      <c r="J126" s="9"/>
      <c r="K126" s="9"/>
    </row>
    <row r="127" spans="1:11" s="13" customFormat="1" ht="29.25" thickBot="1" x14ac:dyDescent="0.3">
      <c r="A127" s="19" t="s">
        <v>47</v>
      </c>
      <c r="B127" s="10"/>
      <c r="C127" s="14">
        <v>46186</v>
      </c>
      <c r="D127" s="11"/>
      <c r="E127" s="11"/>
      <c r="F127" s="12">
        <f t="shared" si="2"/>
        <v>0</v>
      </c>
      <c r="G127" s="20"/>
      <c r="H127" s="20"/>
      <c r="I127" s="9"/>
      <c r="J127" s="9"/>
      <c r="K127" s="9"/>
    </row>
    <row r="128" spans="1:11" s="13" customFormat="1" ht="29.25" thickBot="1" x14ac:dyDescent="0.3">
      <c r="A128" s="19" t="s">
        <v>47</v>
      </c>
      <c r="B128" s="10"/>
      <c r="C128" s="14">
        <v>46187</v>
      </c>
      <c r="D128" s="11">
        <v>0.35416666666666669</v>
      </c>
      <c r="E128" s="11">
        <v>0.6875</v>
      </c>
      <c r="F128" s="12">
        <f>+(E128-D128)*24</f>
        <v>8</v>
      </c>
      <c r="G128" s="20" t="s">
        <v>21</v>
      </c>
      <c r="H128" s="20" t="s">
        <v>30</v>
      </c>
      <c r="I128" s="9"/>
      <c r="J128" s="9" t="s">
        <v>71</v>
      </c>
      <c r="K128" s="9"/>
    </row>
    <row r="129" spans="1:11" s="13" customFormat="1" ht="29.25" thickBot="1" x14ac:dyDescent="0.3">
      <c r="A129" s="19" t="s">
        <v>47</v>
      </c>
      <c r="B129" s="10"/>
      <c r="C129" s="14">
        <v>46187</v>
      </c>
      <c r="D129" s="11"/>
      <c r="E129" s="11"/>
      <c r="F129" s="12">
        <f t="shared" si="1"/>
        <v>0</v>
      </c>
      <c r="G129" s="20"/>
      <c r="H129" s="20"/>
      <c r="I129" s="9"/>
      <c r="J129" s="9"/>
      <c r="K129" s="9"/>
    </row>
    <row r="130" spans="1:11" s="13" customFormat="1" ht="29.25" thickBot="1" x14ac:dyDescent="0.3">
      <c r="A130" s="19" t="s">
        <v>47</v>
      </c>
      <c r="B130" s="10"/>
      <c r="C130" s="14">
        <v>46187</v>
      </c>
      <c r="D130" s="11"/>
      <c r="E130" s="11"/>
      <c r="F130" s="12">
        <f t="shared" si="1"/>
        <v>0</v>
      </c>
      <c r="G130" s="20"/>
      <c r="H130" s="20"/>
      <c r="I130" s="9"/>
      <c r="J130" s="9"/>
      <c r="K130" s="9"/>
    </row>
    <row r="131" spans="1:11" s="13" customFormat="1" ht="29.25" thickBot="1" x14ac:dyDescent="0.3">
      <c r="A131" s="19" t="s">
        <v>47</v>
      </c>
      <c r="B131" s="10"/>
      <c r="C131" s="14">
        <v>46187</v>
      </c>
      <c r="D131" s="11"/>
      <c r="E131" s="11"/>
      <c r="F131" s="12">
        <f t="shared" si="1"/>
        <v>0</v>
      </c>
      <c r="G131" s="20"/>
      <c r="H131" s="20"/>
      <c r="I131" s="9"/>
      <c r="J131" s="9"/>
      <c r="K131" s="9"/>
    </row>
    <row r="132" spans="1:11" s="13" customFormat="1" ht="29.25" thickBot="1" x14ac:dyDescent="0.3">
      <c r="A132" s="19" t="s">
        <v>47</v>
      </c>
      <c r="B132" s="10"/>
      <c r="C132" s="14">
        <v>46187</v>
      </c>
      <c r="D132" s="11"/>
      <c r="E132" s="11"/>
      <c r="F132" s="12">
        <f t="shared" si="1"/>
        <v>0</v>
      </c>
      <c r="G132" s="20"/>
      <c r="H132" s="20"/>
      <c r="I132" s="9"/>
      <c r="J132" s="9"/>
      <c r="K132" s="9"/>
    </row>
    <row r="133" spans="1:11" s="13" customFormat="1" ht="29.25" thickBot="1" x14ac:dyDescent="0.3">
      <c r="A133" s="19" t="s">
        <v>47</v>
      </c>
      <c r="B133" s="10"/>
      <c r="C133" s="14">
        <v>46187</v>
      </c>
      <c r="D133" s="11"/>
      <c r="E133" s="11"/>
      <c r="F133" s="12">
        <f t="shared" si="1"/>
        <v>0</v>
      </c>
      <c r="G133" s="20"/>
      <c r="H133" s="20"/>
      <c r="I133" s="9"/>
      <c r="J133" s="9"/>
      <c r="K133" s="9"/>
    </row>
    <row r="134" spans="1:11" s="13" customFormat="1" ht="29.25" thickBot="1" x14ac:dyDescent="0.3">
      <c r="A134" s="19" t="s">
        <v>47</v>
      </c>
      <c r="B134" s="10"/>
      <c r="C134" s="14">
        <v>46187</v>
      </c>
      <c r="D134" s="11"/>
      <c r="E134" s="11"/>
      <c r="F134" s="12">
        <f t="shared" ref="F134:F197" si="3">+(E134-D134)*24</f>
        <v>0</v>
      </c>
      <c r="G134" s="20"/>
      <c r="H134" s="20"/>
      <c r="I134" s="9"/>
      <c r="J134" s="9"/>
      <c r="K134" s="9"/>
    </row>
    <row r="135" spans="1:11" s="13" customFormat="1" ht="29.25" thickBot="1" x14ac:dyDescent="0.3">
      <c r="A135" s="19" t="s">
        <v>47</v>
      </c>
      <c r="B135" s="10"/>
      <c r="C135" s="14">
        <v>46187</v>
      </c>
      <c r="D135" s="11"/>
      <c r="E135" s="11"/>
      <c r="F135" s="12">
        <f t="shared" si="3"/>
        <v>0</v>
      </c>
      <c r="G135" s="20"/>
      <c r="H135" s="20"/>
      <c r="I135" s="9"/>
      <c r="J135" s="9"/>
      <c r="K135" s="9"/>
    </row>
    <row r="136" spans="1:11" s="13" customFormat="1" ht="29.25" thickBot="1" x14ac:dyDescent="0.3">
      <c r="A136" s="19" t="s">
        <v>47</v>
      </c>
      <c r="B136" s="10"/>
      <c r="C136" s="14">
        <v>46187</v>
      </c>
      <c r="D136" s="11"/>
      <c r="E136" s="11"/>
      <c r="F136" s="12">
        <f t="shared" si="3"/>
        <v>0</v>
      </c>
      <c r="G136" s="20"/>
      <c r="H136" s="20"/>
      <c r="I136" s="9"/>
      <c r="J136" s="9"/>
      <c r="K136" s="9"/>
    </row>
    <row r="137" spans="1:11" s="13" customFormat="1" ht="29.25" thickBot="1" x14ac:dyDescent="0.3">
      <c r="A137" s="19" t="s">
        <v>47</v>
      </c>
      <c r="B137" s="10"/>
      <c r="C137" s="14">
        <v>46188</v>
      </c>
      <c r="D137" s="11"/>
      <c r="E137" s="11"/>
      <c r="F137" s="12">
        <f t="shared" si="3"/>
        <v>0</v>
      </c>
      <c r="G137" s="20"/>
      <c r="H137" s="20"/>
      <c r="I137" s="9"/>
      <c r="J137" s="9"/>
      <c r="K137" s="9"/>
    </row>
    <row r="138" spans="1:11" s="13" customFormat="1" ht="29.25" thickBot="1" x14ac:dyDescent="0.3">
      <c r="A138" s="19" t="s">
        <v>47</v>
      </c>
      <c r="B138" s="10"/>
      <c r="C138" s="14">
        <v>46188</v>
      </c>
      <c r="D138" s="11"/>
      <c r="E138" s="11"/>
      <c r="F138" s="12">
        <f t="shared" si="3"/>
        <v>0</v>
      </c>
      <c r="G138" s="20"/>
      <c r="H138" s="20"/>
      <c r="I138" s="9"/>
      <c r="J138" s="9"/>
      <c r="K138" s="9"/>
    </row>
    <row r="139" spans="1:11" s="13" customFormat="1" ht="29.25" thickBot="1" x14ac:dyDescent="0.3">
      <c r="A139" s="19" t="s">
        <v>47</v>
      </c>
      <c r="B139" s="10"/>
      <c r="C139" s="14">
        <v>46188</v>
      </c>
      <c r="D139" s="11"/>
      <c r="E139" s="11"/>
      <c r="F139" s="12">
        <f t="shared" si="3"/>
        <v>0</v>
      </c>
      <c r="G139" s="20"/>
      <c r="H139" s="20"/>
      <c r="I139" s="9"/>
      <c r="J139" s="9"/>
      <c r="K139" s="9"/>
    </row>
    <row r="140" spans="1:11" s="13" customFormat="1" ht="29.25" thickBot="1" x14ac:dyDescent="0.3">
      <c r="A140" s="19" t="s">
        <v>47</v>
      </c>
      <c r="B140" s="10"/>
      <c r="C140" s="14">
        <v>46188</v>
      </c>
      <c r="D140" s="11"/>
      <c r="E140" s="11"/>
      <c r="F140" s="12">
        <f t="shared" si="3"/>
        <v>0</v>
      </c>
      <c r="G140" s="20"/>
      <c r="H140" s="20"/>
      <c r="I140" s="9"/>
      <c r="J140" s="9"/>
      <c r="K140" s="9"/>
    </row>
    <row r="141" spans="1:11" s="13" customFormat="1" ht="29.25" thickBot="1" x14ac:dyDescent="0.3">
      <c r="A141" s="19" t="s">
        <v>47</v>
      </c>
      <c r="B141" s="10"/>
      <c r="C141" s="14">
        <v>46188</v>
      </c>
      <c r="D141" s="11"/>
      <c r="E141" s="11"/>
      <c r="F141" s="12">
        <f t="shared" si="3"/>
        <v>0</v>
      </c>
      <c r="G141" s="20"/>
      <c r="H141" s="20"/>
      <c r="I141" s="9"/>
      <c r="J141" s="9"/>
      <c r="K141" s="9"/>
    </row>
    <row r="142" spans="1:11" s="13" customFormat="1" ht="29.25" thickBot="1" x14ac:dyDescent="0.3">
      <c r="A142" s="19" t="s">
        <v>47</v>
      </c>
      <c r="B142" s="10"/>
      <c r="C142" s="14">
        <v>46188</v>
      </c>
      <c r="D142" s="11"/>
      <c r="E142" s="11"/>
      <c r="F142" s="12">
        <f t="shared" si="3"/>
        <v>0</v>
      </c>
      <c r="G142" s="20"/>
      <c r="H142" s="20"/>
      <c r="I142" s="9"/>
      <c r="J142" s="9"/>
      <c r="K142" s="9"/>
    </row>
    <row r="143" spans="1:11" s="13" customFormat="1" ht="29.25" thickBot="1" x14ac:dyDescent="0.3">
      <c r="A143" s="19" t="s">
        <v>47</v>
      </c>
      <c r="B143" s="10"/>
      <c r="C143" s="14">
        <v>46188</v>
      </c>
      <c r="D143" s="11"/>
      <c r="E143" s="11"/>
      <c r="F143" s="12">
        <f t="shared" si="3"/>
        <v>0</v>
      </c>
      <c r="G143" s="20"/>
      <c r="H143" s="20"/>
      <c r="I143" s="9"/>
      <c r="J143" s="9"/>
      <c r="K143" s="9"/>
    </row>
    <row r="144" spans="1:11" s="13" customFormat="1" ht="29.25" thickBot="1" x14ac:dyDescent="0.3">
      <c r="A144" s="19" t="s">
        <v>47</v>
      </c>
      <c r="B144" s="10"/>
      <c r="C144" s="14">
        <v>46188</v>
      </c>
      <c r="D144" s="11"/>
      <c r="E144" s="11"/>
      <c r="F144" s="12">
        <f t="shared" si="3"/>
        <v>0</v>
      </c>
      <c r="G144" s="20"/>
      <c r="H144" s="20"/>
      <c r="I144" s="9"/>
      <c r="J144" s="9"/>
      <c r="K144" s="9"/>
    </row>
    <row r="145" spans="1:11" s="13" customFormat="1" ht="29.25" thickBot="1" x14ac:dyDescent="0.3">
      <c r="A145" s="19" t="s">
        <v>47</v>
      </c>
      <c r="B145" s="10"/>
      <c r="C145" s="14">
        <v>46188</v>
      </c>
      <c r="D145" s="11"/>
      <c r="E145" s="11"/>
      <c r="F145" s="12">
        <f t="shared" si="3"/>
        <v>0</v>
      </c>
      <c r="G145" s="20"/>
      <c r="H145" s="20"/>
      <c r="I145" s="9"/>
      <c r="J145" s="9"/>
      <c r="K145" s="9"/>
    </row>
    <row r="146" spans="1:11" s="13" customFormat="1" ht="29.25" thickBot="1" x14ac:dyDescent="0.3">
      <c r="A146" s="19" t="s">
        <v>47</v>
      </c>
      <c r="B146" s="10"/>
      <c r="C146" s="14">
        <v>46189</v>
      </c>
      <c r="D146" s="11"/>
      <c r="E146" s="11"/>
      <c r="F146" s="12">
        <f t="shared" si="3"/>
        <v>0</v>
      </c>
      <c r="G146" s="20"/>
      <c r="H146" s="20"/>
      <c r="I146" s="9"/>
      <c r="J146" s="9"/>
      <c r="K146" s="9"/>
    </row>
    <row r="147" spans="1:11" s="13" customFormat="1" ht="29.25" thickBot="1" x14ac:dyDescent="0.3">
      <c r="A147" s="19" t="s">
        <v>47</v>
      </c>
      <c r="B147" s="10"/>
      <c r="C147" s="14">
        <v>46189</v>
      </c>
      <c r="D147" s="11"/>
      <c r="E147" s="11"/>
      <c r="F147" s="12">
        <f t="shared" si="3"/>
        <v>0</v>
      </c>
      <c r="G147" s="20"/>
      <c r="H147" s="20"/>
      <c r="I147" s="9"/>
      <c r="J147" s="9"/>
      <c r="K147" s="9"/>
    </row>
    <row r="148" spans="1:11" s="13" customFormat="1" ht="29.25" thickBot="1" x14ac:dyDescent="0.3">
      <c r="A148" s="19" t="s">
        <v>47</v>
      </c>
      <c r="B148" s="10"/>
      <c r="C148" s="14">
        <v>46189</v>
      </c>
      <c r="D148" s="11"/>
      <c r="E148" s="11"/>
      <c r="F148" s="12">
        <f t="shared" si="3"/>
        <v>0</v>
      </c>
      <c r="G148" s="20"/>
      <c r="H148" s="20"/>
      <c r="I148" s="9"/>
      <c r="J148" s="9"/>
      <c r="K148" s="9"/>
    </row>
    <row r="149" spans="1:11" s="13" customFormat="1" ht="29.25" thickBot="1" x14ac:dyDescent="0.3">
      <c r="A149" s="19" t="s">
        <v>47</v>
      </c>
      <c r="B149" s="10"/>
      <c r="C149" s="14">
        <v>46189</v>
      </c>
      <c r="D149" s="11"/>
      <c r="E149" s="11"/>
      <c r="F149" s="12">
        <f t="shared" si="3"/>
        <v>0</v>
      </c>
      <c r="G149" s="20"/>
      <c r="H149" s="20"/>
      <c r="I149" s="9"/>
      <c r="J149" s="9"/>
      <c r="K149" s="9"/>
    </row>
    <row r="150" spans="1:11" s="13" customFormat="1" ht="29.25" thickBot="1" x14ac:dyDescent="0.3">
      <c r="A150" s="19" t="s">
        <v>47</v>
      </c>
      <c r="B150" s="10"/>
      <c r="C150" s="14">
        <v>46189</v>
      </c>
      <c r="D150" s="11"/>
      <c r="E150" s="11"/>
      <c r="F150" s="12">
        <f t="shared" si="3"/>
        <v>0</v>
      </c>
      <c r="G150" s="20"/>
      <c r="H150" s="20"/>
      <c r="I150" s="9"/>
      <c r="J150" s="9"/>
      <c r="K150" s="9"/>
    </row>
    <row r="151" spans="1:11" s="13" customFormat="1" ht="29.25" thickBot="1" x14ac:dyDescent="0.3">
      <c r="A151" s="19" t="s">
        <v>47</v>
      </c>
      <c r="B151" s="10"/>
      <c r="C151" s="14">
        <v>46189</v>
      </c>
      <c r="D151" s="11"/>
      <c r="E151" s="11"/>
      <c r="F151" s="12">
        <f t="shared" si="3"/>
        <v>0</v>
      </c>
      <c r="G151" s="20"/>
      <c r="H151" s="20"/>
      <c r="I151" s="9"/>
      <c r="J151" s="9"/>
      <c r="K151" s="9"/>
    </row>
    <row r="152" spans="1:11" s="13" customFormat="1" ht="29.25" thickBot="1" x14ac:dyDescent="0.3">
      <c r="A152" s="19" t="s">
        <v>47</v>
      </c>
      <c r="B152" s="10"/>
      <c r="C152" s="14">
        <v>46189</v>
      </c>
      <c r="D152" s="11"/>
      <c r="E152" s="11"/>
      <c r="F152" s="12">
        <f t="shared" si="3"/>
        <v>0</v>
      </c>
      <c r="G152" s="20"/>
      <c r="H152" s="20"/>
      <c r="I152" s="9"/>
      <c r="J152" s="9"/>
      <c r="K152" s="9"/>
    </row>
    <row r="153" spans="1:11" s="13" customFormat="1" ht="29.25" thickBot="1" x14ac:dyDescent="0.3">
      <c r="A153" s="19" t="s">
        <v>47</v>
      </c>
      <c r="B153" s="10"/>
      <c r="C153" s="14">
        <v>46189</v>
      </c>
      <c r="D153" s="11"/>
      <c r="E153" s="11"/>
      <c r="F153" s="12">
        <f t="shared" si="3"/>
        <v>0</v>
      </c>
      <c r="G153" s="20"/>
      <c r="H153" s="20"/>
      <c r="I153" s="9"/>
      <c r="J153" s="9"/>
      <c r="K153" s="9"/>
    </row>
    <row r="154" spans="1:11" s="13" customFormat="1" ht="29.25" thickBot="1" x14ac:dyDescent="0.3">
      <c r="A154" s="19" t="s">
        <v>47</v>
      </c>
      <c r="B154" s="10"/>
      <c r="C154" s="14">
        <v>46189</v>
      </c>
      <c r="D154" s="11"/>
      <c r="E154" s="11"/>
      <c r="F154" s="12">
        <f t="shared" si="3"/>
        <v>0</v>
      </c>
      <c r="G154" s="20"/>
      <c r="H154" s="20"/>
      <c r="I154" s="9"/>
      <c r="J154" s="9"/>
      <c r="K154" s="9"/>
    </row>
    <row r="155" spans="1:11" s="13" customFormat="1" ht="29.25" thickBot="1" x14ac:dyDescent="0.3">
      <c r="A155" s="19" t="s">
        <v>47</v>
      </c>
      <c r="B155" s="10"/>
      <c r="C155" s="14">
        <v>46190</v>
      </c>
      <c r="D155" s="11"/>
      <c r="E155" s="11"/>
      <c r="F155" s="12">
        <f t="shared" si="3"/>
        <v>0</v>
      </c>
      <c r="G155" s="20"/>
      <c r="H155" s="20"/>
      <c r="I155" s="9"/>
      <c r="J155" s="9"/>
      <c r="K155" s="9"/>
    </row>
    <row r="156" spans="1:11" s="13" customFormat="1" ht="29.25" thickBot="1" x14ac:dyDescent="0.3">
      <c r="A156" s="19" t="s">
        <v>47</v>
      </c>
      <c r="B156" s="10"/>
      <c r="C156" s="14">
        <v>46190</v>
      </c>
      <c r="D156" s="11"/>
      <c r="E156" s="11"/>
      <c r="F156" s="12">
        <f t="shared" si="3"/>
        <v>0</v>
      </c>
      <c r="G156" s="20"/>
      <c r="H156" s="20"/>
      <c r="I156" s="9"/>
      <c r="J156" s="9"/>
      <c r="K156" s="9"/>
    </row>
    <row r="157" spans="1:11" s="13" customFormat="1" ht="29.25" thickBot="1" x14ac:dyDescent="0.3">
      <c r="A157" s="19" t="s">
        <v>47</v>
      </c>
      <c r="B157" s="10"/>
      <c r="C157" s="14">
        <v>46190</v>
      </c>
      <c r="D157" s="11"/>
      <c r="E157" s="11"/>
      <c r="F157" s="12">
        <f t="shared" si="3"/>
        <v>0</v>
      </c>
      <c r="G157" s="20"/>
      <c r="H157" s="20"/>
      <c r="I157" s="9"/>
      <c r="J157" s="9"/>
      <c r="K157" s="9"/>
    </row>
    <row r="158" spans="1:11" s="13" customFormat="1" ht="29.25" thickBot="1" x14ac:dyDescent="0.3">
      <c r="A158" s="19" t="s">
        <v>47</v>
      </c>
      <c r="B158" s="10"/>
      <c r="C158" s="14">
        <v>46190</v>
      </c>
      <c r="D158" s="11"/>
      <c r="E158" s="11"/>
      <c r="F158" s="12">
        <f t="shared" si="3"/>
        <v>0</v>
      </c>
      <c r="G158" s="20"/>
      <c r="H158" s="20"/>
      <c r="I158" s="9"/>
      <c r="J158" s="9"/>
      <c r="K158" s="9"/>
    </row>
    <row r="159" spans="1:11" s="13" customFormat="1" ht="29.25" thickBot="1" x14ac:dyDescent="0.3">
      <c r="A159" s="19" t="s">
        <v>47</v>
      </c>
      <c r="B159" s="10"/>
      <c r="C159" s="14">
        <v>46190</v>
      </c>
      <c r="D159" s="11"/>
      <c r="E159" s="11"/>
      <c r="F159" s="12">
        <f t="shared" si="3"/>
        <v>0</v>
      </c>
      <c r="G159" s="20"/>
      <c r="H159" s="20"/>
      <c r="I159" s="9"/>
      <c r="J159" s="9"/>
      <c r="K159" s="9"/>
    </row>
    <row r="160" spans="1:11" s="13" customFormat="1" ht="29.25" thickBot="1" x14ac:dyDescent="0.3">
      <c r="A160" s="19" t="s">
        <v>47</v>
      </c>
      <c r="B160" s="10"/>
      <c r="C160" s="14">
        <v>46190</v>
      </c>
      <c r="D160" s="11"/>
      <c r="E160" s="11"/>
      <c r="F160" s="12">
        <f t="shared" si="3"/>
        <v>0</v>
      </c>
      <c r="G160" s="20"/>
      <c r="H160" s="20"/>
      <c r="I160" s="9"/>
      <c r="J160" s="9"/>
      <c r="K160" s="9"/>
    </row>
    <row r="161" spans="1:11" s="13" customFormat="1" ht="29.25" thickBot="1" x14ac:dyDescent="0.3">
      <c r="A161" s="19" t="s">
        <v>47</v>
      </c>
      <c r="B161" s="10"/>
      <c r="C161" s="14">
        <v>46190</v>
      </c>
      <c r="D161" s="11"/>
      <c r="E161" s="11"/>
      <c r="F161" s="12">
        <f t="shared" si="3"/>
        <v>0</v>
      </c>
      <c r="G161" s="20"/>
      <c r="H161" s="20"/>
      <c r="I161" s="9"/>
      <c r="J161" s="9"/>
      <c r="K161" s="9"/>
    </row>
    <row r="162" spans="1:11" s="13" customFormat="1" ht="29.25" thickBot="1" x14ac:dyDescent="0.3">
      <c r="A162" s="19" t="s">
        <v>47</v>
      </c>
      <c r="B162" s="10"/>
      <c r="C162" s="14">
        <v>46190</v>
      </c>
      <c r="D162" s="11"/>
      <c r="E162" s="11"/>
      <c r="F162" s="12">
        <f t="shared" si="3"/>
        <v>0</v>
      </c>
      <c r="G162" s="20"/>
      <c r="H162" s="20"/>
      <c r="I162" s="9"/>
      <c r="J162" s="9"/>
      <c r="K162" s="9"/>
    </row>
    <row r="163" spans="1:11" s="13" customFormat="1" ht="29.25" thickBot="1" x14ac:dyDescent="0.3">
      <c r="A163" s="19" t="s">
        <v>47</v>
      </c>
      <c r="B163" s="10"/>
      <c r="C163" s="14">
        <v>46190</v>
      </c>
      <c r="D163" s="11"/>
      <c r="E163" s="11"/>
      <c r="F163" s="12">
        <f t="shared" si="3"/>
        <v>0</v>
      </c>
      <c r="G163" s="20"/>
      <c r="H163" s="20"/>
      <c r="I163" s="9"/>
      <c r="J163" s="9"/>
      <c r="K163" s="9"/>
    </row>
    <row r="164" spans="1:11" s="13" customFormat="1" ht="29.25" thickBot="1" x14ac:dyDescent="0.3">
      <c r="A164" s="19" t="s">
        <v>47</v>
      </c>
      <c r="B164" s="10"/>
      <c r="C164" s="14">
        <v>46191</v>
      </c>
      <c r="D164" s="11"/>
      <c r="E164" s="11"/>
      <c r="F164" s="12">
        <f t="shared" si="3"/>
        <v>0</v>
      </c>
      <c r="G164" s="20"/>
      <c r="H164" s="20"/>
      <c r="I164" s="9"/>
      <c r="J164" s="9"/>
      <c r="K164" s="9"/>
    </row>
    <row r="165" spans="1:11" s="13" customFormat="1" ht="29.25" thickBot="1" x14ac:dyDescent="0.3">
      <c r="A165" s="19" t="s">
        <v>47</v>
      </c>
      <c r="B165" s="10"/>
      <c r="C165" s="14">
        <v>46191</v>
      </c>
      <c r="D165" s="11"/>
      <c r="E165" s="11"/>
      <c r="F165" s="12">
        <f t="shared" si="3"/>
        <v>0</v>
      </c>
      <c r="G165" s="20"/>
      <c r="H165" s="20"/>
      <c r="I165" s="9"/>
      <c r="J165" s="9"/>
      <c r="K165" s="9"/>
    </row>
    <row r="166" spans="1:11" s="13" customFormat="1" ht="29.25" thickBot="1" x14ac:dyDescent="0.3">
      <c r="A166" s="19" t="s">
        <v>47</v>
      </c>
      <c r="B166" s="10"/>
      <c r="C166" s="14">
        <v>46191</v>
      </c>
      <c r="D166" s="11"/>
      <c r="E166" s="11"/>
      <c r="F166" s="12">
        <f t="shared" si="3"/>
        <v>0</v>
      </c>
      <c r="G166" s="20"/>
      <c r="H166" s="20"/>
      <c r="I166" s="9"/>
      <c r="J166" s="9"/>
      <c r="K166" s="9"/>
    </row>
    <row r="167" spans="1:11" s="13" customFormat="1" ht="29.25" thickBot="1" x14ac:dyDescent="0.3">
      <c r="A167" s="19" t="s">
        <v>47</v>
      </c>
      <c r="B167" s="10"/>
      <c r="C167" s="14">
        <v>46191</v>
      </c>
      <c r="D167" s="11"/>
      <c r="E167" s="11"/>
      <c r="F167" s="12">
        <f t="shared" si="3"/>
        <v>0</v>
      </c>
      <c r="G167" s="20"/>
      <c r="H167" s="20"/>
      <c r="I167" s="9"/>
      <c r="J167" s="9"/>
      <c r="K167" s="9"/>
    </row>
    <row r="168" spans="1:11" s="13" customFormat="1" ht="29.25" thickBot="1" x14ac:dyDescent="0.3">
      <c r="A168" s="19" t="s">
        <v>47</v>
      </c>
      <c r="B168" s="10"/>
      <c r="C168" s="14">
        <v>46191</v>
      </c>
      <c r="D168" s="11"/>
      <c r="E168" s="11"/>
      <c r="F168" s="12">
        <f t="shared" si="3"/>
        <v>0</v>
      </c>
      <c r="G168" s="20"/>
      <c r="H168" s="20"/>
      <c r="I168" s="9"/>
      <c r="J168" s="9"/>
      <c r="K168" s="9"/>
    </row>
    <row r="169" spans="1:11" s="13" customFormat="1" ht="29.25" thickBot="1" x14ac:dyDescent="0.3">
      <c r="A169" s="19" t="s">
        <v>47</v>
      </c>
      <c r="B169" s="10"/>
      <c r="C169" s="14">
        <v>46191</v>
      </c>
      <c r="D169" s="11"/>
      <c r="E169" s="11"/>
      <c r="F169" s="12">
        <f t="shared" si="3"/>
        <v>0</v>
      </c>
      <c r="G169" s="20"/>
      <c r="H169" s="20"/>
      <c r="I169" s="9"/>
      <c r="J169" s="9"/>
      <c r="K169" s="9"/>
    </row>
    <row r="170" spans="1:11" s="13" customFormat="1" ht="29.25" thickBot="1" x14ac:dyDescent="0.3">
      <c r="A170" s="19" t="s">
        <v>47</v>
      </c>
      <c r="B170" s="10"/>
      <c r="C170" s="14">
        <v>46191</v>
      </c>
      <c r="D170" s="11"/>
      <c r="E170" s="11"/>
      <c r="F170" s="12">
        <f t="shared" si="3"/>
        <v>0</v>
      </c>
      <c r="G170" s="20"/>
      <c r="H170" s="20"/>
      <c r="I170" s="9"/>
      <c r="J170" s="9"/>
      <c r="K170" s="9"/>
    </row>
    <row r="171" spans="1:11" s="13" customFormat="1" ht="29.25" thickBot="1" x14ac:dyDescent="0.3">
      <c r="A171" s="19" t="s">
        <v>47</v>
      </c>
      <c r="B171" s="10"/>
      <c r="C171" s="14">
        <v>46191</v>
      </c>
      <c r="D171" s="11"/>
      <c r="E171" s="11"/>
      <c r="F171" s="12">
        <f t="shared" si="3"/>
        <v>0</v>
      </c>
      <c r="G171" s="20"/>
      <c r="H171" s="20"/>
      <c r="I171" s="9"/>
      <c r="J171" s="9"/>
      <c r="K171" s="9"/>
    </row>
    <row r="172" spans="1:11" s="13" customFormat="1" ht="29.25" thickBot="1" x14ac:dyDescent="0.3">
      <c r="A172" s="19" t="s">
        <v>47</v>
      </c>
      <c r="B172" s="10"/>
      <c r="C172" s="14">
        <v>46191</v>
      </c>
      <c r="D172" s="11"/>
      <c r="E172" s="11"/>
      <c r="F172" s="12">
        <f t="shared" si="3"/>
        <v>0</v>
      </c>
      <c r="G172" s="20"/>
      <c r="H172" s="20"/>
      <c r="I172" s="9"/>
      <c r="J172" s="9"/>
      <c r="K172" s="9"/>
    </row>
    <row r="173" spans="1:11" s="13" customFormat="1" ht="29.25" thickBot="1" x14ac:dyDescent="0.3">
      <c r="A173" s="19" t="s">
        <v>47</v>
      </c>
      <c r="B173" s="10"/>
      <c r="C173" s="14">
        <v>46192</v>
      </c>
      <c r="D173" s="11"/>
      <c r="E173" s="11"/>
      <c r="F173" s="12">
        <f t="shared" si="3"/>
        <v>0</v>
      </c>
      <c r="G173" s="20"/>
      <c r="H173" s="20"/>
      <c r="I173" s="9"/>
      <c r="J173" s="9"/>
      <c r="K173" s="9"/>
    </row>
    <row r="174" spans="1:11" s="13" customFormat="1" ht="29.25" thickBot="1" x14ac:dyDescent="0.3">
      <c r="A174" s="19" t="s">
        <v>47</v>
      </c>
      <c r="B174" s="10"/>
      <c r="C174" s="14">
        <v>46192</v>
      </c>
      <c r="D174" s="11"/>
      <c r="E174" s="11"/>
      <c r="F174" s="12">
        <f t="shared" si="3"/>
        <v>0</v>
      </c>
      <c r="G174" s="20"/>
      <c r="H174" s="20"/>
      <c r="I174" s="9"/>
      <c r="J174" s="9"/>
      <c r="K174" s="9"/>
    </row>
    <row r="175" spans="1:11" s="13" customFormat="1" ht="29.25" thickBot="1" x14ac:dyDescent="0.3">
      <c r="A175" s="19" t="s">
        <v>47</v>
      </c>
      <c r="B175" s="10"/>
      <c r="C175" s="14">
        <v>46192</v>
      </c>
      <c r="D175" s="11"/>
      <c r="E175" s="11"/>
      <c r="F175" s="12">
        <f t="shared" si="3"/>
        <v>0</v>
      </c>
      <c r="G175" s="20"/>
      <c r="H175" s="20"/>
      <c r="I175" s="9"/>
      <c r="J175" s="9"/>
      <c r="K175" s="9"/>
    </row>
    <row r="176" spans="1:11" s="13" customFormat="1" ht="29.25" thickBot="1" x14ac:dyDescent="0.3">
      <c r="A176" s="19" t="s">
        <v>47</v>
      </c>
      <c r="B176" s="10"/>
      <c r="C176" s="14">
        <v>46192</v>
      </c>
      <c r="D176" s="11"/>
      <c r="E176" s="11"/>
      <c r="F176" s="12">
        <f t="shared" si="3"/>
        <v>0</v>
      </c>
      <c r="G176" s="20"/>
      <c r="H176" s="20"/>
      <c r="I176" s="9"/>
      <c r="J176" s="9"/>
      <c r="K176" s="9"/>
    </row>
    <row r="177" spans="1:11" s="13" customFormat="1" ht="29.25" thickBot="1" x14ac:dyDescent="0.3">
      <c r="A177" s="19" t="s">
        <v>47</v>
      </c>
      <c r="B177" s="10"/>
      <c r="C177" s="14">
        <v>46192</v>
      </c>
      <c r="D177" s="11"/>
      <c r="E177" s="11"/>
      <c r="F177" s="12">
        <f t="shared" si="3"/>
        <v>0</v>
      </c>
      <c r="G177" s="20"/>
      <c r="H177" s="20"/>
      <c r="I177" s="9"/>
      <c r="J177" s="9"/>
      <c r="K177" s="9"/>
    </row>
    <row r="178" spans="1:11" s="13" customFormat="1" ht="29.25" thickBot="1" x14ac:dyDescent="0.3">
      <c r="A178" s="19" t="s">
        <v>47</v>
      </c>
      <c r="B178" s="10"/>
      <c r="C178" s="14">
        <v>46192</v>
      </c>
      <c r="D178" s="11"/>
      <c r="E178" s="11"/>
      <c r="F178" s="12">
        <f t="shared" si="3"/>
        <v>0</v>
      </c>
      <c r="G178" s="20"/>
      <c r="H178" s="20"/>
      <c r="I178" s="9"/>
      <c r="J178" s="9"/>
      <c r="K178" s="9"/>
    </row>
    <row r="179" spans="1:11" s="13" customFormat="1" ht="29.25" thickBot="1" x14ac:dyDescent="0.3">
      <c r="A179" s="19" t="s">
        <v>47</v>
      </c>
      <c r="B179" s="10"/>
      <c r="C179" s="14">
        <v>46192</v>
      </c>
      <c r="D179" s="11"/>
      <c r="E179" s="11"/>
      <c r="F179" s="12">
        <f t="shared" si="3"/>
        <v>0</v>
      </c>
      <c r="G179" s="20"/>
      <c r="H179" s="20"/>
      <c r="I179" s="9"/>
      <c r="J179" s="9"/>
      <c r="K179" s="9"/>
    </row>
    <row r="180" spans="1:11" s="13" customFormat="1" ht="29.25" thickBot="1" x14ac:dyDescent="0.3">
      <c r="A180" s="19" t="s">
        <v>47</v>
      </c>
      <c r="B180" s="10"/>
      <c r="C180" s="14">
        <v>46192</v>
      </c>
      <c r="D180" s="11"/>
      <c r="E180" s="11"/>
      <c r="F180" s="12">
        <f t="shared" si="3"/>
        <v>0</v>
      </c>
      <c r="G180" s="20"/>
      <c r="H180" s="20"/>
      <c r="I180" s="9"/>
      <c r="J180" s="9"/>
      <c r="K180" s="9"/>
    </row>
    <row r="181" spans="1:11" s="13" customFormat="1" ht="29.25" thickBot="1" x14ac:dyDescent="0.3">
      <c r="A181" s="19" t="s">
        <v>47</v>
      </c>
      <c r="B181" s="10"/>
      <c r="C181" s="14">
        <v>46192</v>
      </c>
      <c r="D181" s="11"/>
      <c r="E181" s="11"/>
      <c r="F181" s="12">
        <f t="shared" si="3"/>
        <v>0</v>
      </c>
      <c r="G181" s="20"/>
      <c r="H181" s="20"/>
      <c r="I181" s="9"/>
      <c r="J181" s="9"/>
      <c r="K181" s="9"/>
    </row>
    <row r="182" spans="1:11" s="13" customFormat="1" ht="29.25" thickBot="1" x14ac:dyDescent="0.3">
      <c r="A182" s="19" t="s">
        <v>47</v>
      </c>
      <c r="B182" s="10"/>
      <c r="C182" s="14">
        <v>46193</v>
      </c>
      <c r="D182" s="11">
        <v>0.35416666666666669</v>
      </c>
      <c r="E182" s="11">
        <v>0.6875</v>
      </c>
      <c r="F182" s="12">
        <f>+(E182-D182)*24</f>
        <v>8</v>
      </c>
      <c r="G182" s="20" t="s">
        <v>21</v>
      </c>
      <c r="H182" s="20" t="s">
        <v>30</v>
      </c>
      <c r="I182" s="9"/>
      <c r="J182" s="9" t="s">
        <v>71</v>
      </c>
      <c r="K182" s="9"/>
    </row>
    <row r="183" spans="1:11" s="13" customFormat="1" ht="29.25" thickBot="1" x14ac:dyDescent="0.3">
      <c r="A183" s="19" t="s">
        <v>47</v>
      </c>
      <c r="B183" s="10"/>
      <c r="C183" s="14">
        <v>46193</v>
      </c>
      <c r="D183" s="11"/>
      <c r="E183" s="11"/>
      <c r="F183" s="12"/>
      <c r="G183" s="20"/>
      <c r="H183" s="20"/>
      <c r="I183" s="9"/>
      <c r="J183" s="9"/>
      <c r="K183" s="9"/>
    </row>
    <row r="184" spans="1:11" s="13" customFormat="1" ht="29.25" thickBot="1" x14ac:dyDescent="0.3">
      <c r="A184" s="19" t="s">
        <v>47</v>
      </c>
      <c r="B184" s="10"/>
      <c r="C184" s="14">
        <v>46193</v>
      </c>
      <c r="D184" s="11"/>
      <c r="E184" s="11"/>
      <c r="F184" s="12">
        <f t="shared" ref="F184:F190" si="4">+(E184-D184)*24</f>
        <v>0</v>
      </c>
      <c r="G184" s="20"/>
      <c r="H184" s="20"/>
      <c r="I184" s="9"/>
      <c r="J184" s="9"/>
      <c r="K184" s="9"/>
    </row>
    <row r="185" spans="1:11" s="13" customFormat="1" ht="29.25" thickBot="1" x14ac:dyDescent="0.3">
      <c r="A185" s="19" t="s">
        <v>47</v>
      </c>
      <c r="B185" s="10"/>
      <c r="C185" s="14">
        <v>46193</v>
      </c>
      <c r="D185" s="11"/>
      <c r="E185" s="11"/>
      <c r="F185" s="12">
        <f t="shared" si="4"/>
        <v>0</v>
      </c>
      <c r="G185" s="20"/>
      <c r="H185" s="20"/>
      <c r="I185" s="9"/>
      <c r="J185" s="9"/>
      <c r="K185" s="9"/>
    </row>
    <row r="186" spans="1:11" s="13" customFormat="1" ht="29.25" thickBot="1" x14ac:dyDescent="0.3">
      <c r="A186" s="19" t="s">
        <v>47</v>
      </c>
      <c r="B186" s="10"/>
      <c r="C186" s="14">
        <v>46193</v>
      </c>
      <c r="D186" s="11"/>
      <c r="E186" s="11"/>
      <c r="F186" s="12">
        <f t="shared" si="4"/>
        <v>0</v>
      </c>
      <c r="G186" s="20"/>
      <c r="H186" s="20"/>
      <c r="I186" s="9"/>
      <c r="J186" s="9"/>
      <c r="K186" s="9"/>
    </row>
    <row r="187" spans="1:11" s="13" customFormat="1" ht="29.25" thickBot="1" x14ac:dyDescent="0.3">
      <c r="A187" s="19" t="s">
        <v>47</v>
      </c>
      <c r="B187" s="10"/>
      <c r="C187" s="14">
        <v>46193</v>
      </c>
      <c r="D187" s="11"/>
      <c r="E187" s="11"/>
      <c r="F187" s="12">
        <f t="shared" si="4"/>
        <v>0</v>
      </c>
      <c r="G187" s="20"/>
      <c r="H187" s="20"/>
      <c r="I187" s="9"/>
      <c r="J187" s="9"/>
      <c r="K187" s="9"/>
    </row>
    <row r="188" spans="1:11" s="13" customFormat="1" ht="29.25" thickBot="1" x14ac:dyDescent="0.3">
      <c r="A188" s="19" t="s">
        <v>47</v>
      </c>
      <c r="B188" s="10"/>
      <c r="C188" s="14">
        <v>46193</v>
      </c>
      <c r="D188" s="11"/>
      <c r="E188" s="11"/>
      <c r="F188" s="12">
        <f t="shared" si="4"/>
        <v>0</v>
      </c>
      <c r="G188" s="20"/>
      <c r="H188" s="20"/>
      <c r="I188" s="9"/>
      <c r="J188" s="9"/>
      <c r="K188" s="9"/>
    </row>
    <row r="189" spans="1:11" s="13" customFormat="1" ht="29.25" thickBot="1" x14ac:dyDescent="0.3">
      <c r="A189" s="19" t="s">
        <v>47</v>
      </c>
      <c r="B189" s="10"/>
      <c r="C189" s="14">
        <v>46193</v>
      </c>
      <c r="D189" s="11"/>
      <c r="E189" s="11"/>
      <c r="F189" s="12">
        <f t="shared" si="4"/>
        <v>0</v>
      </c>
      <c r="G189" s="20"/>
      <c r="H189" s="20"/>
      <c r="I189" s="9"/>
      <c r="J189" s="9"/>
      <c r="K189" s="9"/>
    </row>
    <row r="190" spans="1:11" s="13" customFormat="1" ht="29.25" thickBot="1" x14ac:dyDescent="0.3">
      <c r="A190" s="19" t="s">
        <v>47</v>
      </c>
      <c r="B190" s="10"/>
      <c r="C190" s="14">
        <v>46193</v>
      </c>
      <c r="D190" s="11"/>
      <c r="E190" s="11"/>
      <c r="F190" s="12">
        <f t="shared" si="4"/>
        <v>0</v>
      </c>
      <c r="G190" s="20"/>
      <c r="H190" s="20"/>
      <c r="I190" s="9"/>
      <c r="J190" s="9"/>
      <c r="K190" s="9"/>
    </row>
    <row r="191" spans="1:11" s="13" customFormat="1" ht="29.25" thickBot="1" x14ac:dyDescent="0.3">
      <c r="A191" s="19" t="s">
        <v>47</v>
      </c>
      <c r="B191" s="10"/>
      <c r="C191" s="14">
        <v>46194</v>
      </c>
      <c r="D191" s="11">
        <v>0.35416666666666669</v>
      </c>
      <c r="E191" s="11">
        <v>0.6875</v>
      </c>
      <c r="F191" s="12">
        <f>+(E191-D191)*24</f>
        <v>8</v>
      </c>
      <c r="G191" s="20" t="s">
        <v>21</v>
      </c>
      <c r="H191" s="20" t="s">
        <v>30</v>
      </c>
      <c r="I191" s="9"/>
      <c r="J191" s="9" t="s">
        <v>71</v>
      </c>
      <c r="K191" s="9"/>
    </row>
    <row r="192" spans="1:11" s="13" customFormat="1" ht="29.25" thickBot="1" x14ac:dyDescent="0.3">
      <c r="A192" s="19" t="s">
        <v>47</v>
      </c>
      <c r="B192" s="10"/>
      <c r="C192" s="14">
        <v>46194</v>
      </c>
      <c r="D192" s="11"/>
      <c r="E192" s="11"/>
      <c r="F192" s="12">
        <f t="shared" si="3"/>
        <v>0</v>
      </c>
      <c r="G192" s="20"/>
      <c r="H192" s="20"/>
      <c r="I192" s="9"/>
      <c r="J192" s="9"/>
      <c r="K192" s="9"/>
    </row>
    <row r="193" spans="1:11" s="13" customFormat="1" ht="29.25" thickBot="1" x14ac:dyDescent="0.3">
      <c r="A193" s="19" t="s">
        <v>47</v>
      </c>
      <c r="B193" s="10"/>
      <c r="C193" s="14">
        <v>46194</v>
      </c>
      <c r="D193" s="11"/>
      <c r="E193" s="11"/>
      <c r="F193" s="12">
        <f t="shared" si="3"/>
        <v>0</v>
      </c>
      <c r="G193" s="20"/>
      <c r="H193" s="20"/>
      <c r="I193" s="9"/>
      <c r="J193" s="9"/>
      <c r="K193" s="9"/>
    </row>
    <row r="194" spans="1:11" s="13" customFormat="1" ht="29.25" thickBot="1" x14ac:dyDescent="0.3">
      <c r="A194" s="19" t="s">
        <v>47</v>
      </c>
      <c r="B194" s="10"/>
      <c r="C194" s="14">
        <v>46194</v>
      </c>
      <c r="D194" s="11"/>
      <c r="E194" s="11"/>
      <c r="F194" s="12">
        <f t="shared" si="3"/>
        <v>0</v>
      </c>
      <c r="G194" s="20"/>
      <c r="H194" s="20"/>
      <c r="I194" s="9"/>
      <c r="J194" s="9"/>
      <c r="K194" s="9"/>
    </row>
    <row r="195" spans="1:11" s="13" customFormat="1" ht="29.25" thickBot="1" x14ac:dyDescent="0.3">
      <c r="A195" s="19" t="s">
        <v>47</v>
      </c>
      <c r="B195" s="10"/>
      <c r="C195" s="14">
        <v>46194</v>
      </c>
      <c r="D195" s="11"/>
      <c r="E195" s="11"/>
      <c r="F195" s="12">
        <f t="shared" si="3"/>
        <v>0</v>
      </c>
      <c r="G195" s="20"/>
      <c r="H195" s="20"/>
      <c r="I195" s="9"/>
      <c r="J195" s="9"/>
      <c r="K195" s="9"/>
    </row>
    <row r="196" spans="1:11" s="13" customFormat="1" ht="29.25" thickBot="1" x14ac:dyDescent="0.3">
      <c r="A196" s="19" t="s">
        <v>47</v>
      </c>
      <c r="B196" s="10"/>
      <c r="C196" s="14">
        <v>46194</v>
      </c>
      <c r="D196" s="11"/>
      <c r="E196" s="11"/>
      <c r="F196" s="12">
        <f t="shared" si="3"/>
        <v>0</v>
      </c>
      <c r="G196" s="20"/>
      <c r="H196" s="20"/>
      <c r="I196" s="9"/>
      <c r="J196" s="9"/>
      <c r="K196" s="9"/>
    </row>
    <row r="197" spans="1:11" s="13" customFormat="1" ht="29.25" thickBot="1" x14ac:dyDescent="0.3">
      <c r="A197" s="19" t="s">
        <v>47</v>
      </c>
      <c r="B197" s="10"/>
      <c r="C197" s="14">
        <v>46194</v>
      </c>
      <c r="D197" s="11"/>
      <c r="E197" s="11"/>
      <c r="F197" s="12">
        <f t="shared" si="3"/>
        <v>0</v>
      </c>
      <c r="G197" s="20"/>
      <c r="H197" s="20"/>
      <c r="I197" s="9"/>
      <c r="J197" s="9"/>
      <c r="K197" s="9"/>
    </row>
    <row r="198" spans="1:11" s="13" customFormat="1" ht="29.25" thickBot="1" x14ac:dyDescent="0.3">
      <c r="A198" s="19" t="s">
        <v>47</v>
      </c>
      <c r="B198" s="10"/>
      <c r="C198" s="14">
        <v>46194</v>
      </c>
      <c r="D198" s="11"/>
      <c r="E198" s="11"/>
      <c r="F198" s="12">
        <f t="shared" ref="F198:F261" si="5">+(E198-D198)*24</f>
        <v>0</v>
      </c>
      <c r="G198" s="20"/>
      <c r="H198" s="20"/>
      <c r="I198" s="9"/>
      <c r="J198" s="9"/>
      <c r="K198" s="9"/>
    </row>
    <row r="199" spans="1:11" s="13" customFormat="1" ht="29.25" thickBot="1" x14ac:dyDescent="0.3">
      <c r="A199" s="19" t="s">
        <v>47</v>
      </c>
      <c r="B199" s="10"/>
      <c r="C199" s="14">
        <v>46195</v>
      </c>
      <c r="D199" s="11"/>
      <c r="E199" s="11"/>
      <c r="F199" s="12">
        <f t="shared" si="5"/>
        <v>0</v>
      </c>
      <c r="G199" s="20"/>
      <c r="H199" s="20"/>
      <c r="I199" s="9"/>
      <c r="J199" s="9"/>
      <c r="K199" s="9"/>
    </row>
    <row r="200" spans="1:11" s="13" customFormat="1" ht="29.25" thickBot="1" x14ac:dyDescent="0.3">
      <c r="A200" s="19" t="s">
        <v>47</v>
      </c>
      <c r="B200" s="10"/>
      <c r="C200" s="14">
        <v>46195</v>
      </c>
      <c r="D200" s="11"/>
      <c r="E200" s="11"/>
      <c r="F200" s="12">
        <f t="shared" si="5"/>
        <v>0</v>
      </c>
      <c r="G200" s="20"/>
      <c r="H200" s="20"/>
      <c r="I200" s="9"/>
      <c r="J200" s="9"/>
      <c r="K200" s="9"/>
    </row>
    <row r="201" spans="1:11" s="13" customFormat="1" ht="29.25" thickBot="1" x14ac:dyDescent="0.3">
      <c r="A201" s="19" t="s">
        <v>47</v>
      </c>
      <c r="B201" s="10"/>
      <c r="C201" s="14">
        <v>46195</v>
      </c>
      <c r="D201" s="11"/>
      <c r="E201" s="11"/>
      <c r="F201" s="12">
        <f t="shared" si="5"/>
        <v>0</v>
      </c>
      <c r="G201" s="20"/>
      <c r="H201" s="20"/>
      <c r="I201" s="9"/>
      <c r="J201" s="9"/>
      <c r="K201" s="9"/>
    </row>
    <row r="202" spans="1:11" s="13" customFormat="1" ht="29.25" thickBot="1" x14ac:dyDescent="0.3">
      <c r="A202" s="19" t="s">
        <v>47</v>
      </c>
      <c r="B202" s="10"/>
      <c r="C202" s="14">
        <v>46195</v>
      </c>
      <c r="D202" s="11"/>
      <c r="E202" s="11"/>
      <c r="F202" s="12">
        <f t="shared" si="5"/>
        <v>0</v>
      </c>
      <c r="G202" s="20"/>
      <c r="H202" s="20"/>
      <c r="I202" s="9"/>
      <c r="J202" s="9"/>
      <c r="K202" s="9"/>
    </row>
    <row r="203" spans="1:11" s="13" customFormat="1" ht="29.25" thickBot="1" x14ac:dyDescent="0.3">
      <c r="A203" s="19" t="s">
        <v>47</v>
      </c>
      <c r="B203" s="10"/>
      <c r="C203" s="14">
        <v>46195</v>
      </c>
      <c r="D203" s="11"/>
      <c r="E203" s="11"/>
      <c r="F203" s="12">
        <f t="shared" si="5"/>
        <v>0</v>
      </c>
      <c r="G203" s="20"/>
      <c r="H203" s="20"/>
      <c r="I203" s="9"/>
      <c r="J203" s="9"/>
      <c r="K203" s="9"/>
    </row>
    <row r="204" spans="1:11" s="13" customFormat="1" ht="29.25" thickBot="1" x14ac:dyDescent="0.3">
      <c r="A204" s="19" t="s">
        <v>47</v>
      </c>
      <c r="B204" s="10"/>
      <c r="C204" s="14">
        <v>46195</v>
      </c>
      <c r="D204" s="11"/>
      <c r="E204" s="11"/>
      <c r="F204" s="12">
        <f t="shared" si="5"/>
        <v>0</v>
      </c>
      <c r="G204" s="20"/>
      <c r="H204" s="20"/>
      <c r="I204" s="9"/>
      <c r="J204" s="9"/>
      <c r="K204" s="9"/>
    </row>
    <row r="205" spans="1:11" s="13" customFormat="1" ht="29.25" thickBot="1" x14ac:dyDescent="0.3">
      <c r="A205" s="19" t="s">
        <v>47</v>
      </c>
      <c r="B205" s="10"/>
      <c r="C205" s="14">
        <v>46195</v>
      </c>
      <c r="D205" s="11"/>
      <c r="E205" s="11"/>
      <c r="F205" s="12">
        <f t="shared" si="5"/>
        <v>0</v>
      </c>
      <c r="G205" s="20"/>
      <c r="H205" s="20"/>
      <c r="I205" s="9"/>
      <c r="J205" s="9"/>
      <c r="K205" s="9"/>
    </row>
    <row r="206" spans="1:11" s="13" customFormat="1" ht="29.25" thickBot="1" x14ac:dyDescent="0.3">
      <c r="A206" s="19" t="s">
        <v>47</v>
      </c>
      <c r="B206" s="10"/>
      <c r="C206" s="14">
        <v>46195</v>
      </c>
      <c r="D206" s="11"/>
      <c r="E206" s="11"/>
      <c r="F206" s="12">
        <f t="shared" si="5"/>
        <v>0</v>
      </c>
      <c r="G206" s="20"/>
      <c r="H206" s="20"/>
      <c r="I206" s="9"/>
      <c r="J206" s="9"/>
      <c r="K206" s="9"/>
    </row>
    <row r="207" spans="1:11" s="13" customFormat="1" ht="29.25" thickBot="1" x14ac:dyDescent="0.3">
      <c r="A207" s="19" t="s">
        <v>47</v>
      </c>
      <c r="B207" s="10"/>
      <c r="C207" s="14">
        <v>46195</v>
      </c>
      <c r="D207" s="11"/>
      <c r="E207" s="11"/>
      <c r="F207" s="12">
        <f t="shared" si="5"/>
        <v>0</v>
      </c>
      <c r="G207" s="20"/>
      <c r="H207" s="20"/>
      <c r="I207" s="9"/>
      <c r="J207" s="9"/>
      <c r="K207" s="9"/>
    </row>
    <row r="208" spans="1:11" s="13" customFormat="1" ht="29.25" thickBot="1" x14ac:dyDescent="0.3">
      <c r="A208" s="19" t="s">
        <v>47</v>
      </c>
      <c r="B208" s="10"/>
      <c r="C208" s="14">
        <v>46196</v>
      </c>
      <c r="D208" s="11"/>
      <c r="E208" s="11"/>
      <c r="F208" s="12">
        <f t="shared" si="5"/>
        <v>0</v>
      </c>
      <c r="G208" s="20"/>
      <c r="H208" s="20"/>
      <c r="I208" s="9"/>
      <c r="J208" s="9"/>
      <c r="K208" s="9"/>
    </row>
    <row r="209" spans="1:11" s="13" customFormat="1" ht="29.25" thickBot="1" x14ac:dyDescent="0.3">
      <c r="A209" s="19" t="s">
        <v>47</v>
      </c>
      <c r="B209" s="10"/>
      <c r="C209" s="14">
        <v>46196</v>
      </c>
      <c r="D209" s="11"/>
      <c r="E209" s="11"/>
      <c r="F209" s="12">
        <f t="shared" si="5"/>
        <v>0</v>
      </c>
      <c r="G209" s="20"/>
      <c r="H209" s="20"/>
      <c r="I209" s="9"/>
      <c r="J209" s="9"/>
      <c r="K209" s="9"/>
    </row>
    <row r="210" spans="1:11" s="13" customFormat="1" ht="29.25" thickBot="1" x14ac:dyDescent="0.3">
      <c r="A210" s="19" t="s">
        <v>47</v>
      </c>
      <c r="B210" s="10"/>
      <c r="C210" s="14">
        <v>46196</v>
      </c>
      <c r="D210" s="11"/>
      <c r="E210" s="11"/>
      <c r="F210" s="12">
        <f t="shared" si="5"/>
        <v>0</v>
      </c>
      <c r="G210" s="20"/>
      <c r="H210" s="20"/>
      <c r="I210" s="9"/>
      <c r="J210" s="9"/>
      <c r="K210" s="9"/>
    </row>
    <row r="211" spans="1:11" s="13" customFormat="1" ht="29.25" thickBot="1" x14ac:dyDescent="0.3">
      <c r="A211" s="19" t="s">
        <v>47</v>
      </c>
      <c r="B211" s="10"/>
      <c r="C211" s="14">
        <v>46196</v>
      </c>
      <c r="D211" s="11"/>
      <c r="E211" s="11"/>
      <c r="F211" s="12">
        <f t="shared" si="5"/>
        <v>0</v>
      </c>
      <c r="G211" s="20"/>
      <c r="H211" s="20"/>
      <c r="I211" s="9"/>
      <c r="J211" s="9"/>
      <c r="K211" s="9"/>
    </row>
    <row r="212" spans="1:11" s="13" customFormat="1" ht="29.25" thickBot="1" x14ac:dyDescent="0.3">
      <c r="A212" s="19" t="s">
        <v>47</v>
      </c>
      <c r="B212" s="10"/>
      <c r="C212" s="14">
        <v>46196</v>
      </c>
      <c r="D212" s="11"/>
      <c r="E212" s="11"/>
      <c r="F212" s="12">
        <f t="shared" si="5"/>
        <v>0</v>
      </c>
      <c r="G212" s="20"/>
      <c r="H212" s="20"/>
      <c r="I212" s="9"/>
      <c r="J212" s="9"/>
      <c r="K212" s="9"/>
    </row>
    <row r="213" spans="1:11" s="13" customFormat="1" ht="29.25" thickBot="1" x14ac:dyDescent="0.3">
      <c r="A213" s="19" t="s">
        <v>47</v>
      </c>
      <c r="B213" s="10"/>
      <c r="C213" s="14">
        <v>46196</v>
      </c>
      <c r="D213" s="11"/>
      <c r="E213" s="11"/>
      <c r="F213" s="12">
        <f t="shared" si="5"/>
        <v>0</v>
      </c>
      <c r="G213" s="20"/>
      <c r="H213" s="20"/>
      <c r="I213" s="9"/>
      <c r="J213" s="9"/>
      <c r="K213" s="9"/>
    </row>
    <row r="214" spans="1:11" s="13" customFormat="1" ht="29.25" thickBot="1" x14ac:dyDescent="0.3">
      <c r="A214" s="19" t="s">
        <v>47</v>
      </c>
      <c r="B214" s="10"/>
      <c r="C214" s="14">
        <v>46196</v>
      </c>
      <c r="D214" s="11"/>
      <c r="E214" s="11"/>
      <c r="F214" s="12">
        <f t="shared" si="5"/>
        <v>0</v>
      </c>
      <c r="G214" s="20"/>
      <c r="H214" s="20"/>
      <c r="I214" s="9"/>
      <c r="J214" s="9"/>
      <c r="K214" s="9"/>
    </row>
    <row r="215" spans="1:11" s="13" customFormat="1" ht="29.25" thickBot="1" x14ac:dyDescent="0.3">
      <c r="A215" s="19" t="s">
        <v>47</v>
      </c>
      <c r="B215" s="10"/>
      <c r="C215" s="14">
        <v>46196</v>
      </c>
      <c r="D215" s="11"/>
      <c r="E215" s="11"/>
      <c r="F215" s="12">
        <f t="shared" si="5"/>
        <v>0</v>
      </c>
      <c r="G215" s="20"/>
      <c r="H215" s="20"/>
      <c r="I215" s="9"/>
      <c r="J215" s="9"/>
      <c r="K215" s="9"/>
    </row>
    <row r="216" spans="1:11" s="13" customFormat="1" ht="29.25" thickBot="1" x14ac:dyDescent="0.3">
      <c r="A216" s="19" t="s">
        <v>47</v>
      </c>
      <c r="B216" s="10"/>
      <c r="C216" s="14">
        <v>46196</v>
      </c>
      <c r="D216" s="11"/>
      <c r="E216" s="11"/>
      <c r="F216" s="12">
        <f t="shared" si="5"/>
        <v>0</v>
      </c>
      <c r="G216" s="20"/>
      <c r="H216" s="20"/>
      <c r="I216" s="9"/>
      <c r="J216" s="9"/>
      <c r="K216" s="9"/>
    </row>
    <row r="217" spans="1:11" s="13" customFormat="1" ht="29.25" thickBot="1" x14ac:dyDescent="0.3">
      <c r="A217" s="19" t="s">
        <v>47</v>
      </c>
      <c r="B217" s="10"/>
      <c r="C217" s="14">
        <v>46197</v>
      </c>
      <c r="D217" s="11"/>
      <c r="E217" s="11"/>
      <c r="F217" s="12">
        <f t="shared" si="5"/>
        <v>0</v>
      </c>
      <c r="G217" s="20"/>
      <c r="H217" s="20"/>
      <c r="I217" s="9"/>
      <c r="J217" s="9"/>
      <c r="K217" s="9"/>
    </row>
    <row r="218" spans="1:11" s="13" customFormat="1" ht="29.25" thickBot="1" x14ac:dyDescent="0.3">
      <c r="A218" s="19" t="s">
        <v>47</v>
      </c>
      <c r="B218" s="10"/>
      <c r="C218" s="14">
        <v>46197</v>
      </c>
      <c r="D218" s="11"/>
      <c r="E218" s="11"/>
      <c r="F218" s="12">
        <f t="shared" si="5"/>
        <v>0</v>
      </c>
      <c r="G218" s="20"/>
      <c r="H218" s="20"/>
      <c r="I218" s="9"/>
      <c r="J218" s="9"/>
      <c r="K218" s="9"/>
    </row>
    <row r="219" spans="1:11" ht="29.25" thickBot="1" x14ac:dyDescent="0.25">
      <c r="A219" s="19" t="s">
        <v>47</v>
      </c>
      <c r="B219" s="10"/>
      <c r="C219" s="14">
        <v>46197</v>
      </c>
      <c r="D219" s="11"/>
      <c r="E219" s="11"/>
      <c r="F219" s="12">
        <f t="shared" si="5"/>
        <v>0</v>
      </c>
      <c r="G219" s="20"/>
      <c r="H219" s="20"/>
      <c r="I219" s="9"/>
      <c r="J219" s="9"/>
      <c r="K219" s="9"/>
    </row>
    <row r="220" spans="1:11" ht="29.25" thickBot="1" x14ac:dyDescent="0.25">
      <c r="A220" s="19" t="s">
        <v>47</v>
      </c>
      <c r="B220" s="10"/>
      <c r="C220" s="14">
        <v>46197</v>
      </c>
      <c r="D220" s="11"/>
      <c r="E220" s="11"/>
      <c r="F220" s="12">
        <f t="shared" si="5"/>
        <v>0</v>
      </c>
      <c r="G220" s="20"/>
      <c r="H220" s="20"/>
      <c r="I220" s="9"/>
      <c r="J220" s="9"/>
      <c r="K220" s="9"/>
    </row>
    <row r="221" spans="1:11" ht="29.25" thickBot="1" x14ac:dyDescent="0.25">
      <c r="A221" s="19" t="s">
        <v>47</v>
      </c>
      <c r="B221" s="10"/>
      <c r="C221" s="14">
        <v>46197</v>
      </c>
      <c r="D221" s="11"/>
      <c r="E221" s="11"/>
      <c r="F221" s="12">
        <f t="shared" si="5"/>
        <v>0</v>
      </c>
      <c r="G221" s="20"/>
      <c r="H221" s="20"/>
      <c r="I221" s="9"/>
      <c r="J221" s="9"/>
      <c r="K221" s="9"/>
    </row>
    <row r="222" spans="1:11" ht="29.25" thickBot="1" x14ac:dyDescent="0.25">
      <c r="A222" s="19" t="s">
        <v>47</v>
      </c>
      <c r="B222" s="10"/>
      <c r="C222" s="14">
        <v>46197</v>
      </c>
      <c r="D222" s="11"/>
      <c r="E222" s="11"/>
      <c r="F222" s="12">
        <f t="shared" si="5"/>
        <v>0</v>
      </c>
      <c r="G222" s="20"/>
      <c r="H222" s="20"/>
      <c r="I222" s="9"/>
      <c r="J222" s="9"/>
      <c r="K222" s="9"/>
    </row>
    <row r="223" spans="1:11" ht="29.25" thickBot="1" x14ac:dyDescent="0.25">
      <c r="A223" s="19" t="s">
        <v>47</v>
      </c>
      <c r="B223" s="10"/>
      <c r="C223" s="14">
        <v>46197</v>
      </c>
      <c r="D223" s="11"/>
      <c r="E223" s="11"/>
      <c r="F223" s="12">
        <f t="shared" si="5"/>
        <v>0</v>
      </c>
      <c r="G223" s="20"/>
      <c r="H223" s="20"/>
      <c r="I223" s="9"/>
      <c r="J223" s="9"/>
      <c r="K223" s="9"/>
    </row>
    <row r="224" spans="1:11" ht="29.25" thickBot="1" x14ac:dyDescent="0.25">
      <c r="A224" s="19" t="s">
        <v>47</v>
      </c>
      <c r="B224" s="10"/>
      <c r="C224" s="14">
        <v>46197</v>
      </c>
      <c r="D224" s="11"/>
      <c r="E224" s="11"/>
      <c r="F224" s="12">
        <f t="shared" si="5"/>
        <v>0</v>
      </c>
      <c r="G224" s="20"/>
      <c r="H224" s="20"/>
      <c r="I224" s="9"/>
      <c r="J224" s="9"/>
      <c r="K224" s="9"/>
    </row>
    <row r="225" spans="1:11" ht="29.25" thickBot="1" x14ac:dyDescent="0.25">
      <c r="A225" s="19" t="s">
        <v>47</v>
      </c>
      <c r="B225" s="10"/>
      <c r="C225" s="14">
        <v>46197</v>
      </c>
      <c r="D225" s="11"/>
      <c r="E225" s="11"/>
      <c r="F225" s="12">
        <f t="shared" si="5"/>
        <v>0</v>
      </c>
      <c r="G225" s="20"/>
      <c r="H225" s="20"/>
      <c r="I225" s="9"/>
      <c r="J225" s="9"/>
      <c r="K225" s="9"/>
    </row>
    <row r="226" spans="1:11" ht="29.25" thickBot="1" x14ac:dyDescent="0.25">
      <c r="A226" s="19" t="s">
        <v>47</v>
      </c>
      <c r="B226" s="10"/>
      <c r="C226" s="14">
        <v>46198</v>
      </c>
      <c r="D226" s="11"/>
      <c r="E226" s="11"/>
      <c r="F226" s="12">
        <f t="shared" si="5"/>
        <v>0</v>
      </c>
      <c r="G226" s="20"/>
      <c r="H226" s="20"/>
      <c r="I226" s="9"/>
      <c r="J226" s="9"/>
      <c r="K226" s="9"/>
    </row>
    <row r="227" spans="1:11" ht="29.25" thickBot="1" x14ac:dyDescent="0.25">
      <c r="A227" s="19" t="s">
        <v>47</v>
      </c>
      <c r="B227" s="10"/>
      <c r="C227" s="14">
        <v>46198</v>
      </c>
      <c r="D227" s="11"/>
      <c r="E227" s="11"/>
      <c r="F227" s="12">
        <f t="shared" si="5"/>
        <v>0</v>
      </c>
      <c r="G227" s="20"/>
      <c r="H227" s="20"/>
      <c r="I227" s="9"/>
      <c r="J227" s="9"/>
      <c r="K227" s="9"/>
    </row>
    <row r="228" spans="1:11" ht="29.25" thickBot="1" x14ac:dyDescent="0.25">
      <c r="A228" s="19" t="s">
        <v>47</v>
      </c>
      <c r="B228" s="10"/>
      <c r="C228" s="14">
        <v>46198</v>
      </c>
      <c r="D228" s="11"/>
      <c r="E228" s="11"/>
      <c r="F228" s="12">
        <f t="shared" si="5"/>
        <v>0</v>
      </c>
      <c r="G228" s="20"/>
      <c r="H228" s="20"/>
      <c r="I228" s="9"/>
      <c r="J228" s="9"/>
      <c r="K228" s="9"/>
    </row>
    <row r="229" spans="1:11" ht="29.25" thickBot="1" x14ac:dyDescent="0.25">
      <c r="A229" s="19" t="s">
        <v>47</v>
      </c>
      <c r="B229" s="10"/>
      <c r="C229" s="14">
        <v>46198</v>
      </c>
      <c r="D229" s="11"/>
      <c r="E229" s="11"/>
      <c r="F229" s="12">
        <f t="shared" si="5"/>
        <v>0</v>
      </c>
      <c r="G229" s="20"/>
      <c r="H229" s="20"/>
      <c r="I229" s="9"/>
      <c r="J229" s="9"/>
      <c r="K229" s="9"/>
    </row>
    <row r="230" spans="1:11" ht="29.25" thickBot="1" x14ac:dyDescent="0.25">
      <c r="A230" s="19" t="s">
        <v>47</v>
      </c>
      <c r="B230" s="10"/>
      <c r="C230" s="14">
        <v>46198</v>
      </c>
      <c r="D230" s="11"/>
      <c r="E230" s="11"/>
      <c r="F230" s="12">
        <f t="shared" si="5"/>
        <v>0</v>
      </c>
      <c r="G230" s="20"/>
      <c r="H230" s="20"/>
      <c r="I230" s="9"/>
      <c r="J230" s="9"/>
      <c r="K230" s="9"/>
    </row>
    <row r="231" spans="1:11" ht="29.25" thickBot="1" x14ac:dyDescent="0.25">
      <c r="A231" s="19" t="s">
        <v>47</v>
      </c>
      <c r="B231" s="10"/>
      <c r="C231" s="14">
        <v>46198</v>
      </c>
      <c r="D231" s="11"/>
      <c r="E231" s="11"/>
      <c r="F231" s="12">
        <f t="shared" si="5"/>
        <v>0</v>
      </c>
      <c r="G231" s="20"/>
      <c r="H231" s="20"/>
      <c r="I231" s="9"/>
      <c r="J231" s="9"/>
      <c r="K231" s="9"/>
    </row>
    <row r="232" spans="1:11" ht="29.25" thickBot="1" x14ac:dyDescent="0.25">
      <c r="A232" s="19" t="s">
        <v>47</v>
      </c>
      <c r="B232" s="10"/>
      <c r="C232" s="14">
        <v>46198</v>
      </c>
      <c r="D232" s="11"/>
      <c r="E232" s="11"/>
      <c r="F232" s="12">
        <f t="shared" si="5"/>
        <v>0</v>
      </c>
      <c r="G232" s="20"/>
      <c r="H232" s="20"/>
      <c r="I232" s="9"/>
      <c r="J232" s="9"/>
      <c r="K232" s="9"/>
    </row>
    <row r="233" spans="1:11" ht="29.25" thickBot="1" x14ac:dyDescent="0.25">
      <c r="A233" s="19" t="s">
        <v>47</v>
      </c>
      <c r="B233" s="10"/>
      <c r="C233" s="14">
        <v>46198</v>
      </c>
      <c r="D233" s="11"/>
      <c r="E233" s="11"/>
      <c r="F233" s="12">
        <f t="shared" si="5"/>
        <v>0</v>
      </c>
      <c r="G233" s="20"/>
      <c r="H233" s="20"/>
      <c r="I233" s="9"/>
      <c r="J233" s="9"/>
      <c r="K233" s="9"/>
    </row>
    <row r="234" spans="1:11" ht="29.25" thickBot="1" x14ac:dyDescent="0.25">
      <c r="A234" s="19" t="s">
        <v>47</v>
      </c>
      <c r="B234" s="10"/>
      <c r="C234" s="14">
        <v>46198</v>
      </c>
      <c r="D234" s="11"/>
      <c r="E234" s="11"/>
      <c r="F234" s="12">
        <f t="shared" si="5"/>
        <v>0</v>
      </c>
      <c r="G234" s="20"/>
      <c r="H234" s="20"/>
      <c r="I234" s="9"/>
      <c r="J234" s="9"/>
      <c r="K234" s="9"/>
    </row>
    <row r="235" spans="1:11" ht="29.25" thickBot="1" x14ac:dyDescent="0.25">
      <c r="A235" s="19" t="s">
        <v>47</v>
      </c>
      <c r="B235" s="10"/>
      <c r="C235" s="14">
        <v>46199</v>
      </c>
      <c r="D235" s="11"/>
      <c r="E235" s="11"/>
      <c r="F235" s="12">
        <f t="shared" si="5"/>
        <v>0</v>
      </c>
      <c r="G235" s="20"/>
      <c r="H235" s="20"/>
      <c r="I235" s="9"/>
      <c r="J235" s="9"/>
      <c r="K235" s="9"/>
    </row>
    <row r="236" spans="1:11" ht="29.25" thickBot="1" x14ac:dyDescent="0.25">
      <c r="A236" s="19" t="s">
        <v>47</v>
      </c>
      <c r="B236" s="10"/>
      <c r="C236" s="14">
        <v>46199</v>
      </c>
      <c r="D236" s="11"/>
      <c r="E236" s="11"/>
      <c r="F236" s="12">
        <f t="shared" si="5"/>
        <v>0</v>
      </c>
      <c r="G236" s="20"/>
      <c r="H236" s="20"/>
      <c r="I236" s="9"/>
      <c r="J236" s="9"/>
      <c r="K236" s="9"/>
    </row>
    <row r="237" spans="1:11" ht="29.25" thickBot="1" x14ac:dyDescent="0.25">
      <c r="A237" s="19" t="s">
        <v>47</v>
      </c>
      <c r="B237" s="10"/>
      <c r="C237" s="14">
        <v>46199</v>
      </c>
      <c r="D237" s="11"/>
      <c r="E237" s="11"/>
      <c r="F237" s="12">
        <f t="shared" si="5"/>
        <v>0</v>
      </c>
      <c r="G237" s="20"/>
      <c r="H237" s="20"/>
      <c r="I237" s="9"/>
      <c r="J237" s="9"/>
      <c r="K237" s="9"/>
    </row>
    <row r="238" spans="1:11" ht="29.25" thickBot="1" x14ac:dyDescent="0.25">
      <c r="A238" s="19" t="s">
        <v>47</v>
      </c>
      <c r="B238" s="10"/>
      <c r="C238" s="14">
        <v>46199</v>
      </c>
      <c r="D238" s="11"/>
      <c r="E238" s="11"/>
      <c r="F238" s="12">
        <f t="shared" si="5"/>
        <v>0</v>
      </c>
      <c r="G238" s="20"/>
      <c r="H238" s="20"/>
      <c r="I238" s="9"/>
      <c r="J238" s="9"/>
      <c r="K238" s="9"/>
    </row>
    <row r="239" spans="1:11" ht="29.25" thickBot="1" x14ac:dyDescent="0.25">
      <c r="A239" s="19" t="s">
        <v>47</v>
      </c>
      <c r="B239" s="10"/>
      <c r="C239" s="14">
        <v>46199</v>
      </c>
      <c r="D239" s="11"/>
      <c r="E239" s="11"/>
      <c r="F239" s="12">
        <f t="shared" si="5"/>
        <v>0</v>
      </c>
      <c r="G239" s="20"/>
      <c r="H239" s="20"/>
      <c r="I239" s="9"/>
      <c r="J239" s="9"/>
      <c r="K239" s="9"/>
    </row>
    <row r="240" spans="1:11" ht="29.25" thickBot="1" x14ac:dyDescent="0.25">
      <c r="A240" s="19" t="s">
        <v>47</v>
      </c>
      <c r="B240" s="10"/>
      <c r="C240" s="14">
        <v>46199</v>
      </c>
      <c r="D240" s="11"/>
      <c r="E240" s="11"/>
      <c r="F240" s="12">
        <f t="shared" si="5"/>
        <v>0</v>
      </c>
      <c r="G240" s="20"/>
      <c r="H240" s="20"/>
      <c r="I240" s="9"/>
      <c r="J240" s="9"/>
      <c r="K240" s="9"/>
    </row>
    <row r="241" spans="1:11" ht="29.25" thickBot="1" x14ac:dyDescent="0.25">
      <c r="A241" s="19" t="s">
        <v>47</v>
      </c>
      <c r="B241" s="10"/>
      <c r="C241" s="14">
        <v>46199</v>
      </c>
      <c r="D241" s="11"/>
      <c r="E241" s="11"/>
      <c r="F241" s="12">
        <f t="shared" si="5"/>
        <v>0</v>
      </c>
      <c r="G241" s="20"/>
      <c r="H241" s="20"/>
      <c r="I241" s="9"/>
      <c r="J241" s="9"/>
      <c r="K241" s="9"/>
    </row>
    <row r="242" spans="1:11" ht="29.25" thickBot="1" x14ac:dyDescent="0.25">
      <c r="A242" s="19" t="s">
        <v>47</v>
      </c>
      <c r="B242" s="10"/>
      <c r="C242" s="14">
        <v>46199</v>
      </c>
      <c r="D242" s="11"/>
      <c r="E242" s="11"/>
      <c r="F242" s="12">
        <f t="shared" si="5"/>
        <v>0</v>
      </c>
      <c r="G242" s="20"/>
      <c r="H242" s="20"/>
      <c r="I242" s="9"/>
      <c r="J242" s="9"/>
      <c r="K242" s="9"/>
    </row>
    <row r="243" spans="1:11" ht="29.25" thickBot="1" x14ac:dyDescent="0.25">
      <c r="A243" s="19" t="s">
        <v>47</v>
      </c>
      <c r="B243" s="10"/>
      <c r="C243" s="14">
        <v>46199</v>
      </c>
      <c r="D243" s="11"/>
      <c r="E243" s="11"/>
      <c r="F243" s="12">
        <f t="shared" si="5"/>
        <v>0</v>
      </c>
      <c r="G243" s="20"/>
      <c r="H243" s="20"/>
      <c r="I243" s="9"/>
      <c r="J243" s="9"/>
      <c r="K243" s="9"/>
    </row>
    <row r="244" spans="1:11" ht="29.25" thickBot="1" x14ac:dyDescent="0.25">
      <c r="A244" s="19" t="s">
        <v>47</v>
      </c>
      <c r="B244" s="10"/>
      <c r="C244" s="14">
        <v>46200</v>
      </c>
      <c r="D244" s="11">
        <v>0.35416666666666669</v>
      </c>
      <c r="E244" s="11">
        <v>0.6875</v>
      </c>
      <c r="F244" s="12">
        <f>+(E244-D244)*24</f>
        <v>8</v>
      </c>
      <c r="G244" s="20" t="s">
        <v>21</v>
      </c>
      <c r="H244" s="20" t="s">
        <v>30</v>
      </c>
      <c r="I244" s="9"/>
      <c r="J244" s="9" t="s">
        <v>71</v>
      </c>
      <c r="K244" s="9"/>
    </row>
    <row r="245" spans="1:11" ht="29.25" thickBot="1" x14ac:dyDescent="0.25">
      <c r="A245" s="19" t="s">
        <v>47</v>
      </c>
      <c r="B245" s="10"/>
      <c r="C245" s="14">
        <v>46200</v>
      </c>
      <c r="D245" s="11"/>
      <c r="E245" s="11"/>
      <c r="F245" s="12"/>
      <c r="G245" s="20"/>
      <c r="H245" s="20"/>
      <c r="I245" s="9"/>
      <c r="J245" s="9"/>
      <c r="K245" s="9"/>
    </row>
    <row r="246" spans="1:11" ht="29.25" thickBot="1" x14ac:dyDescent="0.25">
      <c r="A246" s="19" t="s">
        <v>47</v>
      </c>
      <c r="B246" s="10"/>
      <c r="C246" s="14">
        <v>46200</v>
      </c>
      <c r="D246" s="11"/>
      <c r="E246" s="11"/>
      <c r="F246" s="12">
        <f t="shared" ref="F246:F252" si="6">+(E246-D246)*24</f>
        <v>0</v>
      </c>
      <c r="G246" s="20"/>
      <c r="H246" s="20"/>
      <c r="I246" s="9"/>
      <c r="J246" s="9"/>
      <c r="K246" s="9"/>
    </row>
    <row r="247" spans="1:11" ht="29.25" thickBot="1" x14ac:dyDescent="0.25">
      <c r="A247" s="19" t="s">
        <v>47</v>
      </c>
      <c r="B247" s="10"/>
      <c r="C247" s="14">
        <v>46200</v>
      </c>
      <c r="D247" s="11"/>
      <c r="E247" s="11"/>
      <c r="F247" s="12">
        <f t="shared" si="6"/>
        <v>0</v>
      </c>
      <c r="G247" s="20"/>
      <c r="H247" s="20"/>
      <c r="I247" s="9"/>
      <c r="J247" s="9"/>
      <c r="K247" s="9"/>
    </row>
    <row r="248" spans="1:11" ht="29.25" thickBot="1" x14ac:dyDescent="0.25">
      <c r="A248" s="19" t="s">
        <v>47</v>
      </c>
      <c r="B248" s="10"/>
      <c r="C248" s="14">
        <v>46200</v>
      </c>
      <c r="D248" s="11"/>
      <c r="E248" s="11"/>
      <c r="F248" s="12">
        <f t="shared" si="6"/>
        <v>0</v>
      </c>
      <c r="G248" s="20"/>
      <c r="H248" s="20"/>
      <c r="I248" s="9"/>
      <c r="J248" s="9"/>
      <c r="K248" s="9"/>
    </row>
    <row r="249" spans="1:11" ht="29.25" thickBot="1" x14ac:dyDescent="0.25">
      <c r="A249" s="19" t="s">
        <v>47</v>
      </c>
      <c r="B249" s="10"/>
      <c r="C249" s="14">
        <v>46200</v>
      </c>
      <c r="D249" s="11"/>
      <c r="E249" s="11"/>
      <c r="F249" s="12">
        <f t="shared" si="6"/>
        <v>0</v>
      </c>
      <c r="G249" s="20"/>
      <c r="H249" s="20"/>
      <c r="I249" s="9"/>
      <c r="J249" s="9"/>
      <c r="K249" s="9"/>
    </row>
    <row r="250" spans="1:11" ht="29.25" thickBot="1" x14ac:dyDescent="0.25">
      <c r="A250" s="19" t="s">
        <v>47</v>
      </c>
      <c r="B250" s="10"/>
      <c r="C250" s="14">
        <v>46200</v>
      </c>
      <c r="D250" s="11"/>
      <c r="E250" s="11"/>
      <c r="F250" s="12">
        <f t="shared" si="6"/>
        <v>0</v>
      </c>
      <c r="G250" s="20"/>
      <c r="H250" s="20"/>
      <c r="I250" s="9"/>
      <c r="J250" s="9"/>
      <c r="K250" s="9"/>
    </row>
    <row r="251" spans="1:11" ht="29.25" thickBot="1" x14ac:dyDescent="0.25">
      <c r="A251" s="19" t="s">
        <v>47</v>
      </c>
      <c r="B251" s="10"/>
      <c r="C251" s="14">
        <v>46200</v>
      </c>
      <c r="D251" s="11"/>
      <c r="E251" s="11"/>
      <c r="F251" s="12">
        <f t="shared" si="6"/>
        <v>0</v>
      </c>
      <c r="G251" s="20"/>
      <c r="H251" s="20"/>
      <c r="I251" s="9"/>
      <c r="J251" s="9"/>
      <c r="K251" s="9"/>
    </row>
    <row r="252" spans="1:11" ht="29.25" thickBot="1" x14ac:dyDescent="0.25">
      <c r="A252" s="19" t="s">
        <v>47</v>
      </c>
      <c r="B252" s="10"/>
      <c r="C252" s="14">
        <v>46200</v>
      </c>
      <c r="D252" s="11"/>
      <c r="E252" s="11"/>
      <c r="F252" s="12">
        <f t="shared" si="6"/>
        <v>0</v>
      </c>
      <c r="G252" s="20"/>
      <c r="H252" s="20"/>
      <c r="I252" s="9"/>
      <c r="J252" s="9"/>
      <c r="K252" s="9"/>
    </row>
    <row r="253" spans="1:11" ht="29.25" thickBot="1" x14ac:dyDescent="0.25">
      <c r="A253" s="19" t="s">
        <v>47</v>
      </c>
      <c r="B253" s="10"/>
      <c r="C253" s="14">
        <v>46201</v>
      </c>
      <c r="D253" s="11">
        <v>0.35416666666666669</v>
      </c>
      <c r="E253" s="11">
        <v>0.6875</v>
      </c>
      <c r="F253" s="12">
        <f>+(E253-D253)*24</f>
        <v>8</v>
      </c>
      <c r="G253" s="20" t="s">
        <v>21</v>
      </c>
      <c r="H253" s="20" t="s">
        <v>30</v>
      </c>
      <c r="I253" s="9"/>
      <c r="J253" s="9" t="s">
        <v>71</v>
      </c>
      <c r="K253" s="9"/>
    </row>
    <row r="254" spans="1:11" ht="29.25" thickBot="1" x14ac:dyDescent="0.25">
      <c r="A254" s="19" t="s">
        <v>47</v>
      </c>
      <c r="B254" s="10"/>
      <c r="C254" s="14">
        <v>46201</v>
      </c>
      <c r="D254" s="11"/>
      <c r="E254" s="11"/>
      <c r="F254" s="12">
        <f t="shared" si="5"/>
        <v>0</v>
      </c>
      <c r="G254" s="20"/>
      <c r="H254" s="20"/>
      <c r="I254" s="9"/>
      <c r="J254" s="9"/>
      <c r="K254" s="9"/>
    </row>
    <row r="255" spans="1:11" ht="29.25" thickBot="1" x14ac:dyDescent="0.25">
      <c r="A255" s="19" t="s">
        <v>47</v>
      </c>
      <c r="B255" s="10"/>
      <c r="C255" s="14">
        <v>46201</v>
      </c>
      <c r="D255" s="11"/>
      <c r="E255" s="11"/>
      <c r="F255" s="12">
        <f t="shared" si="5"/>
        <v>0</v>
      </c>
      <c r="G255" s="20"/>
      <c r="H255" s="20"/>
      <c r="I255" s="9"/>
      <c r="J255" s="9"/>
      <c r="K255" s="9"/>
    </row>
    <row r="256" spans="1:11" ht="29.25" thickBot="1" x14ac:dyDescent="0.25">
      <c r="A256" s="19" t="s">
        <v>47</v>
      </c>
      <c r="B256" s="10"/>
      <c r="C256" s="14">
        <v>46201</v>
      </c>
      <c r="D256" s="11"/>
      <c r="E256" s="11"/>
      <c r="F256" s="12">
        <f t="shared" si="5"/>
        <v>0</v>
      </c>
      <c r="G256" s="20"/>
      <c r="H256" s="20"/>
      <c r="I256" s="9"/>
      <c r="J256" s="9"/>
      <c r="K256" s="9"/>
    </row>
    <row r="257" spans="1:11" ht="29.25" thickBot="1" x14ac:dyDescent="0.25">
      <c r="A257" s="19" t="s">
        <v>47</v>
      </c>
      <c r="B257" s="10"/>
      <c r="C257" s="14">
        <v>46201</v>
      </c>
      <c r="D257" s="11"/>
      <c r="E257" s="11"/>
      <c r="F257" s="12">
        <f t="shared" si="5"/>
        <v>0</v>
      </c>
      <c r="G257" s="20"/>
      <c r="H257" s="20"/>
      <c r="I257" s="9"/>
      <c r="J257" s="9"/>
      <c r="K257" s="9"/>
    </row>
    <row r="258" spans="1:11" s="7" customFormat="1" ht="29.25" thickBot="1" x14ac:dyDescent="0.25">
      <c r="A258" s="19" t="s">
        <v>47</v>
      </c>
      <c r="B258" s="10"/>
      <c r="C258" s="14">
        <v>46201</v>
      </c>
      <c r="D258" s="11"/>
      <c r="E258" s="11"/>
      <c r="F258" s="12">
        <f t="shared" si="5"/>
        <v>0</v>
      </c>
      <c r="G258" s="20"/>
      <c r="H258" s="20"/>
      <c r="I258" s="9"/>
      <c r="J258" s="9"/>
      <c r="K258" s="9"/>
    </row>
    <row r="259" spans="1:11" s="7" customFormat="1" ht="29.25" thickBot="1" x14ac:dyDescent="0.25">
      <c r="A259" s="19" t="s">
        <v>47</v>
      </c>
      <c r="B259" s="10"/>
      <c r="C259" s="14">
        <v>46201</v>
      </c>
      <c r="D259" s="11"/>
      <c r="E259" s="11"/>
      <c r="F259" s="12">
        <f t="shared" si="5"/>
        <v>0</v>
      </c>
      <c r="G259" s="20"/>
      <c r="H259" s="20"/>
      <c r="I259" s="9"/>
      <c r="J259" s="9"/>
      <c r="K259" s="9"/>
    </row>
    <row r="260" spans="1:11" s="7" customFormat="1" ht="29.25" thickBot="1" x14ac:dyDescent="0.25">
      <c r="A260" s="19" t="s">
        <v>47</v>
      </c>
      <c r="B260" s="10"/>
      <c r="C260" s="14">
        <v>46201</v>
      </c>
      <c r="D260" s="11"/>
      <c r="E260" s="11"/>
      <c r="F260" s="12">
        <f t="shared" si="5"/>
        <v>0</v>
      </c>
      <c r="G260" s="20"/>
      <c r="H260" s="20"/>
      <c r="I260" s="9"/>
      <c r="J260" s="9"/>
      <c r="K260" s="9"/>
    </row>
    <row r="261" spans="1:11" s="7" customFormat="1" ht="29.25" thickBot="1" x14ac:dyDescent="0.25">
      <c r="A261" s="19" t="s">
        <v>47</v>
      </c>
      <c r="B261" s="10"/>
      <c r="C261" s="14">
        <v>46201</v>
      </c>
      <c r="D261" s="11"/>
      <c r="E261" s="11"/>
      <c r="F261" s="12">
        <f t="shared" si="5"/>
        <v>0</v>
      </c>
      <c r="G261" s="20"/>
      <c r="H261" s="20"/>
      <c r="I261" s="9"/>
      <c r="J261" s="9"/>
      <c r="K261" s="9"/>
    </row>
    <row r="262" spans="1:11" s="7" customFormat="1" ht="29.25" thickBot="1" x14ac:dyDescent="0.25">
      <c r="A262" s="19" t="s">
        <v>47</v>
      </c>
      <c r="B262" s="10"/>
      <c r="C262" s="14">
        <v>46202</v>
      </c>
      <c r="D262" s="11"/>
      <c r="E262" s="11"/>
      <c r="F262" s="12">
        <f t="shared" ref="F262:F298" si="7">+(E262-D262)*24</f>
        <v>0</v>
      </c>
      <c r="G262" s="20"/>
      <c r="H262" s="20"/>
      <c r="I262" s="9"/>
      <c r="J262" s="9"/>
      <c r="K262" s="9"/>
    </row>
    <row r="263" spans="1:11" s="7" customFormat="1" ht="29.25" thickBot="1" x14ac:dyDescent="0.25">
      <c r="A263" s="19" t="s">
        <v>47</v>
      </c>
      <c r="B263" s="10"/>
      <c r="C263" s="14">
        <v>46202</v>
      </c>
      <c r="D263" s="11"/>
      <c r="E263" s="11"/>
      <c r="F263" s="12">
        <f t="shared" si="7"/>
        <v>0</v>
      </c>
      <c r="G263" s="20"/>
      <c r="H263" s="20"/>
      <c r="I263" s="9"/>
      <c r="J263" s="9"/>
      <c r="K263" s="9"/>
    </row>
    <row r="264" spans="1:11" s="7" customFormat="1" ht="29.25" thickBot="1" x14ac:dyDescent="0.25">
      <c r="A264" s="19" t="s">
        <v>47</v>
      </c>
      <c r="B264" s="10"/>
      <c r="C264" s="14">
        <v>46202</v>
      </c>
      <c r="D264" s="11"/>
      <c r="E264" s="11"/>
      <c r="F264" s="12">
        <f t="shared" si="7"/>
        <v>0</v>
      </c>
      <c r="G264" s="20"/>
      <c r="H264" s="20"/>
      <c r="I264" s="9"/>
      <c r="J264" s="9"/>
      <c r="K264" s="9"/>
    </row>
    <row r="265" spans="1:11" s="7" customFormat="1" ht="29.25" thickBot="1" x14ac:dyDescent="0.25">
      <c r="A265" s="19" t="s">
        <v>47</v>
      </c>
      <c r="B265" s="10"/>
      <c r="C265" s="14">
        <v>46202</v>
      </c>
      <c r="D265" s="11"/>
      <c r="E265" s="11"/>
      <c r="F265" s="12">
        <f t="shared" si="7"/>
        <v>0</v>
      </c>
      <c r="G265" s="20"/>
      <c r="H265" s="20"/>
      <c r="I265" s="9"/>
      <c r="J265" s="9"/>
      <c r="K265" s="9"/>
    </row>
    <row r="266" spans="1:11" s="7" customFormat="1" ht="29.25" thickBot="1" x14ac:dyDescent="0.25">
      <c r="A266" s="19" t="s">
        <v>47</v>
      </c>
      <c r="B266" s="10"/>
      <c r="C266" s="14">
        <v>46202</v>
      </c>
      <c r="D266" s="11"/>
      <c r="E266" s="11"/>
      <c r="F266" s="12">
        <f t="shared" si="7"/>
        <v>0</v>
      </c>
      <c r="G266" s="20"/>
      <c r="H266" s="20"/>
      <c r="I266" s="9"/>
      <c r="J266" s="9"/>
      <c r="K266" s="9"/>
    </row>
    <row r="267" spans="1:11" s="7" customFormat="1" ht="29.25" thickBot="1" x14ac:dyDescent="0.25">
      <c r="A267" s="19" t="s">
        <v>47</v>
      </c>
      <c r="B267" s="10"/>
      <c r="C267" s="14">
        <v>46202</v>
      </c>
      <c r="D267" s="11"/>
      <c r="E267" s="11"/>
      <c r="F267" s="12">
        <f t="shared" si="7"/>
        <v>0</v>
      </c>
      <c r="G267" s="20"/>
      <c r="H267" s="20"/>
      <c r="I267" s="9"/>
      <c r="J267" s="9"/>
      <c r="K267" s="9"/>
    </row>
    <row r="268" spans="1:11" s="7" customFormat="1" ht="29.25" thickBot="1" x14ac:dyDescent="0.25">
      <c r="A268" s="19" t="s">
        <v>47</v>
      </c>
      <c r="B268" s="10"/>
      <c r="C268" s="14">
        <v>46202</v>
      </c>
      <c r="D268" s="11"/>
      <c r="E268" s="11"/>
      <c r="F268" s="12">
        <f t="shared" si="7"/>
        <v>0</v>
      </c>
      <c r="G268" s="20"/>
      <c r="H268" s="20"/>
      <c r="I268" s="9"/>
      <c r="J268" s="9"/>
      <c r="K268" s="9"/>
    </row>
    <row r="269" spans="1:11" s="7" customFormat="1" ht="29.25" thickBot="1" x14ac:dyDescent="0.25">
      <c r="A269" s="19" t="s">
        <v>47</v>
      </c>
      <c r="B269" s="10"/>
      <c r="C269" s="14">
        <v>46202</v>
      </c>
      <c r="D269" s="11"/>
      <c r="E269" s="11"/>
      <c r="F269" s="12">
        <f t="shared" si="7"/>
        <v>0</v>
      </c>
      <c r="G269" s="20"/>
      <c r="H269" s="20"/>
      <c r="I269" s="9"/>
      <c r="J269" s="9"/>
      <c r="K269" s="9"/>
    </row>
    <row r="270" spans="1:11" s="7" customFormat="1" ht="29.25" thickBot="1" x14ac:dyDescent="0.25">
      <c r="A270" s="19" t="s">
        <v>47</v>
      </c>
      <c r="B270" s="10"/>
      <c r="C270" s="14">
        <v>46202</v>
      </c>
      <c r="D270" s="11"/>
      <c r="E270" s="11"/>
      <c r="F270" s="12">
        <f t="shared" si="7"/>
        <v>0</v>
      </c>
      <c r="G270" s="20"/>
      <c r="H270" s="20"/>
      <c r="I270" s="9"/>
      <c r="J270" s="9"/>
      <c r="K270" s="9"/>
    </row>
    <row r="271" spans="1:11" s="7" customFormat="1" ht="29.25" thickBot="1" x14ac:dyDescent="0.25">
      <c r="A271" s="19" t="s">
        <v>47</v>
      </c>
      <c r="B271" s="10"/>
      <c r="C271" s="14">
        <v>46203</v>
      </c>
      <c r="D271" s="11"/>
      <c r="E271" s="11"/>
      <c r="F271" s="12">
        <f t="shared" si="7"/>
        <v>0</v>
      </c>
      <c r="G271" s="20"/>
      <c r="H271" s="20"/>
      <c r="I271" s="9"/>
      <c r="J271" s="9"/>
      <c r="K271" s="9"/>
    </row>
    <row r="272" spans="1:11" s="7" customFormat="1" ht="29.25" thickBot="1" x14ac:dyDescent="0.25">
      <c r="A272" s="19" t="s">
        <v>47</v>
      </c>
      <c r="B272" s="10"/>
      <c r="C272" s="14">
        <v>46203</v>
      </c>
      <c r="D272" s="11"/>
      <c r="E272" s="11"/>
      <c r="F272" s="12">
        <f t="shared" si="7"/>
        <v>0</v>
      </c>
      <c r="G272" s="20"/>
      <c r="H272" s="20"/>
      <c r="I272" s="9"/>
      <c r="J272" s="9"/>
      <c r="K272" s="9"/>
    </row>
    <row r="273" spans="1:11" s="7" customFormat="1" ht="29.25" thickBot="1" x14ac:dyDescent="0.25">
      <c r="A273" s="19" t="s">
        <v>47</v>
      </c>
      <c r="B273" s="10"/>
      <c r="C273" s="14">
        <v>46203</v>
      </c>
      <c r="D273" s="11"/>
      <c r="E273" s="11"/>
      <c r="F273" s="12">
        <f t="shared" si="7"/>
        <v>0</v>
      </c>
      <c r="G273" s="20"/>
      <c r="H273" s="20"/>
      <c r="I273" s="9"/>
      <c r="J273" s="9"/>
      <c r="K273" s="9"/>
    </row>
    <row r="274" spans="1:11" s="7" customFormat="1" ht="29.25" thickBot="1" x14ac:dyDescent="0.25">
      <c r="A274" s="19" t="s">
        <v>47</v>
      </c>
      <c r="B274" s="10"/>
      <c r="C274" s="14">
        <v>46203</v>
      </c>
      <c r="D274" s="11"/>
      <c r="E274" s="11"/>
      <c r="F274" s="12">
        <f t="shared" si="7"/>
        <v>0</v>
      </c>
      <c r="G274" s="20"/>
      <c r="H274" s="20"/>
      <c r="I274" s="9"/>
      <c r="J274" s="9"/>
      <c r="K274" s="9"/>
    </row>
    <row r="275" spans="1:11" s="7" customFormat="1" ht="29.25" thickBot="1" x14ac:dyDescent="0.25">
      <c r="A275" s="19" t="s">
        <v>47</v>
      </c>
      <c r="B275" s="10"/>
      <c r="C275" s="14">
        <v>46203</v>
      </c>
      <c r="D275" s="11"/>
      <c r="E275" s="11"/>
      <c r="F275" s="12">
        <f t="shared" si="7"/>
        <v>0</v>
      </c>
      <c r="G275" s="20"/>
      <c r="H275" s="20"/>
      <c r="I275" s="9"/>
      <c r="J275" s="9"/>
      <c r="K275" s="9"/>
    </row>
    <row r="276" spans="1:11" s="7" customFormat="1" ht="29.25" thickBot="1" x14ac:dyDescent="0.25">
      <c r="A276" s="19" t="s">
        <v>47</v>
      </c>
      <c r="B276" s="10"/>
      <c r="C276" s="14">
        <v>46203</v>
      </c>
      <c r="D276" s="11"/>
      <c r="E276" s="11"/>
      <c r="F276" s="12">
        <f t="shared" si="7"/>
        <v>0</v>
      </c>
      <c r="G276" s="20"/>
      <c r="H276" s="20"/>
      <c r="I276" s="9"/>
      <c r="J276" s="9"/>
      <c r="K276" s="9"/>
    </row>
    <row r="277" spans="1:11" s="7" customFormat="1" ht="29.25" thickBot="1" x14ac:dyDescent="0.25">
      <c r="A277" s="19" t="s">
        <v>47</v>
      </c>
      <c r="B277" s="10"/>
      <c r="C277" s="14">
        <v>46203</v>
      </c>
      <c r="D277" s="11"/>
      <c r="E277" s="11"/>
      <c r="F277" s="12">
        <f t="shared" si="7"/>
        <v>0</v>
      </c>
      <c r="G277" s="20"/>
      <c r="H277" s="20"/>
      <c r="I277" s="9"/>
      <c r="J277" s="9"/>
      <c r="K277" s="9"/>
    </row>
    <row r="278" spans="1:11" s="7" customFormat="1" ht="29.25" thickBot="1" x14ac:dyDescent="0.25">
      <c r="A278" s="19" t="s">
        <v>47</v>
      </c>
      <c r="B278" s="10"/>
      <c r="C278" s="14">
        <v>46203</v>
      </c>
      <c r="D278" s="11"/>
      <c r="E278" s="11"/>
      <c r="F278" s="12">
        <f t="shared" si="7"/>
        <v>0</v>
      </c>
      <c r="G278" s="20"/>
      <c r="H278" s="20"/>
      <c r="I278" s="9"/>
      <c r="J278" s="9"/>
      <c r="K278" s="9"/>
    </row>
    <row r="279" spans="1:11" s="7" customFormat="1" ht="29.25" thickBot="1" x14ac:dyDescent="0.25">
      <c r="A279" s="19" t="s">
        <v>47</v>
      </c>
      <c r="B279" s="10"/>
      <c r="C279" s="14">
        <v>46203</v>
      </c>
      <c r="D279" s="11"/>
      <c r="E279" s="11"/>
      <c r="F279" s="12">
        <f t="shared" si="7"/>
        <v>0</v>
      </c>
      <c r="G279" s="20"/>
      <c r="H279" s="20"/>
      <c r="I279" s="9"/>
      <c r="J279" s="9"/>
      <c r="K279" s="9"/>
    </row>
    <row r="280" spans="1:11" s="7" customFormat="1" ht="29.25" thickBot="1" x14ac:dyDescent="0.25">
      <c r="A280" s="19" t="s">
        <v>47</v>
      </c>
      <c r="B280" s="10"/>
      <c r="C280" s="14"/>
      <c r="D280" s="11"/>
      <c r="E280" s="11"/>
      <c r="F280" s="12">
        <f t="shared" si="7"/>
        <v>0</v>
      </c>
      <c r="G280" s="20"/>
      <c r="H280" s="20"/>
      <c r="I280" s="9"/>
      <c r="J280" s="9"/>
      <c r="K280" s="9"/>
    </row>
    <row r="281" spans="1:11" s="7" customFormat="1" ht="29.25" thickBot="1" x14ac:dyDescent="0.25">
      <c r="A281" s="19" t="s">
        <v>47</v>
      </c>
      <c r="B281" s="10"/>
      <c r="C281" s="14"/>
      <c r="D281" s="11"/>
      <c r="E281" s="11"/>
      <c r="F281" s="12">
        <f t="shared" si="7"/>
        <v>0</v>
      </c>
      <c r="G281" s="20"/>
      <c r="H281" s="20"/>
      <c r="I281" s="9"/>
      <c r="J281" s="9"/>
      <c r="K281" s="9"/>
    </row>
    <row r="282" spans="1:11" s="7" customFormat="1" ht="29.25" thickBot="1" x14ac:dyDescent="0.25">
      <c r="A282" s="19" t="s">
        <v>47</v>
      </c>
      <c r="B282" s="10"/>
      <c r="C282" s="14"/>
      <c r="D282" s="11"/>
      <c r="E282" s="11"/>
      <c r="F282" s="12">
        <f t="shared" si="7"/>
        <v>0</v>
      </c>
      <c r="G282" s="20"/>
      <c r="H282" s="20"/>
      <c r="I282" s="9"/>
      <c r="J282" s="9"/>
      <c r="K282" s="9"/>
    </row>
    <row r="283" spans="1:11" s="7" customFormat="1" ht="29.25" thickBot="1" x14ac:dyDescent="0.25">
      <c r="A283" s="19" t="s">
        <v>47</v>
      </c>
      <c r="B283" s="10"/>
      <c r="C283" s="14"/>
      <c r="D283" s="11"/>
      <c r="E283" s="11"/>
      <c r="F283" s="12">
        <f t="shared" si="7"/>
        <v>0</v>
      </c>
      <c r="G283" s="20"/>
      <c r="H283" s="20"/>
      <c r="I283" s="9"/>
      <c r="J283" s="9"/>
      <c r="K283" s="9"/>
    </row>
    <row r="284" spans="1:11" s="7" customFormat="1" ht="29.25" thickBot="1" x14ac:dyDescent="0.25">
      <c r="A284" s="19" t="s">
        <v>47</v>
      </c>
      <c r="B284" s="10"/>
      <c r="C284" s="14"/>
      <c r="D284" s="11"/>
      <c r="E284" s="11"/>
      <c r="F284" s="12">
        <f t="shared" si="7"/>
        <v>0</v>
      </c>
      <c r="G284" s="20"/>
      <c r="H284" s="20"/>
      <c r="I284" s="9"/>
      <c r="J284" s="9"/>
      <c r="K284" s="9"/>
    </row>
    <row r="285" spans="1:11" s="7" customFormat="1" ht="29.25" thickBot="1" x14ac:dyDescent="0.25">
      <c r="A285" s="19" t="s">
        <v>47</v>
      </c>
      <c r="B285" s="10"/>
      <c r="C285" s="14"/>
      <c r="D285" s="11"/>
      <c r="E285" s="11"/>
      <c r="F285" s="12">
        <f t="shared" si="7"/>
        <v>0</v>
      </c>
      <c r="G285" s="20"/>
      <c r="H285" s="20"/>
      <c r="I285" s="9"/>
      <c r="J285" s="9"/>
      <c r="K285" s="9"/>
    </row>
    <row r="286" spans="1:11" s="7" customFormat="1" ht="29.25" thickBot="1" x14ac:dyDescent="0.25">
      <c r="A286" s="19" t="s">
        <v>47</v>
      </c>
      <c r="B286" s="10"/>
      <c r="C286" s="14"/>
      <c r="D286" s="11"/>
      <c r="E286" s="11"/>
      <c r="F286" s="12">
        <f t="shared" si="7"/>
        <v>0</v>
      </c>
      <c r="G286" s="20"/>
      <c r="H286" s="20"/>
      <c r="I286" s="9"/>
      <c r="J286" s="9"/>
      <c r="K286" s="9"/>
    </row>
    <row r="287" spans="1:11" s="7" customFormat="1" ht="29.25" thickBot="1" x14ac:dyDescent="0.25">
      <c r="A287" s="19" t="s">
        <v>47</v>
      </c>
      <c r="B287" s="10"/>
      <c r="C287" s="14"/>
      <c r="D287" s="11"/>
      <c r="E287" s="11"/>
      <c r="F287" s="12">
        <f t="shared" si="7"/>
        <v>0</v>
      </c>
      <c r="G287" s="20"/>
      <c r="H287" s="20"/>
      <c r="I287" s="9"/>
      <c r="J287" s="9"/>
      <c r="K287" s="9"/>
    </row>
    <row r="288" spans="1:11" s="7" customFormat="1" ht="29.25" thickBot="1" x14ac:dyDescent="0.25">
      <c r="A288" s="19" t="s">
        <v>47</v>
      </c>
      <c r="B288" s="10"/>
      <c r="C288" s="14"/>
      <c r="D288" s="11"/>
      <c r="E288" s="11"/>
      <c r="F288" s="12">
        <f t="shared" si="7"/>
        <v>0</v>
      </c>
      <c r="G288" s="20"/>
      <c r="H288" s="20"/>
      <c r="I288" s="9"/>
      <c r="J288" s="9"/>
      <c r="K288" s="9"/>
    </row>
    <row r="289" spans="1:11" s="7" customFormat="1" ht="29.25" thickBot="1" x14ac:dyDescent="0.25">
      <c r="A289" s="19" t="s">
        <v>47</v>
      </c>
      <c r="B289" s="10"/>
      <c r="C289" s="14"/>
      <c r="D289" s="11"/>
      <c r="E289" s="11"/>
      <c r="F289" s="12">
        <f t="shared" si="7"/>
        <v>0</v>
      </c>
      <c r="G289" s="20"/>
      <c r="H289" s="20"/>
      <c r="I289" s="9"/>
      <c r="J289" s="9"/>
      <c r="K289" s="9"/>
    </row>
    <row r="290" spans="1:11" s="7" customFormat="1" ht="29.25" thickBot="1" x14ac:dyDescent="0.25">
      <c r="A290" s="19" t="s">
        <v>47</v>
      </c>
      <c r="B290" s="10"/>
      <c r="C290" s="14"/>
      <c r="D290" s="11"/>
      <c r="E290" s="11"/>
      <c r="F290" s="12">
        <f t="shared" si="7"/>
        <v>0</v>
      </c>
      <c r="G290" s="20"/>
      <c r="H290" s="20"/>
      <c r="I290" s="9"/>
      <c r="J290" s="9"/>
      <c r="K290" s="9"/>
    </row>
    <row r="291" spans="1:11" s="7" customFormat="1" ht="29.25" thickBot="1" x14ac:dyDescent="0.25">
      <c r="A291" s="19" t="s">
        <v>47</v>
      </c>
      <c r="B291" s="10"/>
      <c r="C291" s="14"/>
      <c r="D291" s="11"/>
      <c r="E291" s="11"/>
      <c r="F291" s="12">
        <f t="shared" si="7"/>
        <v>0</v>
      </c>
      <c r="G291" s="20"/>
      <c r="H291" s="20"/>
      <c r="I291" s="9"/>
      <c r="J291" s="9"/>
      <c r="K291" s="9"/>
    </row>
    <row r="292" spans="1:11" s="7" customFormat="1" ht="29.25" thickBot="1" x14ac:dyDescent="0.25">
      <c r="A292" s="19" t="s">
        <v>47</v>
      </c>
      <c r="B292" s="10"/>
      <c r="C292" s="14"/>
      <c r="D292" s="11"/>
      <c r="E292" s="11"/>
      <c r="F292" s="12">
        <f t="shared" si="7"/>
        <v>0</v>
      </c>
      <c r="G292" s="20"/>
      <c r="H292" s="20"/>
      <c r="I292" s="9"/>
      <c r="J292" s="9"/>
      <c r="K292" s="9"/>
    </row>
    <row r="293" spans="1:11" s="7" customFormat="1" ht="29.25" thickBot="1" x14ac:dyDescent="0.25">
      <c r="A293" s="19" t="s">
        <v>47</v>
      </c>
      <c r="B293" s="10"/>
      <c r="C293" s="14"/>
      <c r="D293" s="11"/>
      <c r="E293" s="11"/>
      <c r="F293" s="12">
        <f t="shared" si="7"/>
        <v>0</v>
      </c>
      <c r="G293" s="20"/>
      <c r="H293" s="20"/>
      <c r="I293" s="9"/>
      <c r="J293" s="9"/>
      <c r="K293" s="9"/>
    </row>
    <row r="294" spans="1:11" s="7" customFormat="1" ht="29.25" thickBot="1" x14ac:dyDescent="0.25">
      <c r="A294" s="19" t="s">
        <v>47</v>
      </c>
      <c r="B294" s="10"/>
      <c r="C294" s="14"/>
      <c r="D294" s="11"/>
      <c r="E294" s="11"/>
      <c r="F294" s="12">
        <f t="shared" si="7"/>
        <v>0</v>
      </c>
      <c r="G294" s="20"/>
      <c r="H294" s="20"/>
      <c r="I294" s="9"/>
      <c r="J294" s="9"/>
      <c r="K294" s="9"/>
    </row>
    <row r="295" spans="1:11" s="7" customFormat="1" ht="29.25" thickBot="1" x14ac:dyDescent="0.25">
      <c r="A295" s="19" t="s">
        <v>47</v>
      </c>
      <c r="B295" s="10"/>
      <c r="C295" s="14"/>
      <c r="D295" s="11"/>
      <c r="E295" s="11"/>
      <c r="F295" s="12">
        <f t="shared" si="7"/>
        <v>0</v>
      </c>
      <c r="G295" s="20"/>
      <c r="H295" s="20"/>
      <c r="I295" s="9"/>
      <c r="J295" s="9"/>
      <c r="K295" s="9"/>
    </row>
    <row r="296" spans="1:11" s="7" customFormat="1" ht="29.25" thickBot="1" x14ac:dyDescent="0.25">
      <c r="A296" s="19" t="s">
        <v>47</v>
      </c>
      <c r="B296" s="10"/>
      <c r="C296" s="14"/>
      <c r="D296" s="11"/>
      <c r="E296" s="11"/>
      <c r="F296" s="12">
        <f t="shared" si="7"/>
        <v>0</v>
      </c>
      <c r="G296" s="20"/>
      <c r="H296" s="20"/>
      <c r="I296" s="9"/>
      <c r="J296" s="9"/>
      <c r="K296" s="9"/>
    </row>
    <row r="297" spans="1:11" s="7" customFormat="1" ht="29.25" thickBot="1" x14ac:dyDescent="0.25">
      <c r="A297" s="19" t="s">
        <v>47</v>
      </c>
      <c r="B297" s="10"/>
      <c r="C297" s="14"/>
      <c r="D297" s="11"/>
      <c r="E297" s="11"/>
      <c r="F297" s="12">
        <f t="shared" si="7"/>
        <v>0</v>
      </c>
      <c r="G297" s="20"/>
      <c r="H297" s="20"/>
      <c r="I297" s="9"/>
      <c r="J297" s="9"/>
      <c r="K297" s="9"/>
    </row>
    <row r="298" spans="1:11" s="7" customFormat="1" ht="29.25" thickBot="1" x14ac:dyDescent="0.25">
      <c r="A298" s="19" t="s">
        <v>47</v>
      </c>
      <c r="B298" s="10"/>
      <c r="C298" s="14"/>
      <c r="D298" s="11"/>
      <c r="E298" s="11"/>
      <c r="F298" s="12">
        <f t="shared" si="7"/>
        <v>0</v>
      </c>
      <c r="G298" s="20"/>
      <c r="H298" s="20"/>
      <c r="I298" s="9"/>
      <c r="J298" s="9"/>
      <c r="K298" s="9"/>
    </row>
    <row r="299" spans="1:11" s="7" customFormat="1" ht="15" thickBot="1" x14ac:dyDescent="0.25">
      <c r="A299" s="19"/>
      <c r="B299" s="10"/>
      <c r="C299" s="14"/>
      <c r="D299" s="11"/>
      <c r="E299" s="11"/>
      <c r="F299" s="12"/>
      <c r="G299" s="9"/>
      <c r="H299" s="20"/>
      <c r="I299" s="9"/>
      <c r="J299" s="9"/>
      <c r="K299" s="9"/>
    </row>
    <row r="300" spans="1:11" s="7" customFormat="1" ht="15" thickBot="1" x14ac:dyDescent="0.25">
      <c r="A300" s="9"/>
      <c r="B300" s="9"/>
      <c r="C300" s="9"/>
      <c r="D300" s="9"/>
      <c r="E300" s="9"/>
      <c r="F300" s="9">
        <f>SUBTOTAL(9,$F$2:$F$299)</f>
        <v>72</v>
      </c>
      <c r="G300" s="9" t="s">
        <v>11</v>
      </c>
      <c r="H300" s="9"/>
      <c r="I300" s="9"/>
      <c r="J300" s="9"/>
      <c r="K300" s="9"/>
    </row>
    <row r="301" spans="1:11" s="7" customFormat="1" ht="15" thickBot="1" x14ac:dyDescent="0.25">
      <c r="A301" s="9"/>
      <c r="B301" s="9"/>
      <c r="C301" s="9"/>
      <c r="D301" s="9"/>
      <c r="E301" s="9"/>
      <c r="F301" s="9">
        <v>0</v>
      </c>
      <c r="G301" s="9" t="s">
        <v>19</v>
      </c>
      <c r="H301" s="9"/>
      <c r="I301" s="9"/>
      <c r="J301" s="9"/>
      <c r="K301" s="9"/>
    </row>
    <row r="302" spans="1:11" s="7" customFormat="1" ht="15" thickBot="1" x14ac:dyDescent="0.25">
      <c r="A302" s="9"/>
      <c r="B302" s="9"/>
      <c r="C302" s="9"/>
      <c r="D302" s="9"/>
      <c r="E302" s="9"/>
      <c r="F302" s="9">
        <v>0</v>
      </c>
      <c r="G302" s="9" t="s">
        <v>20</v>
      </c>
      <c r="H302" s="9"/>
      <c r="I302" s="9"/>
      <c r="J302" s="9"/>
      <c r="K302" s="9"/>
    </row>
    <row r="303" spans="1:11" s="7" customFormat="1" ht="15" thickBot="1" x14ac:dyDescent="0.25">
      <c r="A303" s="9"/>
      <c r="B303" s="9"/>
      <c r="C303" s="9"/>
      <c r="D303" s="9"/>
      <c r="E303" s="9"/>
      <c r="F303" s="9">
        <v>0</v>
      </c>
      <c r="G303" s="9" t="s">
        <v>22</v>
      </c>
      <c r="H303" s="9"/>
      <c r="I303" s="9"/>
      <c r="J303" s="9"/>
      <c r="K303" s="9"/>
    </row>
    <row r="304" spans="1:11" s="7" customFormat="1" ht="15" thickBot="1" x14ac:dyDescent="0.25">
      <c r="A304" s="9"/>
      <c r="B304" s="9"/>
      <c r="C304" s="9"/>
      <c r="D304" s="9"/>
      <c r="E304" s="9"/>
      <c r="F304" s="9">
        <v>0</v>
      </c>
      <c r="G304" s="9" t="s">
        <v>45</v>
      </c>
      <c r="H304" s="9"/>
      <c r="I304" s="9"/>
      <c r="J304" s="9"/>
      <c r="K304" s="9"/>
    </row>
    <row r="305" spans="1:11" s="7" customFormat="1" ht="15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s="7" customFormat="1" ht="15" thickBot="1" x14ac:dyDescent="0.25">
      <c r="A306" s="9"/>
      <c r="B306" s="9"/>
      <c r="C306" s="9"/>
      <c r="D306" s="9"/>
      <c r="E306" s="9"/>
      <c r="F306" s="9">
        <f>SUBTOTAL(9,F301:F304)</f>
        <v>0</v>
      </c>
      <c r="G306" s="9" t="s">
        <v>12</v>
      </c>
      <c r="H306" s="9"/>
      <c r="I306" s="9"/>
      <c r="J306" s="9"/>
      <c r="K306" s="9"/>
    </row>
    <row r="307" spans="1:11" s="7" customFormat="1" ht="15" thickBot="1" x14ac:dyDescent="0.25">
      <c r="A307" s="9"/>
      <c r="B307" s="9"/>
      <c r="C307" s="9"/>
      <c r="D307" s="9"/>
      <c r="E307" s="9"/>
      <c r="F307" s="9">
        <f>F306/8</f>
        <v>0</v>
      </c>
      <c r="G307" s="9" t="s">
        <v>13</v>
      </c>
      <c r="H307" s="9"/>
      <c r="I307" s="9"/>
      <c r="J307" s="9"/>
      <c r="K307" s="9"/>
    </row>
    <row r="308" spans="1:11" s="7" customFormat="1" ht="15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s="7" customFormat="1" ht="15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s="7" customFormat="1" ht="15" thickBot="1" x14ac:dyDescent="0.25">
      <c r="A310" s="9"/>
      <c r="B310" s="9"/>
      <c r="C310" s="9"/>
      <c r="D310" s="9"/>
      <c r="E310" s="9"/>
      <c r="F310" s="9">
        <v>0</v>
      </c>
      <c r="G310" s="9" t="s">
        <v>74</v>
      </c>
      <c r="H310" s="9"/>
      <c r="I310" s="9"/>
      <c r="J310" s="9"/>
      <c r="K310" s="9"/>
    </row>
    <row r="311" spans="1:11" s="7" customFormat="1" ht="15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s="7" customFormat="1" ht="15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s="7" customFormat="1" ht="15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s="7" customFormat="1" ht="15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s="7" customFormat="1" ht="15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s="7" customFormat="1" ht="15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s="7" customFormat="1" ht="15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s="7" customFormat="1" ht="15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s="7" customFormat="1" ht="15" thickBo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s="7" customFormat="1" ht="15" thickBo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s="7" customFormat="1" ht="15" thickBo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s="7" customFormat="1" ht="15" thickBo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s="7" customFormat="1" ht="15" thickBo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s="7" customFormat="1" ht="15" thickBo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s="7" customFormat="1" ht="15" thickBo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s="7" customFormat="1" ht="15" thickBo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s="7" customFormat="1" ht="15" thickBo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s="7" customFormat="1" ht="15" thickBo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s="7" customFormat="1" ht="15" thickBo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s="7" customFormat="1" ht="15" thickBo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s="7" customFormat="1" ht="15" thickBo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s="7" customFormat="1" ht="15" thickBo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s="7" customFormat="1" ht="15" thickBo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s="7" customFormat="1" ht="15" thickBo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s="7" customFormat="1" ht="15" thickBo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s="7" customFormat="1" ht="15" thickBo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s="7" customFormat="1" ht="15" thickBo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s="7" customFormat="1" ht="15" thickBo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s="7" customFormat="1" ht="15" thickBo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s="7" customFormat="1" ht="15" thickBo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s="7" customFormat="1" ht="15" thickBo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s="7" customFormat="1" ht="15" thickBo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s="7" customFormat="1" ht="15" thickBo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s="7" customFormat="1" ht="15" thickBo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s="7" customFormat="1" ht="15" thickBo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s="7" customFormat="1" ht="15" thickBo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s="7" customFormat="1" ht="15" thickBo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s="7" customFormat="1" ht="15" thickBo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s="7" customFormat="1" ht="15" thickBo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s="7" customFormat="1" ht="15" thickBo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s="7" customFormat="1" x14ac:dyDescent="0.2">
      <c r="B351" s="5"/>
      <c r="C351" s="5"/>
      <c r="D351" s="5"/>
      <c r="E351" s="5"/>
      <c r="F351" s="5"/>
      <c r="I351" s="5"/>
      <c r="J351" s="5"/>
    </row>
    <row r="352" spans="1:11" s="7" customFormat="1" x14ac:dyDescent="0.2">
      <c r="B352" s="5"/>
      <c r="C352" s="5"/>
      <c r="D352" s="5"/>
      <c r="E352" s="5"/>
      <c r="F352" s="5"/>
      <c r="I352" s="5"/>
      <c r="J352" s="5"/>
    </row>
    <row r="353" spans="2:10" s="7" customFormat="1" x14ac:dyDescent="0.2">
      <c r="B353" s="5"/>
      <c r="C353" s="5"/>
      <c r="D353" s="5"/>
      <c r="E353" s="5"/>
      <c r="F353" s="5"/>
      <c r="I353" s="5"/>
      <c r="J353" s="5"/>
    </row>
    <row r="354" spans="2:10" s="7" customFormat="1" x14ac:dyDescent="0.2">
      <c r="B354" s="5"/>
      <c r="C354" s="5"/>
      <c r="D354" s="5"/>
      <c r="E354" s="5"/>
      <c r="F354" s="5"/>
      <c r="I354" s="5"/>
      <c r="J354" s="5"/>
    </row>
    <row r="355" spans="2:10" s="7" customFormat="1" x14ac:dyDescent="0.2">
      <c r="B355" s="5"/>
      <c r="C355" s="5"/>
      <c r="D355" s="5"/>
      <c r="E355" s="5"/>
      <c r="F355" s="5"/>
      <c r="I355" s="5"/>
      <c r="J355" s="5"/>
    </row>
    <row r="356" spans="2:10" s="7" customFormat="1" x14ac:dyDescent="0.2">
      <c r="B356" s="5"/>
      <c r="C356" s="5"/>
      <c r="D356" s="5"/>
      <c r="E356" s="5"/>
      <c r="F356" s="5"/>
      <c r="I356" s="5"/>
      <c r="J356" s="5"/>
    </row>
    <row r="357" spans="2:10" s="7" customFormat="1" x14ac:dyDescent="0.2">
      <c r="B357" s="5"/>
      <c r="C357" s="5"/>
      <c r="D357" s="5"/>
      <c r="E357" s="5"/>
      <c r="F357" s="5"/>
      <c r="I357" s="5"/>
      <c r="J357" s="5"/>
    </row>
    <row r="358" spans="2:10" s="7" customFormat="1" x14ac:dyDescent="0.2">
      <c r="B358" s="5"/>
      <c r="C358" s="5"/>
      <c r="D358" s="5"/>
      <c r="E358" s="5"/>
      <c r="F358" s="5"/>
      <c r="I358" s="5"/>
      <c r="J358" s="5"/>
    </row>
    <row r="359" spans="2:10" s="7" customFormat="1" x14ac:dyDescent="0.2">
      <c r="B359" s="5"/>
      <c r="C359" s="5"/>
      <c r="D359" s="5"/>
      <c r="E359" s="5"/>
      <c r="F359" s="5"/>
      <c r="I359" s="5"/>
      <c r="J359" s="5"/>
    </row>
    <row r="360" spans="2:10" s="7" customFormat="1" x14ac:dyDescent="0.2">
      <c r="B360" s="5"/>
      <c r="C360" s="5"/>
      <c r="D360" s="5"/>
      <c r="E360" s="5"/>
      <c r="F360" s="5"/>
      <c r="I360" s="5"/>
      <c r="J360" s="5"/>
    </row>
    <row r="361" spans="2:10" s="7" customFormat="1" x14ac:dyDescent="0.2">
      <c r="B361" s="5"/>
      <c r="C361" s="5"/>
      <c r="D361" s="5"/>
      <c r="E361" s="5"/>
      <c r="F361" s="5"/>
      <c r="I361" s="5"/>
      <c r="J361" s="5"/>
    </row>
    <row r="362" spans="2:10" s="7" customFormat="1" x14ac:dyDescent="0.2">
      <c r="B362" s="5"/>
      <c r="C362" s="5"/>
      <c r="D362" s="5"/>
      <c r="E362" s="5"/>
      <c r="F362" s="5"/>
      <c r="I362" s="5"/>
      <c r="J362" s="5"/>
    </row>
    <row r="363" spans="2:10" s="7" customFormat="1" x14ac:dyDescent="0.2">
      <c r="B363" s="5"/>
      <c r="C363" s="5"/>
      <c r="D363" s="5"/>
      <c r="E363" s="5"/>
      <c r="F363" s="5"/>
      <c r="I363" s="5"/>
      <c r="J363" s="5"/>
    </row>
    <row r="364" spans="2:10" s="7" customFormat="1" x14ac:dyDescent="0.2">
      <c r="B364" s="5"/>
      <c r="C364" s="5"/>
      <c r="D364" s="5"/>
      <c r="E364" s="5"/>
      <c r="F364" s="5"/>
      <c r="I364" s="5"/>
      <c r="J364" s="5"/>
    </row>
    <row r="365" spans="2:10" s="7" customFormat="1" x14ac:dyDescent="0.2">
      <c r="B365" s="5"/>
      <c r="C365" s="5"/>
      <c r="D365" s="5"/>
      <c r="E365" s="5"/>
      <c r="F365" s="5"/>
      <c r="I365" s="5"/>
      <c r="J365" s="5"/>
    </row>
    <row r="366" spans="2:10" s="7" customFormat="1" x14ac:dyDescent="0.2">
      <c r="B366" s="5"/>
      <c r="C366" s="5"/>
      <c r="D366" s="5"/>
      <c r="E366" s="5"/>
      <c r="F366" s="5"/>
      <c r="I366" s="5"/>
      <c r="J366" s="5"/>
    </row>
    <row r="367" spans="2:10" s="7" customFormat="1" x14ac:dyDescent="0.2">
      <c r="B367" s="5"/>
      <c r="C367" s="5"/>
      <c r="D367" s="5"/>
      <c r="E367" s="5"/>
      <c r="F367" s="5"/>
      <c r="I367" s="5"/>
      <c r="J367" s="5"/>
    </row>
    <row r="368" spans="2:10" s="7" customFormat="1" x14ac:dyDescent="0.2">
      <c r="B368" s="5"/>
      <c r="C368" s="5"/>
      <c r="D368" s="5"/>
      <c r="E368" s="5"/>
      <c r="F368" s="5"/>
      <c r="I368" s="5"/>
      <c r="J368" s="5"/>
    </row>
    <row r="369" spans="2:10" s="7" customFormat="1" x14ac:dyDescent="0.2">
      <c r="B369" s="5"/>
      <c r="C369" s="5"/>
      <c r="D369" s="5"/>
      <c r="E369" s="5"/>
      <c r="F369" s="5"/>
      <c r="I369" s="5"/>
      <c r="J369" s="5"/>
    </row>
    <row r="370" spans="2:10" s="7" customFormat="1" x14ac:dyDescent="0.2">
      <c r="B370" s="5"/>
      <c r="C370" s="5"/>
      <c r="D370" s="5"/>
      <c r="E370" s="5"/>
      <c r="F370" s="5"/>
      <c r="I370" s="5"/>
      <c r="J370" s="5"/>
    </row>
    <row r="371" spans="2:10" s="7" customFormat="1" x14ac:dyDescent="0.2">
      <c r="B371" s="5"/>
      <c r="C371" s="5"/>
      <c r="D371" s="5"/>
      <c r="E371" s="5"/>
      <c r="F371" s="5"/>
      <c r="I371" s="5"/>
      <c r="J371" s="5"/>
    </row>
    <row r="372" spans="2:10" s="7" customFormat="1" x14ac:dyDescent="0.2">
      <c r="B372" s="5"/>
      <c r="C372" s="5"/>
      <c r="D372" s="5"/>
      <c r="E372" s="5"/>
      <c r="F372" s="5"/>
      <c r="I372" s="5"/>
      <c r="J372" s="5"/>
    </row>
    <row r="373" spans="2:10" s="7" customFormat="1" x14ac:dyDescent="0.2">
      <c r="B373" s="5"/>
      <c r="C373" s="5"/>
      <c r="D373" s="5"/>
      <c r="E373" s="5"/>
      <c r="F373" s="5"/>
      <c r="I373" s="5"/>
      <c r="J373" s="5"/>
    </row>
    <row r="374" spans="2:10" s="7" customFormat="1" x14ac:dyDescent="0.2">
      <c r="B374" s="5"/>
      <c r="C374" s="5"/>
      <c r="D374" s="5"/>
      <c r="E374" s="5"/>
      <c r="F374" s="5"/>
      <c r="I374" s="5"/>
      <c r="J374" s="5"/>
    </row>
    <row r="375" spans="2:10" s="7" customFormat="1" x14ac:dyDescent="0.2">
      <c r="B375" s="5"/>
      <c r="C375" s="5"/>
      <c r="D375" s="5"/>
      <c r="E375" s="5"/>
      <c r="F375" s="5"/>
      <c r="I375" s="5"/>
      <c r="J375" s="5"/>
    </row>
    <row r="376" spans="2:10" s="7" customFormat="1" x14ac:dyDescent="0.2">
      <c r="B376" s="5"/>
      <c r="C376" s="5"/>
      <c r="D376" s="5"/>
      <c r="E376" s="5"/>
      <c r="F376" s="5"/>
      <c r="I376" s="5"/>
      <c r="J376" s="5"/>
    </row>
    <row r="377" spans="2:10" s="7" customFormat="1" x14ac:dyDescent="0.2">
      <c r="B377" s="5"/>
      <c r="C377" s="5"/>
      <c r="D377" s="5"/>
      <c r="E377" s="5"/>
      <c r="F377" s="5"/>
      <c r="I377" s="5"/>
      <c r="J377" s="5"/>
    </row>
    <row r="378" spans="2:10" s="7" customFormat="1" x14ac:dyDescent="0.2">
      <c r="B378" s="5"/>
      <c r="C378" s="5"/>
      <c r="D378" s="5"/>
      <c r="E378" s="5"/>
      <c r="F378" s="5"/>
      <c r="I378" s="5"/>
      <c r="J378" s="5"/>
    </row>
    <row r="379" spans="2:10" s="7" customFormat="1" x14ac:dyDescent="0.2">
      <c r="B379" s="5"/>
      <c r="C379" s="5"/>
      <c r="D379" s="5"/>
      <c r="E379" s="5"/>
      <c r="F379" s="5"/>
      <c r="I379" s="5"/>
      <c r="J379" s="5"/>
    </row>
    <row r="380" spans="2:10" s="7" customFormat="1" x14ac:dyDescent="0.2">
      <c r="B380" s="5"/>
      <c r="C380" s="5"/>
      <c r="D380" s="5"/>
      <c r="E380" s="5"/>
      <c r="F380" s="5"/>
      <c r="I380" s="5"/>
      <c r="J380" s="5"/>
    </row>
    <row r="381" spans="2:10" s="7" customFormat="1" x14ac:dyDescent="0.2">
      <c r="B381" s="5"/>
      <c r="C381" s="5"/>
      <c r="D381" s="5"/>
      <c r="E381" s="5"/>
      <c r="F381" s="5"/>
      <c r="I381" s="5"/>
      <c r="J381" s="5"/>
    </row>
    <row r="382" spans="2:10" s="7" customFormat="1" x14ac:dyDescent="0.2">
      <c r="B382" s="5"/>
      <c r="C382" s="5"/>
      <c r="D382" s="5"/>
      <c r="E382" s="5"/>
      <c r="F382" s="5"/>
      <c r="I382" s="5"/>
      <c r="J382" s="5"/>
    </row>
    <row r="383" spans="2:10" s="7" customFormat="1" x14ac:dyDescent="0.2">
      <c r="B383" s="5"/>
      <c r="C383" s="5"/>
      <c r="D383" s="5"/>
      <c r="E383" s="5"/>
      <c r="F383" s="5"/>
      <c r="I383" s="5"/>
      <c r="J383" s="5"/>
    </row>
    <row r="384" spans="2:10" s="7" customFormat="1" x14ac:dyDescent="0.2">
      <c r="B384" s="5"/>
      <c r="C384" s="5"/>
      <c r="D384" s="5"/>
      <c r="E384" s="5"/>
      <c r="F384" s="5"/>
      <c r="I384" s="5"/>
      <c r="J384" s="5"/>
    </row>
    <row r="385" spans="2:10" s="7" customFormat="1" x14ac:dyDescent="0.2">
      <c r="B385" s="5"/>
      <c r="C385" s="5"/>
      <c r="D385" s="5"/>
      <c r="E385" s="5"/>
      <c r="F385" s="5"/>
      <c r="I385" s="5"/>
      <c r="J385" s="5"/>
    </row>
    <row r="386" spans="2:10" s="7" customFormat="1" x14ac:dyDescent="0.2">
      <c r="B386" s="5"/>
      <c r="C386" s="5"/>
      <c r="D386" s="5"/>
      <c r="E386" s="5"/>
      <c r="F386" s="5"/>
      <c r="I386" s="5"/>
      <c r="J386" s="5"/>
    </row>
    <row r="387" spans="2:10" s="7" customFormat="1" x14ac:dyDescent="0.2">
      <c r="B387" s="5"/>
      <c r="C387" s="5"/>
      <c r="D387" s="5"/>
      <c r="E387" s="5"/>
      <c r="F387" s="5"/>
      <c r="I387" s="5"/>
      <c r="J387" s="5"/>
    </row>
    <row r="388" spans="2:10" s="7" customFormat="1" x14ac:dyDescent="0.2">
      <c r="B388" s="5"/>
      <c r="C388" s="5"/>
      <c r="D388" s="5"/>
      <c r="E388" s="5"/>
      <c r="F388" s="5"/>
      <c r="I388" s="5"/>
      <c r="J388" s="5"/>
    </row>
    <row r="389" spans="2:10" s="7" customFormat="1" x14ac:dyDescent="0.2">
      <c r="B389" s="5"/>
      <c r="C389" s="5"/>
      <c r="D389" s="5"/>
      <c r="E389" s="5"/>
      <c r="F389" s="5"/>
      <c r="I389" s="5"/>
      <c r="J389" s="5"/>
    </row>
    <row r="390" spans="2:10" s="7" customFormat="1" x14ac:dyDescent="0.2">
      <c r="B390" s="5"/>
      <c r="C390" s="5"/>
      <c r="D390" s="5"/>
      <c r="E390" s="5"/>
      <c r="F390" s="5"/>
      <c r="I390" s="5"/>
      <c r="J390" s="5"/>
    </row>
    <row r="391" spans="2:10" s="7" customFormat="1" x14ac:dyDescent="0.2">
      <c r="B391" s="5"/>
      <c r="C391" s="5"/>
      <c r="D391" s="5"/>
      <c r="E391" s="5"/>
      <c r="F391" s="5"/>
      <c r="I391" s="5"/>
      <c r="J391" s="5"/>
    </row>
    <row r="392" spans="2:10" s="7" customFormat="1" x14ac:dyDescent="0.2">
      <c r="B392" s="5"/>
      <c r="C392" s="5"/>
      <c r="D392" s="5"/>
      <c r="E392" s="5"/>
      <c r="F392" s="5"/>
      <c r="I392" s="5"/>
      <c r="J392" s="5"/>
    </row>
    <row r="393" spans="2:10" s="7" customFormat="1" x14ac:dyDescent="0.2">
      <c r="B393" s="5"/>
      <c r="C393" s="5"/>
      <c r="D393" s="5"/>
      <c r="E393" s="5"/>
      <c r="F393" s="5"/>
      <c r="I393" s="5"/>
      <c r="J393" s="5"/>
    </row>
    <row r="394" spans="2:10" s="7" customFormat="1" x14ac:dyDescent="0.2">
      <c r="B394" s="5"/>
      <c r="C394" s="5"/>
      <c r="D394" s="5"/>
      <c r="E394" s="5"/>
      <c r="F394" s="5"/>
      <c r="I394" s="5"/>
      <c r="J394" s="5"/>
    </row>
    <row r="395" spans="2:10" s="7" customFormat="1" x14ac:dyDescent="0.2">
      <c r="B395" s="5"/>
      <c r="C395" s="5"/>
      <c r="D395" s="5"/>
      <c r="E395" s="5"/>
      <c r="F395" s="5"/>
      <c r="I395" s="5"/>
      <c r="J395" s="5"/>
    </row>
    <row r="396" spans="2:10" s="7" customFormat="1" x14ac:dyDescent="0.2">
      <c r="B396" s="5"/>
      <c r="C396" s="5"/>
      <c r="D396" s="5"/>
      <c r="E396" s="5"/>
      <c r="F396" s="5"/>
      <c r="I396" s="5"/>
      <c r="J396" s="5"/>
    </row>
    <row r="397" spans="2:10" s="7" customFormat="1" x14ac:dyDescent="0.2">
      <c r="B397" s="5"/>
      <c r="C397" s="5"/>
      <c r="D397" s="5"/>
      <c r="E397" s="5"/>
      <c r="F397" s="5"/>
      <c r="I397" s="5"/>
      <c r="J397" s="5"/>
    </row>
    <row r="398" spans="2:10" s="7" customFormat="1" x14ac:dyDescent="0.2">
      <c r="B398" s="5"/>
      <c r="C398" s="5"/>
      <c r="D398" s="5"/>
      <c r="E398" s="5"/>
      <c r="F398" s="5"/>
      <c r="I398" s="5"/>
      <c r="J398" s="5"/>
    </row>
    <row r="399" spans="2:10" s="7" customFormat="1" x14ac:dyDescent="0.2">
      <c r="B399" s="5"/>
      <c r="C399" s="5"/>
      <c r="D399" s="5"/>
      <c r="E399" s="5"/>
      <c r="F399" s="5"/>
      <c r="I399" s="5"/>
      <c r="J399" s="5"/>
    </row>
    <row r="400" spans="2:10" s="7" customFormat="1" x14ac:dyDescent="0.2">
      <c r="B400" s="5"/>
      <c r="C400" s="5"/>
      <c r="D400" s="5"/>
      <c r="E400" s="5"/>
      <c r="F400" s="5"/>
      <c r="I400" s="5"/>
      <c r="J400" s="5"/>
    </row>
    <row r="401" spans="2:10" s="7" customFormat="1" x14ac:dyDescent="0.2">
      <c r="B401" s="5"/>
      <c r="C401" s="5"/>
      <c r="D401" s="5"/>
      <c r="E401" s="5"/>
      <c r="F401" s="5"/>
      <c r="I401" s="5"/>
      <c r="J401" s="5"/>
    </row>
    <row r="402" spans="2:10" s="7" customFormat="1" x14ac:dyDescent="0.2">
      <c r="B402" s="5"/>
      <c r="C402" s="5"/>
      <c r="D402" s="5"/>
      <c r="E402" s="5"/>
      <c r="F402" s="5"/>
      <c r="I402" s="5"/>
      <c r="J402" s="5"/>
    </row>
    <row r="403" spans="2:10" s="7" customFormat="1" x14ac:dyDescent="0.2">
      <c r="B403" s="5"/>
      <c r="C403" s="5"/>
      <c r="D403" s="5"/>
      <c r="E403" s="5"/>
      <c r="F403" s="5"/>
      <c r="I403" s="5"/>
      <c r="J403" s="5"/>
    </row>
    <row r="404" spans="2:10" s="7" customFormat="1" x14ac:dyDescent="0.2">
      <c r="B404" s="5"/>
      <c r="C404" s="5"/>
      <c r="D404" s="5"/>
      <c r="E404" s="5"/>
      <c r="F404" s="5"/>
      <c r="I404" s="5"/>
      <c r="J404" s="5"/>
    </row>
    <row r="405" spans="2:10" s="7" customFormat="1" x14ac:dyDescent="0.2">
      <c r="B405" s="5"/>
      <c r="C405" s="5"/>
      <c r="D405" s="5"/>
      <c r="E405" s="5"/>
      <c r="F405" s="5"/>
      <c r="I405" s="5"/>
      <c r="J405" s="5"/>
    </row>
    <row r="406" spans="2:10" s="7" customFormat="1" x14ac:dyDescent="0.2">
      <c r="B406" s="5"/>
      <c r="C406" s="5"/>
      <c r="D406" s="5"/>
      <c r="E406" s="5"/>
      <c r="F406" s="5"/>
      <c r="I406" s="5"/>
      <c r="J406" s="5"/>
    </row>
    <row r="407" spans="2:10" s="7" customFormat="1" x14ac:dyDescent="0.2">
      <c r="B407" s="5"/>
      <c r="C407" s="5"/>
      <c r="D407" s="5"/>
      <c r="E407" s="5"/>
      <c r="F407" s="5"/>
      <c r="I407" s="5"/>
      <c r="J407" s="5"/>
    </row>
    <row r="408" spans="2:10" s="7" customFormat="1" x14ac:dyDescent="0.2">
      <c r="B408" s="5"/>
      <c r="C408" s="5"/>
      <c r="D408" s="5"/>
      <c r="E408" s="5"/>
      <c r="F408" s="5"/>
      <c r="I408" s="5"/>
      <c r="J408" s="5"/>
    </row>
    <row r="409" spans="2:10" s="7" customFormat="1" x14ac:dyDescent="0.2">
      <c r="B409" s="5"/>
      <c r="C409" s="5"/>
      <c r="D409" s="5"/>
      <c r="E409" s="5"/>
      <c r="F409" s="5"/>
      <c r="I409" s="5"/>
      <c r="J409" s="5"/>
    </row>
    <row r="410" spans="2:10" s="7" customFormat="1" x14ac:dyDescent="0.2">
      <c r="B410" s="5"/>
      <c r="C410" s="5"/>
      <c r="D410" s="5"/>
      <c r="E410" s="5"/>
      <c r="F410" s="5"/>
      <c r="I410" s="5"/>
      <c r="J410" s="5"/>
    </row>
    <row r="411" spans="2:10" s="7" customFormat="1" x14ac:dyDescent="0.2">
      <c r="B411" s="5"/>
      <c r="C411" s="5"/>
      <c r="D411" s="5"/>
      <c r="E411" s="5"/>
      <c r="F411" s="5"/>
      <c r="I411" s="5"/>
      <c r="J411" s="5"/>
    </row>
    <row r="412" spans="2:10" s="7" customFormat="1" x14ac:dyDescent="0.2">
      <c r="B412" s="5"/>
      <c r="C412" s="5"/>
      <c r="D412" s="5"/>
      <c r="E412" s="5"/>
      <c r="F412" s="5"/>
      <c r="I412" s="5"/>
      <c r="J412" s="5"/>
    </row>
    <row r="413" spans="2:10" s="7" customFormat="1" x14ac:dyDescent="0.2">
      <c r="B413" s="5"/>
      <c r="C413" s="5"/>
      <c r="D413" s="5"/>
      <c r="E413" s="5"/>
      <c r="F413" s="5"/>
      <c r="I413" s="5"/>
      <c r="J413" s="5"/>
    </row>
    <row r="414" spans="2:10" s="7" customFormat="1" x14ac:dyDescent="0.2">
      <c r="B414" s="5"/>
      <c r="C414" s="5"/>
      <c r="D414" s="5"/>
      <c r="E414" s="5"/>
      <c r="F414" s="5"/>
      <c r="I414" s="5"/>
      <c r="J414" s="5"/>
    </row>
    <row r="415" spans="2:10" s="7" customFormat="1" x14ac:dyDescent="0.2">
      <c r="B415" s="5"/>
      <c r="C415" s="5"/>
      <c r="D415" s="5"/>
      <c r="E415" s="5"/>
      <c r="F415" s="5"/>
      <c r="I415" s="5"/>
      <c r="J415" s="5"/>
    </row>
    <row r="416" spans="2:10" s="7" customFormat="1" x14ac:dyDescent="0.2">
      <c r="B416" s="5"/>
      <c r="C416" s="5"/>
      <c r="D416" s="5"/>
      <c r="E416" s="5"/>
      <c r="F416" s="5"/>
      <c r="I416" s="5"/>
      <c r="J416" s="5"/>
    </row>
    <row r="417" spans="2:10" s="7" customFormat="1" x14ac:dyDescent="0.2">
      <c r="B417" s="5"/>
      <c r="C417" s="5"/>
      <c r="D417" s="5"/>
      <c r="E417" s="5"/>
      <c r="F417" s="5"/>
      <c r="I417" s="5"/>
      <c r="J417" s="5"/>
    </row>
    <row r="418" spans="2:10" s="7" customFormat="1" x14ac:dyDescent="0.2">
      <c r="B418" s="5"/>
      <c r="C418" s="5"/>
      <c r="D418" s="5"/>
      <c r="E418" s="5"/>
      <c r="F418" s="5"/>
      <c r="I418" s="5"/>
      <c r="J418" s="5"/>
    </row>
    <row r="419" spans="2:10" s="7" customFormat="1" x14ac:dyDescent="0.2">
      <c r="B419" s="5"/>
      <c r="C419" s="5"/>
      <c r="D419" s="5"/>
      <c r="E419" s="5"/>
      <c r="F419" s="5"/>
      <c r="I419" s="5"/>
      <c r="J419" s="5"/>
    </row>
    <row r="420" spans="2:10" s="7" customFormat="1" x14ac:dyDescent="0.2">
      <c r="B420" s="5"/>
      <c r="C420" s="5"/>
      <c r="D420" s="5"/>
      <c r="E420" s="5"/>
      <c r="F420" s="5"/>
      <c r="I420" s="5"/>
      <c r="J420" s="5"/>
    </row>
    <row r="421" spans="2:10" s="7" customFormat="1" x14ac:dyDescent="0.2">
      <c r="B421" s="5"/>
      <c r="C421" s="5"/>
      <c r="D421" s="5"/>
      <c r="E421" s="5"/>
      <c r="F421" s="5"/>
      <c r="I421" s="5"/>
      <c r="J421" s="5"/>
    </row>
    <row r="422" spans="2:10" s="7" customFormat="1" x14ac:dyDescent="0.2">
      <c r="B422" s="5"/>
      <c r="C422" s="5"/>
      <c r="D422" s="5"/>
      <c r="E422" s="5"/>
      <c r="F422" s="5"/>
      <c r="I422" s="5"/>
      <c r="J422" s="5"/>
    </row>
    <row r="423" spans="2:10" s="7" customFormat="1" x14ac:dyDescent="0.2">
      <c r="B423" s="5"/>
      <c r="C423" s="5"/>
      <c r="D423" s="5"/>
      <c r="E423" s="5"/>
      <c r="F423" s="5"/>
      <c r="I423" s="5"/>
      <c r="J423" s="5"/>
    </row>
    <row r="424" spans="2:10" s="7" customFormat="1" x14ac:dyDescent="0.2">
      <c r="B424" s="5"/>
      <c r="C424" s="5"/>
      <c r="D424" s="5"/>
      <c r="E424" s="5"/>
      <c r="F424" s="5"/>
      <c r="I424" s="5"/>
      <c r="J424" s="5"/>
    </row>
    <row r="425" spans="2:10" s="7" customFormat="1" x14ac:dyDescent="0.2">
      <c r="B425" s="5"/>
      <c r="C425" s="5"/>
      <c r="D425" s="5"/>
      <c r="E425" s="5"/>
      <c r="F425" s="5"/>
      <c r="I425" s="5"/>
      <c r="J425" s="5"/>
    </row>
    <row r="426" spans="2:10" s="7" customFormat="1" x14ac:dyDescent="0.2">
      <c r="B426" s="5"/>
      <c r="C426" s="5"/>
      <c r="D426" s="5"/>
      <c r="E426" s="5"/>
      <c r="F426" s="5"/>
      <c r="I426" s="5"/>
      <c r="J426" s="5"/>
    </row>
    <row r="427" spans="2:10" s="7" customFormat="1" x14ac:dyDescent="0.2">
      <c r="B427" s="5"/>
      <c r="C427" s="5"/>
      <c r="D427" s="5"/>
      <c r="E427" s="5"/>
      <c r="F427" s="5"/>
      <c r="I427" s="5"/>
      <c r="J427" s="5"/>
    </row>
    <row r="428" spans="2:10" s="7" customFormat="1" x14ac:dyDescent="0.2">
      <c r="B428" s="5"/>
      <c r="C428" s="5"/>
      <c r="D428" s="5"/>
      <c r="E428" s="5"/>
      <c r="F428" s="5"/>
      <c r="I428" s="5"/>
      <c r="J428" s="5"/>
    </row>
    <row r="429" spans="2:10" s="7" customFormat="1" x14ac:dyDescent="0.2">
      <c r="B429" s="5"/>
      <c r="C429" s="5"/>
      <c r="D429" s="5"/>
      <c r="E429" s="5"/>
      <c r="F429" s="5"/>
      <c r="I429" s="5"/>
      <c r="J429" s="5"/>
    </row>
    <row r="430" spans="2:10" s="7" customFormat="1" x14ac:dyDescent="0.2">
      <c r="B430" s="5"/>
      <c r="C430" s="5"/>
      <c r="D430" s="5"/>
      <c r="E430" s="5"/>
      <c r="F430" s="5"/>
      <c r="I430" s="5"/>
      <c r="J430" s="5"/>
    </row>
    <row r="431" spans="2:10" s="7" customFormat="1" x14ac:dyDescent="0.2">
      <c r="B431" s="5"/>
      <c r="C431" s="5"/>
      <c r="D431" s="5"/>
      <c r="E431" s="5"/>
      <c r="F431" s="5"/>
      <c r="I431" s="5"/>
      <c r="J431" s="5"/>
    </row>
    <row r="432" spans="2:10" s="7" customFormat="1" x14ac:dyDescent="0.2">
      <c r="B432" s="5"/>
      <c r="C432" s="5"/>
      <c r="D432" s="5"/>
      <c r="E432" s="5"/>
      <c r="F432" s="5"/>
      <c r="I432" s="5"/>
      <c r="J432" s="5"/>
    </row>
    <row r="433" spans="2:10" s="7" customFormat="1" x14ac:dyDescent="0.2">
      <c r="B433" s="5"/>
      <c r="C433" s="5"/>
      <c r="D433" s="5"/>
      <c r="E433" s="5"/>
      <c r="F433" s="5"/>
      <c r="I433" s="5"/>
      <c r="J433" s="5"/>
    </row>
    <row r="434" spans="2:10" s="7" customFormat="1" x14ac:dyDescent="0.2">
      <c r="B434" s="5"/>
      <c r="C434" s="5"/>
      <c r="D434" s="5"/>
      <c r="E434" s="5"/>
      <c r="F434" s="5"/>
      <c r="I434" s="5"/>
      <c r="J434" s="5"/>
    </row>
    <row r="435" spans="2:10" s="7" customFormat="1" x14ac:dyDescent="0.2">
      <c r="B435" s="5"/>
      <c r="C435" s="5"/>
      <c r="D435" s="5"/>
      <c r="E435" s="5"/>
      <c r="F435" s="5"/>
      <c r="I435" s="5"/>
      <c r="J435" s="5"/>
    </row>
    <row r="436" spans="2:10" s="7" customFormat="1" x14ac:dyDescent="0.2">
      <c r="B436" s="5"/>
      <c r="C436" s="5"/>
      <c r="D436" s="5"/>
      <c r="E436" s="5"/>
      <c r="F436" s="5"/>
      <c r="I436" s="5"/>
      <c r="J436" s="5"/>
    </row>
    <row r="437" spans="2:10" s="7" customFormat="1" x14ac:dyDescent="0.2">
      <c r="B437" s="5"/>
      <c r="C437" s="5"/>
      <c r="D437" s="5"/>
      <c r="E437" s="5"/>
      <c r="F437" s="5"/>
      <c r="I437" s="5"/>
      <c r="J437" s="5"/>
    </row>
    <row r="438" spans="2:10" s="7" customFormat="1" x14ac:dyDescent="0.2">
      <c r="B438" s="5"/>
      <c r="C438" s="5"/>
      <c r="D438" s="5"/>
      <c r="E438" s="5"/>
      <c r="F438" s="5"/>
      <c r="I438" s="5"/>
      <c r="J438" s="5"/>
    </row>
    <row r="439" spans="2:10" s="7" customFormat="1" x14ac:dyDescent="0.2">
      <c r="B439" s="5"/>
      <c r="C439" s="5"/>
      <c r="D439" s="5"/>
      <c r="E439" s="5"/>
      <c r="F439" s="5"/>
      <c r="I439" s="5"/>
      <c r="J439" s="5"/>
    </row>
    <row r="440" spans="2:10" s="7" customFormat="1" x14ac:dyDescent="0.2">
      <c r="B440" s="5"/>
      <c r="C440" s="5"/>
      <c r="D440" s="5"/>
      <c r="E440" s="5"/>
      <c r="F440" s="5"/>
      <c r="I440" s="5"/>
      <c r="J440" s="5"/>
    </row>
    <row r="441" spans="2:10" s="7" customFormat="1" x14ac:dyDescent="0.2">
      <c r="B441" s="5"/>
      <c r="C441" s="5"/>
      <c r="D441" s="5"/>
      <c r="E441" s="5"/>
      <c r="F441" s="5"/>
      <c r="I441" s="5"/>
      <c r="J441" s="5"/>
    </row>
    <row r="442" spans="2:10" s="7" customFormat="1" x14ac:dyDescent="0.2">
      <c r="B442" s="5"/>
      <c r="C442" s="5"/>
      <c r="D442" s="5"/>
      <c r="E442" s="5"/>
      <c r="F442" s="5"/>
      <c r="I442" s="5"/>
      <c r="J442" s="5"/>
    </row>
    <row r="443" spans="2:10" s="7" customFormat="1" x14ac:dyDescent="0.2">
      <c r="B443" s="5"/>
      <c r="C443" s="5"/>
      <c r="D443" s="5"/>
      <c r="E443" s="5"/>
      <c r="F443" s="5"/>
      <c r="I443" s="5"/>
      <c r="J443" s="5"/>
    </row>
    <row r="444" spans="2:10" s="7" customFormat="1" x14ac:dyDescent="0.2">
      <c r="B444" s="5"/>
      <c r="C444" s="5"/>
      <c r="D444" s="5"/>
      <c r="E444" s="5"/>
      <c r="F444" s="5"/>
      <c r="I444" s="5"/>
      <c r="J444" s="5"/>
    </row>
    <row r="445" spans="2:10" s="7" customFormat="1" x14ac:dyDescent="0.2">
      <c r="B445" s="5"/>
      <c r="C445" s="5"/>
      <c r="D445" s="5"/>
      <c r="E445" s="5"/>
      <c r="F445" s="5"/>
      <c r="I445" s="5"/>
      <c r="J445" s="5"/>
    </row>
    <row r="446" spans="2:10" s="7" customFormat="1" x14ac:dyDescent="0.2">
      <c r="B446" s="5"/>
      <c r="C446" s="5"/>
      <c r="D446" s="5"/>
      <c r="E446" s="5"/>
      <c r="F446" s="5"/>
      <c r="I446" s="5"/>
      <c r="J446" s="5"/>
    </row>
    <row r="447" spans="2:10" s="7" customFormat="1" x14ac:dyDescent="0.2">
      <c r="B447" s="5"/>
      <c r="C447" s="5"/>
      <c r="D447" s="5"/>
      <c r="E447" s="5"/>
      <c r="F447" s="5"/>
      <c r="I447" s="5"/>
      <c r="J447" s="5"/>
    </row>
    <row r="448" spans="2:10" s="7" customFormat="1" x14ac:dyDescent="0.2">
      <c r="B448" s="5"/>
      <c r="C448" s="5"/>
      <c r="D448" s="5"/>
      <c r="E448" s="5"/>
      <c r="F448" s="5"/>
      <c r="I448" s="5"/>
      <c r="J448" s="5"/>
    </row>
    <row r="449" spans="2:10" s="7" customFormat="1" x14ac:dyDescent="0.2">
      <c r="B449" s="5"/>
      <c r="C449" s="5"/>
      <c r="D449" s="5"/>
      <c r="E449" s="5"/>
      <c r="F449" s="5"/>
      <c r="I449" s="5"/>
      <c r="J449" s="5"/>
    </row>
  </sheetData>
  <autoFilter ref="A1:M246" xr:uid="{DAD00364-664A-470B-8B0C-3CB3FB80AFDB}"/>
  <dataValidations count="1">
    <dataValidation type="time" allowBlank="1" showInputMessage="1" showErrorMessage="1" sqref="D33 F246:F252 F36:F46 F49:F55 F57:F118 F121:F127 F254:F299 F129:F181 F184:F190 F192:F243 D34:E299 D28:E32" xr:uid="{5F23D07E-BFA0-48D0-AF07-C5106558B386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1411E45-7331-47FE-A3F5-E29D6A9CB6A8}">
          <x14:formula1>
            <xm:f>Metadata!$H$2:$H$5</xm:f>
          </x14:formula1>
          <xm:sqref>A2:A299</xm:sqref>
        </x14:dataValidation>
        <x14:dataValidation type="list" allowBlank="1" showInputMessage="1" showErrorMessage="1" xr:uid="{099B55B3-F29D-40A9-9C7A-F33FEE9CAAF7}">
          <x14:formula1>
            <xm:f>Metadata!$A$2:$A$15</xm:f>
          </x14:formula1>
          <xm:sqref>G2:G298</xm:sqref>
        </x14:dataValidation>
        <x14:dataValidation type="list" allowBlank="1" showInputMessage="1" showErrorMessage="1" xr:uid="{8B2D85E5-11F5-443A-A71F-C1ED8A6599B3}">
          <x14:formula1>
            <xm:f>Metadata!$C$2:$C$15</xm:f>
          </x14:formula1>
          <xm:sqref>H2:H299</xm:sqref>
        </x14:dataValidation>
        <x14:dataValidation type="list" allowBlank="1" showInputMessage="1" showErrorMessage="1" xr:uid="{4A550965-92DB-482B-AF39-1D09E2FFE8FE}">
          <x14:formula1>
            <xm:f>Metadata!$C$3:$C$14</xm:f>
          </x14:formula1>
          <xm:sqref>B2:B299</xm:sqref>
        </x14:dataValidation>
        <x14:dataValidation type="list" allowBlank="1" showInputMessage="1" showErrorMessage="1" xr:uid="{E9A2F787-F4EF-4EC5-8813-A7FFB341B7F4}">
          <x14:formula1>
            <xm:f>Metadata!$F$2:$F$15</xm:f>
          </x14:formula1>
          <xm:sqref>I2:I299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E999-58A3-4D4B-B19D-5D7780E54ED1}">
  <sheetPr codeName="Tabelle7">
    <pageSetUpPr fitToPage="1"/>
  </sheetPr>
  <dimension ref="A1:K449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11" sqref="A11"/>
      <selection pane="bottomRight" activeCell="D217" sqref="D217:J226"/>
    </sheetView>
  </sheetViews>
  <sheetFormatPr baseColWidth="10" defaultColWidth="11.42578125" defaultRowHeight="14.25" x14ac:dyDescent="0.2"/>
  <cols>
    <col min="1" max="1" width="21.28515625" style="7" hidden="1" customWidth="1"/>
    <col min="2" max="2" width="15.8554687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7.710937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2" width="11.42578125" style="5"/>
    <col min="13" max="13" width="15.42578125" style="5" customWidth="1"/>
    <col min="14" max="16384" width="11.42578125" style="5"/>
  </cols>
  <sheetData>
    <row r="1" spans="1:11" s="18" customFormat="1" ht="60.75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1" s="13" customFormat="1" ht="29.25" thickBot="1" x14ac:dyDescent="0.3">
      <c r="A2" s="19" t="s">
        <v>47</v>
      </c>
      <c r="B2" s="10" t="s">
        <v>1</v>
      </c>
      <c r="C2" s="14">
        <v>46204</v>
      </c>
      <c r="D2" s="11"/>
      <c r="E2" s="11"/>
      <c r="F2" s="12">
        <f>+(E2-D2)*24</f>
        <v>0</v>
      </c>
      <c r="G2" s="20"/>
      <c r="H2" s="20"/>
      <c r="I2" s="9"/>
      <c r="J2" s="9"/>
      <c r="K2" s="9"/>
    </row>
    <row r="3" spans="1:11" s="13" customFormat="1" ht="29.25" thickBot="1" x14ac:dyDescent="0.3">
      <c r="A3" s="19" t="s">
        <v>47</v>
      </c>
      <c r="B3" s="10" t="s">
        <v>1</v>
      </c>
      <c r="C3" s="14">
        <v>46204</v>
      </c>
      <c r="D3" s="11"/>
      <c r="E3" s="11"/>
      <c r="F3" s="12">
        <f>+(E3-D3)*24</f>
        <v>0</v>
      </c>
      <c r="G3" s="20"/>
      <c r="H3" s="20"/>
      <c r="I3" s="9"/>
      <c r="J3" s="9"/>
      <c r="K3" s="9"/>
    </row>
    <row r="4" spans="1:11" s="13" customFormat="1" ht="29.25" thickBot="1" x14ac:dyDescent="0.3">
      <c r="A4" s="19" t="s">
        <v>47</v>
      </c>
      <c r="B4" s="10" t="s">
        <v>1</v>
      </c>
      <c r="C4" s="14">
        <v>46204</v>
      </c>
      <c r="D4" s="11"/>
      <c r="E4" s="11"/>
      <c r="F4" s="12">
        <f>+(E4-D4)*24</f>
        <v>0</v>
      </c>
      <c r="G4" s="20"/>
      <c r="H4" s="20"/>
      <c r="I4" s="9"/>
      <c r="J4" s="9"/>
      <c r="K4" s="9"/>
    </row>
    <row r="5" spans="1:11" s="13" customFormat="1" ht="29.25" thickBot="1" x14ac:dyDescent="0.3">
      <c r="A5" s="19" t="s">
        <v>47</v>
      </c>
      <c r="B5" s="10" t="s">
        <v>1</v>
      </c>
      <c r="C5" s="14">
        <v>46204</v>
      </c>
      <c r="D5" s="11"/>
      <c r="E5" s="11"/>
      <c r="F5" s="12">
        <f>+(E5-D5)*24</f>
        <v>0</v>
      </c>
      <c r="G5" s="20"/>
      <c r="H5" s="20"/>
      <c r="I5" s="9"/>
      <c r="J5" s="9"/>
      <c r="K5" s="9"/>
    </row>
    <row r="6" spans="1:11" s="13" customFormat="1" ht="29.25" thickBot="1" x14ac:dyDescent="0.3">
      <c r="A6" s="19" t="s">
        <v>47</v>
      </c>
      <c r="B6" s="10" t="s">
        <v>1</v>
      </c>
      <c r="C6" s="14">
        <v>46204</v>
      </c>
      <c r="D6" s="11"/>
      <c r="E6" s="11"/>
      <c r="F6" s="12">
        <f t="shared" ref="F6:F69" si="0">+(E6-D6)*24</f>
        <v>0</v>
      </c>
      <c r="G6" s="20"/>
      <c r="H6" s="20"/>
      <c r="I6" s="9"/>
      <c r="J6" s="9"/>
      <c r="K6" s="9"/>
    </row>
    <row r="7" spans="1:11" s="13" customFormat="1" ht="29.25" thickBot="1" x14ac:dyDescent="0.3">
      <c r="A7" s="19" t="s">
        <v>47</v>
      </c>
      <c r="B7" s="10" t="s">
        <v>1</v>
      </c>
      <c r="C7" s="14">
        <v>46204</v>
      </c>
      <c r="D7" s="11"/>
      <c r="E7" s="11"/>
      <c r="F7" s="12">
        <f t="shared" si="0"/>
        <v>0</v>
      </c>
      <c r="G7" s="20"/>
      <c r="H7" s="20"/>
      <c r="I7" s="9"/>
      <c r="J7" s="9"/>
      <c r="K7" s="9"/>
    </row>
    <row r="8" spans="1:11" s="13" customFormat="1" ht="13.9" customHeight="1" thickBot="1" x14ac:dyDescent="0.3">
      <c r="A8" s="19" t="s">
        <v>47</v>
      </c>
      <c r="B8" s="10" t="s">
        <v>1</v>
      </c>
      <c r="C8" s="14">
        <v>46204</v>
      </c>
      <c r="D8" s="11"/>
      <c r="E8" s="11"/>
      <c r="F8" s="12">
        <f t="shared" si="0"/>
        <v>0</v>
      </c>
      <c r="G8" s="20"/>
      <c r="H8" s="20"/>
      <c r="I8" s="9"/>
      <c r="J8" s="9"/>
      <c r="K8" s="9"/>
    </row>
    <row r="9" spans="1:11" s="13" customFormat="1" ht="29.25" thickBot="1" x14ac:dyDescent="0.3">
      <c r="A9" s="19" t="s">
        <v>47</v>
      </c>
      <c r="B9" s="10"/>
      <c r="C9" s="14">
        <v>46204</v>
      </c>
      <c r="D9" s="11"/>
      <c r="E9" s="11"/>
      <c r="F9" s="12">
        <f t="shared" si="0"/>
        <v>0</v>
      </c>
      <c r="G9" s="20"/>
      <c r="H9" s="20"/>
      <c r="I9" s="9"/>
      <c r="J9" s="9"/>
      <c r="K9" s="9"/>
    </row>
    <row r="10" spans="1:11" s="13" customFormat="1" ht="29.25" thickBot="1" x14ac:dyDescent="0.3">
      <c r="A10" s="19" t="s">
        <v>47</v>
      </c>
      <c r="B10" s="10" t="s">
        <v>1</v>
      </c>
      <c r="C10" s="14">
        <v>46204</v>
      </c>
      <c r="D10" s="11"/>
      <c r="E10" s="11"/>
      <c r="F10" s="12">
        <f t="shared" si="0"/>
        <v>0</v>
      </c>
      <c r="G10" s="20"/>
      <c r="H10" s="20"/>
      <c r="I10" s="9"/>
      <c r="J10" s="24"/>
      <c r="K10" s="9"/>
    </row>
    <row r="11" spans="1:11" s="13" customFormat="1" ht="29.25" thickBot="1" x14ac:dyDescent="0.3">
      <c r="A11" s="19" t="s">
        <v>47</v>
      </c>
      <c r="B11" s="10" t="s">
        <v>1</v>
      </c>
      <c r="C11" s="14">
        <v>46205</v>
      </c>
      <c r="D11" s="11"/>
      <c r="E11" s="11"/>
      <c r="F11" s="12">
        <f t="shared" si="0"/>
        <v>0</v>
      </c>
      <c r="G11" s="20"/>
      <c r="H11" s="20"/>
      <c r="I11" s="9"/>
      <c r="J11" s="24"/>
      <c r="K11" s="9"/>
    </row>
    <row r="12" spans="1:11" s="13" customFormat="1" ht="29.25" thickBot="1" x14ac:dyDescent="0.3">
      <c r="A12" s="19" t="s">
        <v>47</v>
      </c>
      <c r="B12" s="10" t="s">
        <v>1</v>
      </c>
      <c r="C12" s="14">
        <v>46205</v>
      </c>
      <c r="D12" s="11"/>
      <c r="E12" s="11"/>
      <c r="F12" s="12">
        <f t="shared" si="0"/>
        <v>0</v>
      </c>
      <c r="G12" s="20"/>
      <c r="H12" s="20"/>
      <c r="I12" s="9"/>
      <c r="J12" s="9"/>
      <c r="K12" s="9"/>
    </row>
    <row r="13" spans="1:11" s="13" customFormat="1" ht="29.25" thickBot="1" x14ac:dyDescent="0.3">
      <c r="A13" s="19" t="s">
        <v>47</v>
      </c>
      <c r="B13" s="10" t="s">
        <v>1</v>
      </c>
      <c r="C13" s="14">
        <v>46205</v>
      </c>
      <c r="D13" s="11"/>
      <c r="E13" s="11"/>
      <c r="F13" s="12">
        <f t="shared" si="0"/>
        <v>0</v>
      </c>
      <c r="G13" s="20"/>
      <c r="H13" s="20"/>
      <c r="I13" s="9"/>
      <c r="J13" s="9"/>
      <c r="K13" s="9"/>
    </row>
    <row r="14" spans="1:11" s="13" customFormat="1" ht="29.25" thickBot="1" x14ac:dyDescent="0.3">
      <c r="A14" s="19" t="s">
        <v>47</v>
      </c>
      <c r="B14" s="10" t="s">
        <v>1</v>
      </c>
      <c r="C14" s="14">
        <v>46205</v>
      </c>
      <c r="D14" s="11"/>
      <c r="E14" s="11"/>
      <c r="F14" s="12">
        <f t="shared" si="0"/>
        <v>0</v>
      </c>
      <c r="G14" s="20"/>
      <c r="H14" s="20"/>
      <c r="I14" s="9"/>
      <c r="J14" s="9"/>
      <c r="K14" s="9"/>
    </row>
    <row r="15" spans="1:11" s="13" customFormat="1" ht="29.25" thickBot="1" x14ac:dyDescent="0.3">
      <c r="A15" s="19" t="s">
        <v>47</v>
      </c>
      <c r="B15" s="10" t="s">
        <v>1</v>
      </c>
      <c r="C15" s="14">
        <v>46205</v>
      </c>
      <c r="D15" s="11"/>
      <c r="E15" s="11"/>
      <c r="F15" s="12">
        <f t="shared" si="0"/>
        <v>0</v>
      </c>
      <c r="G15" s="20"/>
      <c r="H15" s="20"/>
      <c r="I15" s="9"/>
      <c r="J15" s="9"/>
      <c r="K15" s="9"/>
    </row>
    <row r="16" spans="1:11" s="13" customFormat="1" ht="29.25" thickBot="1" x14ac:dyDescent="0.3">
      <c r="A16" s="19" t="s">
        <v>47</v>
      </c>
      <c r="B16" s="10" t="s">
        <v>1</v>
      </c>
      <c r="C16" s="14">
        <v>46205</v>
      </c>
      <c r="D16" s="11"/>
      <c r="E16" s="11"/>
      <c r="F16" s="12">
        <f t="shared" si="0"/>
        <v>0</v>
      </c>
      <c r="G16" s="20"/>
      <c r="H16" s="20"/>
      <c r="I16" s="9"/>
      <c r="J16" s="9"/>
      <c r="K16" s="9"/>
    </row>
    <row r="17" spans="1:11" s="13" customFormat="1" ht="29.25" thickBot="1" x14ac:dyDescent="0.3">
      <c r="A17" s="19" t="s">
        <v>47</v>
      </c>
      <c r="B17" s="10" t="s">
        <v>1</v>
      </c>
      <c r="C17" s="14">
        <v>46205</v>
      </c>
      <c r="D17" s="11"/>
      <c r="E17" s="11"/>
      <c r="F17" s="12">
        <f t="shared" si="0"/>
        <v>0</v>
      </c>
      <c r="G17" s="20"/>
      <c r="H17" s="20"/>
      <c r="I17" s="9"/>
      <c r="J17" s="9"/>
      <c r="K17" s="9"/>
    </row>
    <row r="18" spans="1:11" s="13" customFormat="1" ht="15.75" customHeight="1" thickBot="1" x14ac:dyDescent="0.3">
      <c r="A18" s="19" t="s">
        <v>47</v>
      </c>
      <c r="B18" s="10" t="s">
        <v>1</v>
      </c>
      <c r="C18" s="14">
        <v>46205</v>
      </c>
      <c r="D18" s="11"/>
      <c r="E18" s="11"/>
      <c r="F18" s="12">
        <f t="shared" si="0"/>
        <v>0</v>
      </c>
      <c r="G18" s="20"/>
      <c r="H18" s="20"/>
      <c r="I18" s="9"/>
      <c r="J18" s="9"/>
      <c r="K18" s="9"/>
    </row>
    <row r="19" spans="1:11" s="13" customFormat="1" ht="29.25" thickBot="1" x14ac:dyDescent="0.3">
      <c r="A19" s="19" t="s">
        <v>47</v>
      </c>
      <c r="B19" s="10" t="s">
        <v>1</v>
      </c>
      <c r="C19" s="14">
        <v>46205</v>
      </c>
      <c r="D19" s="11"/>
      <c r="E19" s="11"/>
      <c r="F19" s="12">
        <f t="shared" si="0"/>
        <v>0</v>
      </c>
      <c r="G19" s="20"/>
      <c r="H19" s="20"/>
      <c r="I19" s="9"/>
      <c r="J19" s="9"/>
      <c r="K19" s="9"/>
    </row>
    <row r="20" spans="1:11" s="13" customFormat="1" ht="29.25" thickBot="1" x14ac:dyDescent="0.3">
      <c r="A20" s="19" t="s">
        <v>47</v>
      </c>
      <c r="B20" s="10" t="s">
        <v>1</v>
      </c>
      <c r="C20" s="14">
        <v>46206</v>
      </c>
      <c r="D20" s="11"/>
      <c r="E20" s="11"/>
      <c r="F20" s="12">
        <f t="shared" si="0"/>
        <v>0</v>
      </c>
      <c r="G20" s="20"/>
      <c r="H20" s="20"/>
      <c r="I20" s="9"/>
      <c r="J20" s="9"/>
      <c r="K20" s="9"/>
    </row>
    <row r="21" spans="1:11" s="13" customFormat="1" ht="29.25" thickBot="1" x14ac:dyDescent="0.3">
      <c r="A21" s="19" t="s">
        <v>47</v>
      </c>
      <c r="B21" s="10" t="s">
        <v>1</v>
      </c>
      <c r="C21" s="14">
        <v>46206</v>
      </c>
      <c r="D21" s="11"/>
      <c r="E21" s="11"/>
      <c r="F21" s="12">
        <f t="shared" si="0"/>
        <v>0</v>
      </c>
      <c r="G21" s="20"/>
      <c r="H21" s="20"/>
      <c r="I21" s="9"/>
      <c r="J21" s="9"/>
      <c r="K21" s="9"/>
    </row>
    <row r="22" spans="1:11" s="13" customFormat="1" ht="29.25" thickBot="1" x14ac:dyDescent="0.3">
      <c r="A22" s="19" t="s">
        <v>47</v>
      </c>
      <c r="B22" s="10" t="s">
        <v>1</v>
      </c>
      <c r="C22" s="14">
        <v>46206</v>
      </c>
      <c r="D22" s="11"/>
      <c r="E22" s="11"/>
      <c r="F22" s="12">
        <f t="shared" si="0"/>
        <v>0</v>
      </c>
      <c r="G22" s="20"/>
      <c r="H22" s="20"/>
      <c r="I22" s="9"/>
      <c r="J22" s="9"/>
      <c r="K22" s="9"/>
    </row>
    <row r="23" spans="1:11" s="13" customFormat="1" ht="29.25" thickBot="1" x14ac:dyDescent="0.3">
      <c r="A23" s="19" t="s">
        <v>47</v>
      </c>
      <c r="B23" s="10" t="s">
        <v>1</v>
      </c>
      <c r="C23" s="14">
        <v>46206</v>
      </c>
      <c r="D23" s="11"/>
      <c r="E23" s="11"/>
      <c r="F23" s="12">
        <f t="shared" si="0"/>
        <v>0</v>
      </c>
      <c r="G23" s="20"/>
      <c r="H23" s="20"/>
      <c r="I23" s="9"/>
      <c r="J23" s="9"/>
      <c r="K23" s="9"/>
    </row>
    <row r="24" spans="1:11" s="13" customFormat="1" ht="29.25" thickBot="1" x14ac:dyDescent="0.3">
      <c r="A24" s="19" t="s">
        <v>47</v>
      </c>
      <c r="B24" s="10" t="s">
        <v>1</v>
      </c>
      <c r="C24" s="14">
        <v>46206</v>
      </c>
      <c r="D24" s="11"/>
      <c r="E24" s="11"/>
      <c r="F24" s="12">
        <f t="shared" si="0"/>
        <v>0</v>
      </c>
      <c r="G24" s="20"/>
      <c r="H24" s="20"/>
      <c r="I24" s="9"/>
      <c r="J24" s="9"/>
      <c r="K24" s="9"/>
    </row>
    <row r="25" spans="1:11" s="13" customFormat="1" ht="29.25" thickBot="1" x14ac:dyDescent="0.3">
      <c r="A25" s="19" t="s">
        <v>47</v>
      </c>
      <c r="B25" s="10" t="s">
        <v>1</v>
      </c>
      <c r="C25" s="14">
        <v>46206</v>
      </c>
      <c r="D25" s="11"/>
      <c r="E25" s="11"/>
      <c r="F25" s="12">
        <f t="shared" si="0"/>
        <v>0</v>
      </c>
      <c r="G25" s="20"/>
      <c r="H25" s="20"/>
      <c r="I25" s="9"/>
      <c r="J25" s="9"/>
      <c r="K25" s="9"/>
    </row>
    <row r="26" spans="1:11" s="13" customFormat="1" ht="29.25" thickBot="1" x14ac:dyDescent="0.3">
      <c r="A26" s="19" t="s">
        <v>47</v>
      </c>
      <c r="B26" s="10" t="s">
        <v>1</v>
      </c>
      <c r="C26" s="14">
        <v>46206</v>
      </c>
      <c r="D26" s="11"/>
      <c r="E26" s="11"/>
      <c r="F26" s="12">
        <f t="shared" si="0"/>
        <v>0</v>
      </c>
      <c r="G26" s="20"/>
      <c r="H26" s="20"/>
      <c r="I26" s="9"/>
      <c r="J26" s="9"/>
      <c r="K26" s="9"/>
    </row>
    <row r="27" spans="1:11" s="13" customFormat="1" ht="29.25" thickBot="1" x14ac:dyDescent="0.3">
      <c r="A27" s="19" t="s">
        <v>47</v>
      </c>
      <c r="B27" s="10" t="s">
        <v>1</v>
      </c>
      <c r="C27" s="14">
        <v>46206</v>
      </c>
      <c r="D27" s="11"/>
      <c r="E27" s="11"/>
      <c r="F27" s="12">
        <f t="shared" si="0"/>
        <v>0</v>
      </c>
      <c r="G27" s="20"/>
      <c r="H27" s="20"/>
      <c r="I27" s="9"/>
      <c r="J27" s="9"/>
      <c r="K27" s="9"/>
    </row>
    <row r="28" spans="1:11" s="13" customFormat="1" ht="29.25" thickBot="1" x14ac:dyDescent="0.3">
      <c r="A28" s="19" t="s">
        <v>47</v>
      </c>
      <c r="B28" s="10" t="s">
        <v>1</v>
      </c>
      <c r="C28" s="14">
        <v>46206</v>
      </c>
      <c r="D28" s="11"/>
      <c r="E28" s="11"/>
      <c r="F28" s="12">
        <f t="shared" si="0"/>
        <v>0</v>
      </c>
      <c r="G28" s="20"/>
      <c r="H28" s="20"/>
      <c r="I28" s="9"/>
      <c r="J28" s="9"/>
      <c r="K28" s="9"/>
    </row>
    <row r="29" spans="1:11" s="13" customFormat="1" ht="29.25" thickBot="1" x14ac:dyDescent="0.3">
      <c r="A29" s="19" t="s">
        <v>47</v>
      </c>
      <c r="B29" s="10" t="s">
        <v>1</v>
      </c>
      <c r="C29" s="14">
        <v>46207</v>
      </c>
      <c r="D29" s="11">
        <v>0.35416666666666669</v>
      </c>
      <c r="E29" s="11">
        <v>0.6875</v>
      </c>
      <c r="F29" s="12">
        <f>+(E29-D29)*24</f>
        <v>8</v>
      </c>
      <c r="G29" s="20" t="s">
        <v>21</v>
      </c>
      <c r="H29" s="20" t="s">
        <v>30</v>
      </c>
      <c r="I29" s="9"/>
      <c r="J29" s="9" t="s">
        <v>71</v>
      </c>
      <c r="K29" s="9"/>
    </row>
    <row r="30" spans="1:11" s="13" customFormat="1" ht="29.25" thickBot="1" x14ac:dyDescent="0.3">
      <c r="A30" s="19" t="s">
        <v>47</v>
      </c>
      <c r="B30" s="10" t="s">
        <v>1</v>
      </c>
      <c r="C30" s="14">
        <v>46207</v>
      </c>
      <c r="D30" s="11"/>
      <c r="E30" s="11"/>
      <c r="F30" s="12"/>
      <c r="G30" s="20"/>
      <c r="H30" s="20"/>
      <c r="I30" s="9"/>
      <c r="J30" s="9"/>
      <c r="K30" s="9"/>
    </row>
    <row r="31" spans="1:11" s="13" customFormat="1" ht="29.25" thickBot="1" x14ac:dyDescent="0.3">
      <c r="A31" s="19" t="s">
        <v>47</v>
      </c>
      <c r="B31" s="10" t="s">
        <v>1</v>
      </c>
      <c r="C31" s="14">
        <v>46207</v>
      </c>
      <c r="D31" s="11"/>
      <c r="E31" s="11"/>
      <c r="F31" s="12">
        <f t="shared" ref="F31:F37" si="1">+(E31-D31)*24</f>
        <v>0</v>
      </c>
      <c r="G31" s="20"/>
      <c r="H31" s="20"/>
      <c r="I31" s="9"/>
      <c r="J31" s="9"/>
      <c r="K31" s="9"/>
    </row>
    <row r="32" spans="1:11" s="13" customFormat="1" ht="29.25" thickBot="1" x14ac:dyDescent="0.3">
      <c r="A32" s="19" t="s">
        <v>47</v>
      </c>
      <c r="B32" s="10" t="s">
        <v>1</v>
      </c>
      <c r="C32" s="14">
        <v>46207</v>
      </c>
      <c r="D32" s="11"/>
      <c r="E32" s="11"/>
      <c r="F32" s="12">
        <f t="shared" si="1"/>
        <v>0</v>
      </c>
      <c r="G32" s="20"/>
      <c r="H32" s="20"/>
      <c r="I32" s="9"/>
      <c r="J32" s="9"/>
      <c r="K32" s="9"/>
    </row>
    <row r="33" spans="1:11" s="13" customFormat="1" ht="29.25" thickBot="1" x14ac:dyDescent="0.3">
      <c r="A33" s="19" t="s">
        <v>47</v>
      </c>
      <c r="B33" s="10" t="s">
        <v>1</v>
      </c>
      <c r="C33" s="14">
        <v>46207</v>
      </c>
      <c r="D33" s="11"/>
      <c r="E33" s="11"/>
      <c r="F33" s="12">
        <f t="shared" si="1"/>
        <v>0</v>
      </c>
      <c r="G33" s="20"/>
      <c r="H33" s="20"/>
      <c r="I33" s="9"/>
      <c r="J33" s="9"/>
      <c r="K33" s="9"/>
    </row>
    <row r="34" spans="1:11" s="13" customFormat="1" ht="29.25" thickBot="1" x14ac:dyDescent="0.3">
      <c r="A34" s="19" t="s">
        <v>47</v>
      </c>
      <c r="B34" s="10" t="s">
        <v>1</v>
      </c>
      <c r="C34" s="14">
        <v>46207</v>
      </c>
      <c r="D34" s="11"/>
      <c r="E34" s="11"/>
      <c r="F34" s="12">
        <f t="shared" si="1"/>
        <v>0</v>
      </c>
      <c r="G34" s="20"/>
      <c r="H34" s="20"/>
      <c r="I34" s="9"/>
      <c r="J34" s="9"/>
      <c r="K34" s="9"/>
    </row>
    <row r="35" spans="1:11" s="13" customFormat="1" ht="29.25" thickBot="1" x14ac:dyDescent="0.3">
      <c r="A35" s="19" t="s">
        <v>47</v>
      </c>
      <c r="B35" s="10" t="s">
        <v>1</v>
      </c>
      <c r="C35" s="14">
        <v>46207</v>
      </c>
      <c r="D35" s="11"/>
      <c r="E35" s="11"/>
      <c r="F35" s="12">
        <f t="shared" si="1"/>
        <v>0</v>
      </c>
      <c r="G35" s="20"/>
      <c r="H35" s="20"/>
      <c r="I35" s="9"/>
      <c r="J35" s="9"/>
      <c r="K35" s="9"/>
    </row>
    <row r="36" spans="1:11" s="13" customFormat="1" ht="29.25" thickBot="1" x14ac:dyDescent="0.3">
      <c r="A36" s="19" t="s">
        <v>47</v>
      </c>
      <c r="B36" s="10" t="s">
        <v>1</v>
      </c>
      <c r="C36" s="14">
        <v>46207</v>
      </c>
      <c r="D36" s="11"/>
      <c r="E36" s="11"/>
      <c r="F36" s="12">
        <f t="shared" si="1"/>
        <v>0</v>
      </c>
      <c r="G36" s="20"/>
      <c r="H36" s="20"/>
      <c r="I36" s="9"/>
      <c r="J36" s="9"/>
      <c r="K36" s="9"/>
    </row>
    <row r="37" spans="1:11" s="13" customFormat="1" ht="29.25" thickBot="1" x14ac:dyDescent="0.3">
      <c r="A37" s="19" t="s">
        <v>47</v>
      </c>
      <c r="B37" s="10" t="s">
        <v>1</v>
      </c>
      <c r="C37" s="14">
        <v>46207</v>
      </c>
      <c r="D37" s="11"/>
      <c r="E37" s="11"/>
      <c r="F37" s="12">
        <f t="shared" si="1"/>
        <v>0</v>
      </c>
      <c r="G37" s="20"/>
      <c r="H37" s="20"/>
      <c r="I37" s="9"/>
      <c r="J37" s="9"/>
      <c r="K37" s="9"/>
    </row>
    <row r="38" spans="1:11" s="13" customFormat="1" ht="29.25" thickBot="1" x14ac:dyDescent="0.3">
      <c r="A38" s="19" t="s">
        <v>47</v>
      </c>
      <c r="B38" s="10" t="s">
        <v>1</v>
      </c>
      <c r="C38" s="14">
        <v>46208</v>
      </c>
      <c r="D38" s="11">
        <v>0.35416666666666669</v>
      </c>
      <c r="E38" s="11">
        <v>0.6875</v>
      </c>
      <c r="F38" s="12">
        <f>+(E38-D38)*24</f>
        <v>8</v>
      </c>
      <c r="G38" s="20" t="s">
        <v>21</v>
      </c>
      <c r="H38" s="20" t="s">
        <v>30</v>
      </c>
      <c r="I38" s="9"/>
      <c r="J38" s="9" t="s">
        <v>71</v>
      </c>
      <c r="K38" s="9"/>
    </row>
    <row r="39" spans="1:11" s="13" customFormat="1" ht="29.25" thickBot="1" x14ac:dyDescent="0.3">
      <c r="A39" s="19" t="s">
        <v>47</v>
      </c>
      <c r="B39" s="10" t="s">
        <v>1</v>
      </c>
      <c r="C39" s="14">
        <v>46208</v>
      </c>
      <c r="D39" s="11"/>
      <c r="E39" s="11"/>
      <c r="F39" s="12">
        <f t="shared" si="0"/>
        <v>0</v>
      </c>
      <c r="G39" s="20"/>
      <c r="H39" s="20"/>
      <c r="I39" s="9"/>
      <c r="J39" s="9"/>
      <c r="K39" s="9"/>
    </row>
    <row r="40" spans="1:11" s="13" customFormat="1" ht="29.25" thickBot="1" x14ac:dyDescent="0.3">
      <c r="A40" s="19" t="s">
        <v>47</v>
      </c>
      <c r="B40" s="10" t="s">
        <v>1</v>
      </c>
      <c r="C40" s="14">
        <v>46208</v>
      </c>
      <c r="D40" s="11"/>
      <c r="E40" s="11"/>
      <c r="F40" s="12">
        <f t="shared" si="0"/>
        <v>0</v>
      </c>
      <c r="G40" s="20"/>
      <c r="H40" s="20"/>
      <c r="I40" s="9"/>
      <c r="J40" s="9"/>
      <c r="K40" s="9"/>
    </row>
    <row r="41" spans="1:11" s="13" customFormat="1" ht="29.25" thickBot="1" x14ac:dyDescent="0.3">
      <c r="A41" s="19" t="s">
        <v>47</v>
      </c>
      <c r="B41" s="10" t="s">
        <v>1</v>
      </c>
      <c r="C41" s="14">
        <v>46208</v>
      </c>
      <c r="D41" s="11"/>
      <c r="E41" s="11"/>
      <c r="F41" s="12">
        <f t="shared" si="0"/>
        <v>0</v>
      </c>
      <c r="G41" s="20"/>
      <c r="H41" s="20"/>
      <c r="I41" s="9"/>
      <c r="J41" s="9"/>
      <c r="K41" s="9"/>
    </row>
    <row r="42" spans="1:11" s="13" customFormat="1" ht="29.25" thickBot="1" x14ac:dyDescent="0.3">
      <c r="A42" s="19" t="s">
        <v>47</v>
      </c>
      <c r="B42" s="10" t="s">
        <v>1</v>
      </c>
      <c r="C42" s="14">
        <v>46208</v>
      </c>
      <c r="D42" s="11"/>
      <c r="E42" s="11"/>
      <c r="F42" s="12">
        <f t="shared" si="0"/>
        <v>0</v>
      </c>
      <c r="G42" s="20"/>
      <c r="H42" s="20"/>
      <c r="I42" s="9"/>
      <c r="J42" s="9"/>
      <c r="K42" s="9"/>
    </row>
    <row r="43" spans="1:11" s="13" customFormat="1" ht="29.25" thickBot="1" x14ac:dyDescent="0.3">
      <c r="A43" s="19" t="s">
        <v>47</v>
      </c>
      <c r="B43" s="10" t="s">
        <v>1</v>
      </c>
      <c r="C43" s="14">
        <v>46208</v>
      </c>
      <c r="D43" s="11"/>
      <c r="E43" s="11"/>
      <c r="F43" s="12">
        <f t="shared" si="0"/>
        <v>0</v>
      </c>
      <c r="G43" s="20"/>
      <c r="H43" s="20"/>
      <c r="I43" s="9"/>
      <c r="J43" s="9"/>
      <c r="K43" s="9"/>
    </row>
    <row r="44" spans="1:11" s="13" customFormat="1" ht="29.25" thickBot="1" x14ac:dyDescent="0.3">
      <c r="A44" s="19" t="s">
        <v>47</v>
      </c>
      <c r="B44" s="10" t="s">
        <v>1</v>
      </c>
      <c r="C44" s="14">
        <v>46208</v>
      </c>
      <c r="D44" s="11"/>
      <c r="E44" s="11"/>
      <c r="F44" s="12">
        <f t="shared" si="0"/>
        <v>0</v>
      </c>
      <c r="G44" s="20"/>
      <c r="H44" s="20"/>
      <c r="I44" s="9"/>
      <c r="J44" s="9"/>
      <c r="K44" s="9"/>
    </row>
    <row r="45" spans="1:11" s="13" customFormat="1" ht="29.25" thickBot="1" x14ac:dyDescent="0.3">
      <c r="A45" s="19" t="s">
        <v>47</v>
      </c>
      <c r="B45" s="10" t="s">
        <v>1</v>
      </c>
      <c r="C45" s="14">
        <v>46208</v>
      </c>
      <c r="D45" s="11"/>
      <c r="E45" s="11"/>
      <c r="F45" s="12">
        <f t="shared" si="0"/>
        <v>0</v>
      </c>
      <c r="G45" s="20"/>
      <c r="H45" s="20"/>
      <c r="I45" s="9"/>
      <c r="J45" s="9"/>
      <c r="K45" s="9"/>
    </row>
    <row r="46" spans="1:11" s="13" customFormat="1" ht="29.25" thickBot="1" x14ac:dyDescent="0.3">
      <c r="A46" s="19" t="s">
        <v>47</v>
      </c>
      <c r="B46" s="10" t="s">
        <v>1</v>
      </c>
      <c r="C46" s="14">
        <v>46208</v>
      </c>
      <c r="D46" s="11"/>
      <c r="E46" s="11"/>
      <c r="F46" s="12">
        <f t="shared" si="0"/>
        <v>0</v>
      </c>
      <c r="G46" s="20"/>
      <c r="H46" s="20"/>
      <c r="I46" s="9"/>
      <c r="J46" s="9"/>
      <c r="K46" s="9"/>
    </row>
    <row r="47" spans="1:11" s="13" customFormat="1" ht="29.25" thickBot="1" x14ac:dyDescent="0.3">
      <c r="A47" s="19" t="s">
        <v>47</v>
      </c>
      <c r="B47" s="10" t="s">
        <v>1</v>
      </c>
      <c r="C47" s="14">
        <v>46209</v>
      </c>
      <c r="D47" s="11"/>
      <c r="E47" s="11"/>
      <c r="F47" s="12">
        <f t="shared" si="0"/>
        <v>0</v>
      </c>
      <c r="G47" s="20"/>
      <c r="H47" s="20"/>
      <c r="I47" s="9"/>
      <c r="J47" s="9"/>
      <c r="K47" s="9"/>
    </row>
    <row r="48" spans="1:11" s="13" customFormat="1" ht="29.25" thickBot="1" x14ac:dyDescent="0.3">
      <c r="A48" s="19" t="s">
        <v>47</v>
      </c>
      <c r="B48" s="10" t="s">
        <v>1</v>
      </c>
      <c r="C48" s="14">
        <v>46209</v>
      </c>
      <c r="D48" s="11"/>
      <c r="E48" s="11"/>
      <c r="F48" s="12">
        <f t="shared" si="0"/>
        <v>0</v>
      </c>
      <c r="G48" s="20"/>
      <c r="H48" s="20"/>
      <c r="I48" s="9"/>
      <c r="J48" s="9"/>
      <c r="K48" s="9"/>
    </row>
    <row r="49" spans="1:11" s="13" customFormat="1" ht="13.9" customHeight="1" thickBot="1" x14ac:dyDescent="0.3">
      <c r="A49" s="19" t="s">
        <v>47</v>
      </c>
      <c r="B49" s="10" t="s">
        <v>1</v>
      </c>
      <c r="C49" s="14">
        <v>46209</v>
      </c>
      <c r="D49" s="11"/>
      <c r="E49" s="11"/>
      <c r="F49" s="12">
        <f t="shared" si="0"/>
        <v>0</v>
      </c>
      <c r="G49" s="20"/>
      <c r="H49" s="20"/>
      <c r="I49" s="9"/>
      <c r="J49" s="9"/>
      <c r="K49" s="9"/>
    </row>
    <row r="50" spans="1:11" s="13" customFormat="1" ht="29.25" thickBot="1" x14ac:dyDescent="0.3">
      <c r="A50" s="19" t="s">
        <v>47</v>
      </c>
      <c r="B50" s="10" t="s">
        <v>1</v>
      </c>
      <c r="C50" s="14">
        <v>46209</v>
      </c>
      <c r="D50" s="11"/>
      <c r="E50" s="11"/>
      <c r="F50" s="12">
        <f t="shared" si="0"/>
        <v>0</v>
      </c>
      <c r="G50" s="20"/>
      <c r="H50" s="20"/>
      <c r="I50" s="9"/>
      <c r="J50" s="9"/>
      <c r="K50" s="9"/>
    </row>
    <row r="51" spans="1:11" s="13" customFormat="1" ht="29.25" thickBot="1" x14ac:dyDescent="0.3">
      <c r="A51" s="19" t="s">
        <v>47</v>
      </c>
      <c r="B51" s="10" t="s">
        <v>1</v>
      </c>
      <c r="C51" s="14">
        <v>46209</v>
      </c>
      <c r="D51" s="11"/>
      <c r="E51" s="11"/>
      <c r="F51" s="12">
        <f t="shared" si="0"/>
        <v>0</v>
      </c>
      <c r="G51" s="20"/>
      <c r="H51" s="20"/>
      <c r="I51" s="9"/>
      <c r="J51" s="9"/>
      <c r="K51" s="9"/>
    </row>
    <row r="52" spans="1:11" s="13" customFormat="1" ht="29.25" thickBot="1" x14ac:dyDescent="0.3">
      <c r="A52" s="19" t="s">
        <v>47</v>
      </c>
      <c r="B52" s="10" t="s">
        <v>1</v>
      </c>
      <c r="C52" s="14">
        <v>46209</v>
      </c>
      <c r="D52" s="11"/>
      <c r="E52" s="11"/>
      <c r="F52" s="12">
        <f t="shared" si="0"/>
        <v>0</v>
      </c>
      <c r="G52" s="20"/>
      <c r="H52" s="20"/>
      <c r="I52" s="9"/>
      <c r="J52" s="9"/>
      <c r="K52" s="9"/>
    </row>
    <row r="53" spans="1:11" s="13" customFormat="1" ht="29.25" thickBot="1" x14ac:dyDescent="0.3">
      <c r="A53" s="19" t="s">
        <v>47</v>
      </c>
      <c r="B53" s="10"/>
      <c r="C53" s="14">
        <v>46209</v>
      </c>
      <c r="D53" s="11"/>
      <c r="E53" s="11"/>
      <c r="F53" s="12">
        <f t="shared" si="0"/>
        <v>0</v>
      </c>
      <c r="G53" s="20"/>
      <c r="H53" s="20"/>
      <c r="I53" s="9"/>
      <c r="J53" s="9"/>
      <c r="K53" s="9"/>
    </row>
    <row r="54" spans="1:11" s="13" customFormat="1" ht="29.25" thickBot="1" x14ac:dyDescent="0.3">
      <c r="A54" s="19" t="s">
        <v>47</v>
      </c>
      <c r="B54" s="10"/>
      <c r="C54" s="14">
        <v>46209</v>
      </c>
      <c r="D54" s="11"/>
      <c r="E54" s="11"/>
      <c r="F54" s="12">
        <f t="shared" si="0"/>
        <v>0</v>
      </c>
      <c r="G54" s="20"/>
      <c r="H54" s="20"/>
      <c r="I54" s="9"/>
      <c r="J54" s="9"/>
      <c r="K54" s="9"/>
    </row>
    <row r="55" spans="1:11" s="13" customFormat="1" ht="29.25" thickBot="1" x14ac:dyDescent="0.3">
      <c r="A55" s="19" t="s">
        <v>47</v>
      </c>
      <c r="B55" s="10"/>
      <c r="C55" s="14">
        <v>46209</v>
      </c>
      <c r="D55" s="11"/>
      <c r="E55" s="11"/>
      <c r="F55" s="12">
        <f t="shared" si="0"/>
        <v>0</v>
      </c>
      <c r="G55" s="20"/>
      <c r="H55" s="20"/>
      <c r="I55" s="9"/>
      <c r="J55" s="9"/>
      <c r="K55" s="9"/>
    </row>
    <row r="56" spans="1:11" s="13" customFormat="1" ht="29.25" thickBot="1" x14ac:dyDescent="0.3">
      <c r="A56" s="19" t="s">
        <v>47</v>
      </c>
      <c r="B56" s="10"/>
      <c r="C56" s="14">
        <v>46210</v>
      </c>
      <c r="D56" s="11"/>
      <c r="E56" s="11"/>
      <c r="F56" s="12">
        <f t="shared" si="0"/>
        <v>0</v>
      </c>
      <c r="G56" s="20"/>
      <c r="H56" s="20"/>
      <c r="I56" s="9"/>
      <c r="J56" s="9"/>
      <c r="K56" s="9"/>
    </row>
    <row r="57" spans="1:11" s="13" customFormat="1" ht="29.25" thickBot="1" x14ac:dyDescent="0.3">
      <c r="A57" s="19" t="s">
        <v>47</v>
      </c>
      <c r="B57" s="10"/>
      <c r="C57" s="14">
        <v>46210</v>
      </c>
      <c r="D57" s="11"/>
      <c r="E57" s="11"/>
      <c r="F57" s="12">
        <f t="shared" si="0"/>
        <v>0</v>
      </c>
      <c r="G57" s="20"/>
      <c r="H57" s="20"/>
      <c r="I57" s="9"/>
      <c r="J57" s="9"/>
      <c r="K57" s="9"/>
    </row>
    <row r="58" spans="1:11" s="13" customFormat="1" ht="29.25" thickBot="1" x14ac:dyDescent="0.3">
      <c r="A58" s="19" t="s">
        <v>47</v>
      </c>
      <c r="B58" s="10"/>
      <c r="C58" s="14">
        <v>46210</v>
      </c>
      <c r="D58" s="11"/>
      <c r="E58" s="11"/>
      <c r="F58" s="12">
        <f t="shared" si="0"/>
        <v>0</v>
      </c>
      <c r="G58" s="20"/>
      <c r="H58" s="20"/>
      <c r="I58" s="9"/>
      <c r="J58" s="9"/>
      <c r="K58" s="9"/>
    </row>
    <row r="59" spans="1:11" s="13" customFormat="1" ht="29.25" thickBot="1" x14ac:dyDescent="0.3">
      <c r="A59" s="19" t="s">
        <v>47</v>
      </c>
      <c r="B59" s="10"/>
      <c r="C59" s="14">
        <v>46210</v>
      </c>
      <c r="D59" s="11"/>
      <c r="E59" s="11"/>
      <c r="F59" s="12">
        <f t="shared" si="0"/>
        <v>0</v>
      </c>
      <c r="G59" s="20"/>
      <c r="H59" s="20"/>
      <c r="I59" s="9"/>
      <c r="J59" s="9"/>
      <c r="K59" s="9"/>
    </row>
    <row r="60" spans="1:11" s="13" customFormat="1" ht="29.25" thickBot="1" x14ac:dyDescent="0.3">
      <c r="A60" s="19" t="s">
        <v>47</v>
      </c>
      <c r="B60" s="10"/>
      <c r="C60" s="14">
        <v>46210</v>
      </c>
      <c r="D60" s="11"/>
      <c r="E60" s="11"/>
      <c r="F60" s="12">
        <f t="shared" si="0"/>
        <v>0</v>
      </c>
      <c r="G60" s="20"/>
      <c r="H60" s="20"/>
      <c r="I60" s="9"/>
      <c r="J60" s="9"/>
      <c r="K60" s="9"/>
    </row>
    <row r="61" spans="1:11" s="13" customFormat="1" ht="29.25" thickBot="1" x14ac:dyDescent="0.3">
      <c r="A61" s="19" t="s">
        <v>47</v>
      </c>
      <c r="B61" s="10"/>
      <c r="C61" s="14">
        <v>46210</v>
      </c>
      <c r="D61" s="11"/>
      <c r="E61" s="11"/>
      <c r="F61" s="12">
        <f t="shared" si="0"/>
        <v>0</v>
      </c>
      <c r="G61" s="20"/>
      <c r="H61" s="20"/>
      <c r="I61" s="9"/>
      <c r="J61" s="9"/>
      <c r="K61" s="9"/>
    </row>
    <row r="62" spans="1:11" s="13" customFormat="1" ht="29.25" thickBot="1" x14ac:dyDescent="0.3">
      <c r="A62" s="19" t="s">
        <v>47</v>
      </c>
      <c r="B62" s="10"/>
      <c r="C62" s="14">
        <v>46210</v>
      </c>
      <c r="D62" s="11"/>
      <c r="E62" s="11"/>
      <c r="F62" s="12">
        <f t="shared" si="0"/>
        <v>0</v>
      </c>
      <c r="G62" s="20"/>
      <c r="H62" s="20"/>
      <c r="I62" s="9"/>
      <c r="J62" s="9"/>
      <c r="K62" s="9"/>
    </row>
    <row r="63" spans="1:11" s="13" customFormat="1" ht="29.25" thickBot="1" x14ac:dyDescent="0.3">
      <c r="A63" s="19" t="s">
        <v>47</v>
      </c>
      <c r="B63" s="10"/>
      <c r="C63" s="14">
        <v>46210</v>
      </c>
      <c r="D63" s="11"/>
      <c r="E63" s="11"/>
      <c r="F63" s="12">
        <f t="shared" si="0"/>
        <v>0</v>
      </c>
      <c r="G63" s="20"/>
      <c r="H63" s="20"/>
      <c r="I63" s="9"/>
      <c r="J63" s="9"/>
      <c r="K63" s="9"/>
    </row>
    <row r="64" spans="1:11" s="13" customFormat="1" ht="29.25" thickBot="1" x14ac:dyDescent="0.3">
      <c r="A64" s="19" t="s">
        <v>47</v>
      </c>
      <c r="B64" s="10"/>
      <c r="C64" s="14">
        <v>46210</v>
      </c>
      <c r="D64" s="11"/>
      <c r="E64" s="11"/>
      <c r="F64" s="12">
        <f t="shared" si="0"/>
        <v>0</v>
      </c>
      <c r="G64" s="20"/>
      <c r="H64" s="20"/>
      <c r="I64" s="9"/>
      <c r="J64" s="9"/>
      <c r="K64" s="9"/>
    </row>
    <row r="65" spans="1:11" s="13" customFormat="1" ht="29.25" thickBot="1" x14ac:dyDescent="0.3">
      <c r="A65" s="19" t="s">
        <v>47</v>
      </c>
      <c r="B65" s="10"/>
      <c r="C65" s="14">
        <v>46211</v>
      </c>
      <c r="D65" s="11"/>
      <c r="E65" s="11"/>
      <c r="F65" s="12">
        <f t="shared" si="0"/>
        <v>0</v>
      </c>
      <c r="G65" s="20"/>
      <c r="H65" s="20"/>
      <c r="I65" s="9"/>
      <c r="J65" s="9"/>
      <c r="K65" s="9"/>
    </row>
    <row r="66" spans="1:11" s="13" customFormat="1" ht="29.25" thickBot="1" x14ac:dyDescent="0.3">
      <c r="A66" s="19" t="s">
        <v>47</v>
      </c>
      <c r="B66" s="10"/>
      <c r="C66" s="14">
        <v>46211</v>
      </c>
      <c r="D66" s="11"/>
      <c r="E66" s="11"/>
      <c r="F66" s="12">
        <f t="shared" si="0"/>
        <v>0</v>
      </c>
      <c r="G66" s="20"/>
      <c r="H66" s="20"/>
      <c r="I66" s="9"/>
      <c r="J66" s="9"/>
      <c r="K66" s="9"/>
    </row>
    <row r="67" spans="1:11" s="13" customFormat="1" ht="29.25" thickBot="1" x14ac:dyDescent="0.3">
      <c r="A67" s="19" t="s">
        <v>47</v>
      </c>
      <c r="B67" s="10"/>
      <c r="C67" s="14">
        <v>46211</v>
      </c>
      <c r="D67" s="11"/>
      <c r="E67" s="11"/>
      <c r="F67" s="12">
        <f t="shared" si="0"/>
        <v>0</v>
      </c>
      <c r="G67" s="20"/>
      <c r="H67" s="20"/>
      <c r="I67" s="9"/>
      <c r="J67" s="9"/>
      <c r="K67" s="9"/>
    </row>
    <row r="68" spans="1:11" s="13" customFormat="1" ht="29.25" thickBot="1" x14ac:dyDescent="0.3">
      <c r="A68" s="19" t="s">
        <v>47</v>
      </c>
      <c r="B68" s="10"/>
      <c r="C68" s="14">
        <v>46211</v>
      </c>
      <c r="D68" s="11"/>
      <c r="E68" s="11"/>
      <c r="F68" s="12">
        <f t="shared" si="0"/>
        <v>0</v>
      </c>
      <c r="G68" s="20"/>
      <c r="H68" s="20"/>
      <c r="I68" s="9"/>
      <c r="J68" s="9"/>
      <c r="K68" s="9"/>
    </row>
    <row r="69" spans="1:11" s="13" customFormat="1" ht="29.25" thickBot="1" x14ac:dyDescent="0.3">
      <c r="A69" s="19" t="s">
        <v>47</v>
      </c>
      <c r="B69" s="10"/>
      <c r="C69" s="14">
        <v>46211</v>
      </c>
      <c r="D69" s="11"/>
      <c r="E69" s="11"/>
      <c r="F69" s="12">
        <f t="shared" si="0"/>
        <v>0</v>
      </c>
      <c r="G69" s="20"/>
      <c r="H69" s="20"/>
      <c r="I69" s="9"/>
      <c r="J69" s="9"/>
      <c r="K69" s="9"/>
    </row>
    <row r="70" spans="1:11" s="13" customFormat="1" ht="29.25" thickBot="1" x14ac:dyDescent="0.3">
      <c r="A70" s="19" t="s">
        <v>47</v>
      </c>
      <c r="B70" s="10"/>
      <c r="C70" s="14">
        <v>46211</v>
      </c>
      <c r="D70" s="11"/>
      <c r="E70" s="11"/>
      <c r="F70" s="12">
        <f t="shared" ref="F70:F133" si="2">+(E70-D70)*24</f>
        <v>0</v>
      </c>
      <c r="G70" s="20"/>
      <c r="H70" s="20"/>
      <c r="I70" s="9"/>
      <c r="J70" s="9"/>
      <c r="K70" s="9"/>
    </row>
    <row r="71" spans="1:11" s="13" customFormat="1" ht="29.25" thickBot="1" x14ac:dyDescent="0.3">
      <c r="A71" s="19" t="s">
        <v>47</v>
      </c>
      <c r="B71" s="10"/>
      <c r="C71" s="14">
        <v>46211</v>
      </c>
      <c r="D71" s="11"/>
      <c r="E71" s="11"/>
      <c r="F71" s="12">
        <f t="shared" si="2"/>
        <v>0</v>
      </c>
      <c r="G71" s="20"/>
      <c r="H71" s="20"/>
      <c r="I71" s="9"/>
      <c r="J71" s="9"/>
      <c r="K71" s="9"/>
    </row>
    <row r="72" spans="1:11" s="13" customFormat="1" ht="29.25" thickBot="1" x14ac:dyDescent="0.3">
      <c r="A72" s="19" t="s">
        <v>47</v>
      </c>
      <c r="B72" s="10"/>
      <c r="C72" s="14">
        <v>46211</v>
      </c>
      <c r="D72" s="11"/>
      <c r="E72" s="11"/>
      <c r="F72" s="12">
        <f t="shared" si="2"/>
        <v>0</v>
      </c>
      <c r="G72" s="20"/>
      <c r="H72" s="20"/>
      <c r="I72" s="9"/>
      <c r="J72" s="9"/>
      <c r="K72" s="9"/>
    </row>
    <row r="73" spans="1:11" s="13" customFormat="1" ht="29.25" thickBot="1" x14ac:dyDescent="0.3">
      <c r="A73" s="19" t="s">
        <v>47</v>
      </c>
      <c r="B73" s="10"/>
      <c r="C73" s="14">
        <v>46211</v>
      </c>
      <c r="D73" s="11"/>
      <c r="E73" s="11"/>
      <c r="F73" s="12">
        <f t="shared" si="2"/>
        <v>0</v>
      </c>
      <c r="G73" s="20"/>
      <c r="H73" s="20"/>
      <c r="I73" s="9"/>
      <c r="J73" s="9"/>
      <c r="K73" s="9"/>
    </row>
    <row r="74" spans="1:11" s="13" customFormat="1" ht="29.25" thickBot="1" x14ac:dyDescent="0.3">
      <c r="A74" s="19" t="s">
        <v>47</v>
      </c>
      <c r="B74" s="10"/>
      <c r="C74" s="14">
        <v>46212</v>
      </c>
      <c r="D74" s="11"/>
      <c r="E74" s="11"/>
      <c r="F74" s="12">
        <f t="shared" si="2"/>
        <v>0</v>
      </c>
      <c r="G74" s="20"/>
      <c r="H74" s="20"/>
      <c r="I74" s="9"/>
      <c r="J74" s="9"/>
      <c r="K74" s="9"/>
    </row>
    <row r="75" spans="1:11" s="13" customFormat="1" ht="29.25" thickBot="1" x14ac:dyDescent="0.3">
      <c r="A75" s="19" t="s">
        <v>47</v>
      </c>
      <c r="B75" s="10"/>
      <c r="C75" s="14">
        <v>46212</v>
      </c>
      <c r="D75" s="11"/>
      <c r="E75" s="11"/>
      <c r="F75" s="12">
        <f t="shared" si="2"/>
        <v>0</v>
      </c>
      <c r="G75" s="20"/>
      <c r="H75" s="20"/>
      <c r="I75" s="9"/>
      <c r="J75" s="9"/>
      <c r="K75" s="9"/>
    </row>
    <row r="76" spans="1:11" s="13" customFormat="1" ht="29.25" thickBot="1" x14ac:dyDescent="0.3">
      <c r="A76" s="19" t="s">
        <v>47</v>
      </c>
      <c r="B76" s="10"/>
      <c r="C76" s="14">
        <v>46212</v>
      </c>
      <c r="D76" s="11"/>
      <c r="E76" s="11"/>
      <c r="F76" s="12">
        <f t="shared" si="2"/>
        <v>0</v>
      </c>
      <c r="G76" s="20"/>
      <c r="H76" s="20"/>
      <c r="I76" s="9"/>
      <c r="J76" s="9"/>
      <c r="K76" s="9"/>
    </row>
    <row r="77" spans="1:11" s="13" customFormat="1" ht="29.25" thickBot="1" x14ac:dyDescent="0.3">
      <c r="A77" s="19" t="s">
        <v>47</v>
      </c>
      <c r="B77" s="10"/>
      <c r="C77" s="14">
        <v>46212</v>
      </c>
      <c r="D77" s="11"/>
      <c r="E77" s="11"/>
      <c r="F77" s="12">
        <f t="shared" si="2"/>
        <v>0</v>
      </c>
      <c r="G77" s="20"/>
      <c r="H77" s="20"/>
      <c r="I77" s="9"/>
      <c r="J77" s="9"/>
      <c r="K77" s="9"/>
    </row>
    <row r="78" spans="1:11" s="13" customFormat="1" ht="29.25" thickBot="1" x14ac:dyDescent="0.3">
      <c r="A78" s="19" t="s">
        <v>47</v>
      </c>
      <c r="B78" s="10"/>
      <c r="C78" s="14">
        <v>46212</v>
      </c>
      <c r="D78" s="11"/>
      <c r="E78" s="11"/>
      <c r="F78" s="12">
        <f t="shared" si="2"/>
        <v>0</v>
      </c>
      <c r="G78" s="20"/>
      <c r="H78" s="20"/>
      <c r="I78" s="9"/>
      <c r="J78" s="9"/>
      <c r="K78" s="9"/>
    </row>
    <row r="79" spans="1:11" s="13" customFormat="1" ht="29.25" thickBot="1" x14ac:dyDescent="0.3">
      <c r="A79" s="19" t="s">
        <v>47</v>
      </c>
      <c r="B79" s="10"/>
      <c r="C79" s="14">
        <v>46212</v>
      </c>
      <c r="D79" s="11"/>
      <c r="E79" s="11"/>
      <c r="F79" s="12">
        <f t="shared" si="2"/>
        <v>0</v>
      </c>
      <c r="G79" s="20"/>
      <c r="H79" s="20"/>
      <c r="I79" s="9"/>
      <c r="J79" s="9"/>
      <c r="K79" s="9"/>
    </row>
    <row r="80" spans="1:11" s="13" customFormat="1" ht="29.25" thickBot="1" x14ac:dyDescent="0.3">
      <c r="A80" s="19" t="s">
        <v>47</v>
      </c>
      <c r="B80" s="10"/>
      <c r="C80" s="14">
        <v>46212</v>
      </c>
      <c r="D80" s="11"/>
      <c r="E80" s="11"/>
      <c r="F80" s="12">
        <f t="shared" si="2"/>
        <v>0</v>
      </c>
      <c r="G80" s="20"/>
      <c r="H80" s="20"/>
      <c r="I80" s="9"/>
      <c r="J80" s="9"/>
      <c r="K80" s="9"/>
    </row>
    <row r="81" spans="1:11" s="13" customFormat="1" ht="29.25" thickBot="1" x14ac:dyDescent="0.3">
      <c r="A81" s="19" t="s">
        <v>47</v>
      </c>
      <c r="B81" s="10"/>
      <c r="C81" s="14">
        <v>46212</v>
      </c>
      <c r="D81" s="11"/>
      <c r="E81" s="11"/>
      <c r="F81" s="12">
        <f t="shared" si="2"/>
        <v>0</v>
      </c>
      <c r="G81" s="20"/>
      <c r="H81" s="20"/>
      <c r="I81" s="9"/>
      <c r="J81" s="9"/>
      <c r="K81" s="9"/>
    </row>
    <row r="82" spans="1:11" s="13" customFormat="1" ht="29.25" thickBot="1" x14ac:dyDescent="0.3">
      <c r="A82" s="19" t="s">
        <v>47</v>
      </c>
      <c r="B82" s="10"/>
      <c r="C82" s="14">
        <v>46212</v>
      </c>
      <c r="D82" s="11"/>
      <c r="E82" s="11"/>
      <c r="F82" s="12">
        <f t="shared" si="2"/>
        <v>0</v>
      </c>
      <c r="G82" s="20"/>
      <c r="H82" s="20"/>
      <c r="I82" s="9"/>
      <c r="J82" s="9"/>
      <c r="K82" s="9"/>
    </row>
    <row r="83" spans="1:11" s="13" customFormat="1" ht="29.25" thickBot="1" x14ac:dyDescent="0.3">
      <c r="A83" s="19" t="s">
        <v>47</v>
      </c>
      <c r="B83" s="10"/>
      <c r="C83" s="14">
        <v>46213</v>
      </c>
      <c r="D83" s="11"/>
      <c r="E83" s="11"/>
      <c r="F83" s="12">
        <f t="shared" si="2"/>
        <v>0</v>
      </c>
      <c r="G83" s="20"/>
      <c r="H83" s="20"/>
      <c r="I83" s="9"/>
      <c r="J83" s="9"/>
      <c r="K83" s="9"/>
    </row>
    <row r="84" spans="1:11" s="13" customFormat="1" ht="29.25" thickBot="1" x14ac:dyDescent="0.3">
      <c r="A84" s="19" t="s">
        <v>47</v>
      </c>
      <c r="B84" s="10"/>
      <c r="C84" s="14">
        <v>46213</v>
      </c>
      <c r="D84" s="11"/>
      <c r="E84" s="11"/>
      <c r="F84" s="12">
        <f t="shared" si="2"/>
        <v>0</v>
      </c>
      <c r="G84" s="20"/>
      <c r="H84" s="20"/>
      <c r="I84" s="9"/>
      <c r="J84" s="9"/>
      <c r="K84" s="9"/>
    </row>
    <row r="85" spans="1:11" s="13" customFormat="1" ht="29.25" thickBot="1" x14ac:dyDescent="0.3">
      <c r="A85" s="19" t="s">
        <v>47</v>
      </c>
      <c r="B85" s="10"/>
      <c r="C85" s="14">
        <v>46213</v>
      </c>
      <c r="D85" s="11"/>
      <c r="E85" s="11"/>
      <c r="F85" s="12">
        <f t="shared" si="2"/>
        <v>0</v>
      </c>
      <c r="G85" s="20"/>
      <c r="H85" s="20"/>
      <c r="I85" s="9"/>
      <c r="J85" s="9"/>
      <c r="K85" s="9"/>
    </row>
    <row r="86" spans="1:11" s="13" customFormat="1" ht="29.25" thickBot="1" x14ac:dyDescent="0.3">
      <c r="A86" s="19" t="s">
        <v>47</v>
      </c>
      <c r="B86" s="10"/>
      <c r="C86" s="14">
        <v>46213</v>
      </c>
      <c r="D86" s="11"/>
      <c r="E86" s="11"/>
      <c r="F86" s="12">
        <f t="shared" si="2"/>
        <v>0</v>
      </c>
      <c r="G86" s="20"/>
      <c r="H86" s="20"/>
      <c r="I86" s="9"/>
      <c r="J86" s="9"/>
      <c r="K86" s="9"/>
    </row>
    <row r="87" spans="1:11" s="13" customFormat="1" ht="29.25" thickBot="1" x14ac:dyDescent="0.3">
      <c r="A87" s="19" t="s">
        <v>47</v>
      </c>
      <c r="B87" s="10"/>
      <c r="C87" s="14">
        <v>46213</v>
      </c>
      <c r="D87" s="11"/>
      <c r="E87" s="11"/>
      <c r="F87" s="12">
        <f t="shared" si="2"/>
        <v>0</v>
      </c>
      <c r="G87" s="20"/>
      <c r="H87" s="20"/>
      <c r="I87" s="9"/>
      <c r="J87" s="9"/>
      <c r="K87" s="9"/>
    </row>
    <row r="88" spans="1:11" s="13" customFormat="1" ht="29.25" thickBot="1" x14ac:dyDescent="0.3">
      <c r="A88" s="19" t="s">
        <v>47</v>
      </c>
      <c r="B88" s="10"/>
      <c r="C88" s="14">
        <v>46213</v>
      </c>
      <c r="D88" s="11"/>
      <c r="E88" s="11"/>
      <c r="F88" s="12">
        <f t="shared" si="2"/>
        <v>0</v>
      </c>
      <c r="G88" s="20"/>
      <c r="H88" s="20"/>
      <c r="I88" s="9"/>
      <c r="J88" s="9"/>
      <c r="K88" s="9"/>
    </row>
    <row r="89" spans="1:11" s="13" customFormat="1" ht="29.25" thickBot="1" x14ac:dyDescent="0.3">
      <c r="A89" s="19" t="s">
        <v>47</v>
      </c>
      <c r="B89" s="10"/>
      <c r="C89" s="14">
        <v>46213</v>
      </c>
      <c r="D89" s="11"/>
      <c r="E89" s="11"/>
      <c r="F89" s="12">
        <f t="shared" si="2"/>
        <v>0</v>
      </c>
      <c r="G89" s="20"/>
      <c r="H89" s="20"/>
      <c r="I89" s="9"/>
      <c r="J89" s="9"/>
      <c r="K89" s="9"/>
    </row>
    <row r="90" spans="1:11" s="13" customFormat="1" ht="29.25" thickBot="1" x14ac:dyDescent="0.3">
      <c r="A90" s="19" t="s">
        <v>47</v>
      </c>
      <c r="B90" s="10"/>
      <c r="C90" s="14">
        <v>46213</v>
      </c>
      <c r="D90" s="11"/>
      <c r="E90" s="11"/>
      <c r="F90" s="12">
        <f t="shared" si="2"/>
        <v>0</v>
      </c>
      <c r="G90" s="20"/>
      <c r="H90" s="20"/>
      <c r="I90" s="9"/>
      <c r="J90" s="9"/>
      <c r="K90" s="9"/>
    </row>
    <row r="91" spans="1:11" s="13" customFormat="1" ht="29.25" thickBot="1" x14ac:dyDescent="0.3">
      <c r="A91" s="19" t="s">
        <v>47</v>
      </c>
      <c r="B91" s="10"/>
      <c r="C91" s="14">
        <v>46213</v>
      </c>
      <c r="D91" s="11"/>
      <c r="E91" s="11"/>
      <c r="F91" s="12">
        <f t="shared" si="2"/>
        <v>0</v>
      </c>
      <c r="G91" s="20"/>
      <c r="H91" s="20"/>
      <c r="I91" s="9"/>
      <c r="J91" s="9"/>
      <c r="K91" s="9"/>
    </row>
    <row r="92" spans="1:11" s="13" customFormat="1" ht="29.25" thickBot="1" x14ac:dyDescent="0.3">
      <c r="A92" s="19" t="s">
        <v>47</v>
      </c>
      <c r="B92" s="10"/>
      <c r="C92" s="14">
        <v>46214</v>
      </c>
      <c r="D92" s="11">
        <v>0.35416666666666669</v>
      </c>
      <c r="E92" s="11">
        <v>0.6875</v>
      </c>
      <c r="F92" s="12">
        <f>+(E92-D92)*24</f>
        <v>8</v>
      </c>
      <c r="G92" s="20" t="s">
        <v>21</v>
      </c>
      <c r="H92" s="20" t="s">
        <v>30</v>
      </c>
      <c r="I92" s="9"/>
      <c r="J92" s="9" t="s">
        <v>71</v>
      </c>
      <c r="K92" s="9"/>
    </row>
    <row r="93" spans="1:11" s="13" customFormat="1" ht="29.25" thickBot="1" x14ac:dyDescent="0.3">
      <c r="A93" s="19" t="s">
        <v>47</v>
      </c>
      <c r="B93" s="10"/>
      <c r="C93" s="14">
        <v>46214</v>
      </c>
      <c r="D93" s="11"/>
      <c r="E93" s="11"/>
      <c r="F93" s="12"/>
      <c r="G93" s="20"/>
      <c r="H93" s="20"/>
      <c r="I93" s="9"/>
      <c r="J93" s="9"/>
      <c r="K93" s="9"/>
    </row>
    <row r="94" spans="1:11" s="13" customFormat="1" ht="29.25" thickBot="1" x14ac:dyDescent="0.3">
      <c r="A94" s="19" t="s">
        <v>47</v>
      </c>
      <c r="B94" s="10"/>
      <c r="C94" s="14">
        <v>46214</v>
      </c>
      <c r="D94" s="11"/>
      <c r="E94" s="11"/>
      <c r="F94" s="12">
        <f t="shared" ref="F94:F100" si="3">+(E94-D94)*24</f>
        <v>0</v>
      </c>
      <c r="G94" s="20"/>
      <c r="H94" s="20"/>
      <c r="I94" s="9"/>
      <c r="J94" s="9"/>
      <c r="K94" s="9"/>
    </row>
    <row r="95" spans="1:11" s="13" customFormat="1" ht="29.25" thickBot="1" x14ac:dyDescent="0.3">
      <c r="A95" s="19" t="s">
        <v>47</v>
      </c>
      <c r="B95" s="10"/>
      <c r="C95" s="14">
        <v>46214</v>
      </c>
      <c r="D95" s="11"/>
      <c r="E95" s="11"/>
      <c r="F95" s="12">
        <f t="shared" si="3"/>
        <v>0</v>
      </c>
      <c r="G95" s="20"/>
      <c r="H95" s="20"/>
      <c r="I95" s="9"/>
      <c r="J95" s="9"/>
      <c r="K95" s="9"/>
    </row>
    <row r="96" spans="1:11" s="13" customFormat="1" ht="29.25" thickBot="1" x14ac:dyDescent="0.3">
      <c r="A96" s="19" t="s">
        <v>47</v>
      </c>
      <c r="B96" s="10"/>
      <c r="C96" s="14">
        <v>46214</v>
      </c>
      <c r="D96" s="11"/>
      <c r="E96" s="11"/>
      <c r="F96" s="12">
        <f t="shared" si="3"/>
        <v>0</v>
      </c>
      <c r="G96" s="20"/>
      <c r="H96" s="20"/>
      <c r="I96" s="9"/>
      <c r="J96" s="9"/>
      <c r="K96" s="9"/>
    </row>
    <row r="97" spans="1:11" s="13" customFormat="1" ht="29.25" thickBot="1" x14ac:dyDescent="0.3">
      <c r="A97" s="19" t="s">
        <v>47</v>
      </c>
      <c r="B97" s="10"/>
      <c r="C97" s="14">
        <v>46214</v>
      </c>
      <c r="D97" s="11"/>
      <c r="E97" s="11"/>
      <c r="F97" s="12">
        <f t="shared" si="3"/>
        <v>0</v>
      </c>
      <c r="G97" s="20"/>
      <c r="H97" s="20"/>
      <c r="I97" s="9"/>
      <c r="J97" s="9"/>
      <c r="K97" s="9"/>
    </row>
    <row r="98" spans="1:11" s="13" customFormat="1" ht="29.25" thickBot="1" x14ac:dyDescent="0.3">
      <c r="A98" s="19" t="s">
        <v>47</v>
      </c>
      <c r="B98" s="10"/>
      <c r="C98" s="14">
        <v>46214</v>
      </c>
      <c r="D98" s="11"/>
      <c r="E98" s="11"/>
      <c r="F98" s="12">
        <f t="shared" si="3"/>
        <v>0</v>
      </c>
      <c r="G98" s="20"/>
      <c r="H98" s="20"/>
      <c r="I98" s="9"/>
      <c r="J98" s="9"/>
      <c r="K98" s="9"/>
    </row>
    <row r="99" spans="1:11" s="13" customFormat="1" ht="29.25" thickBot="1" x14ac:dyDescent="0.3">
      <c r="A99" s="19" t="s">
        <v>47</v>
      </c>
      <c r="B99" s="10"/>
      <c r="C99" s="14">
        <v>46214</v>
      </c>
      <c r="D99" s="11"/>
      <c r="E99" s="11"/>
      <c r="F99" s="12">
        <f t="shared" si="3"/>
        <v>0</v>
      </c>
      <c r="G99" s="20"/>
      <c r="H99" s="20"/>
      <c r="I99" s="9"/>
      <c r="J99" s="9"/>
      <c r="K99" s="9"/>
    </row>
    <row r="100" spans="1:11" s="13" customFormat="1" ht="29.25" thickBot="1" x14ac:dyDescent="0.3">
      <c r="A100" s="19" t="s">
        <v>47</v>
      </c>
      <c r="B100" s="10"/>
      <c r="C100" s="14">
        <v>46214</v>
      </c>
      <c r="D100" s="11"/>
      <c r="E100" s="11"/>
      <c r="F100" s="12">
        <f t="shared" si="3"/>
        <v>0</v>
      </c>
      <c r="G100" s="20"/>
      <c r="H100" s="20"/>
      <c r="I100" s="9"/>
      <c r="J100" s="9"/>
      <c r="K100" s="9"/>
    </row>
    <row r="101" spans="1:11" s="13" customFormat="1" ht="29.25" thickBot="1" x14ac:dyDescent="0.3">
      <c r="A101" s="19" t="s">
        <v>47</v>
      </c>
      <c r="B101" s="10"/>
      <c r="C101" s="14">
        <v>46215</v>
      </c>
      <c r="D101" s="11">
        <v>0.35416666666666669</v>
      </c>
      <c r="E101" s="11">
        <v>0.6875</v>
      </c>
      <c r="F101" s="12">
        <f>+(E101-D101)*24</f>
        <v>8</v>
      </c>
      <c r="G101" s="20" t="s">
        <v>21</v>
      </c>
      <c r="H101" s="20" t="s">
        <v>30</v>
      </c>
      <c r="I101" s="9"/>
      <c r="J101" s="9" t="s">
        <v>71</v>
      </c>
      <c r="K101" s="9"/>
    </row>
    <row r="102" spans="1:11" s="13" customFormat="1" ht="29.25" thickBot="1" x14ac:dyDescent="0.3">
      <c r="A102" s="19" t="s">
        <v>47</v>
      </c>
      <c r="B102" s="10"/>
      <c r="C102" s="14">
        <v>46215</v>
      </c>
      <c r="D102" s="11"/>
      <c r="E102" s="11"/>
      <c r="F102" s="12">
        <f t="shared" si="2"/>
        <v>0</v>
      </c>
      <c r="G102" s="20"/>
      <c r="H102" s="20"/>
      <c r="I102" s="9"/>
      <c r="J102" s="9"/>
      <c r="K102" s="9"/>
    </row>
    <row r="103" spans="1:11" s="13" customFormat="1" ht="29.25" thickBot="1" x14ac:dyDescent="0.3">
      <c r="A103" s="19" t="s">
        <v>47</v>
      </c>
      <c r="B103" s="10"/>
      <c r="C103" s="14">
        <v>46215</v>
      </c>
      <c r="D103" s="11"/>
      <c r="E103" s="11"/>
      <c r="F103" s="12">
        <f t="shared" si="2"/>
        <v>0</v>
      </c>
      <c r="G103" s="20"/>
      <c r="H103" s="20"/>
      <c r="I103" s="9"/>
      <c r="J103" s="9"/>
      <c r="K103" s="9"/>
    </row>
    <row r="104" spans="1:11" s="13" customFormat="1" ht="29.25" thickBot="1" x14ac:dyDescent="0.3">
      <c r="A104" s="19" t="s">
        <v>47</v>
      </c>
      <c r="B104" s="10"/>
      <c r="C104" s="14">
        <v>46215</v>
      </c>
      <c r="D104" s="11"/>
      <c r="E104" s="11"/>
      <c r="F104" s="12">
        <f t="shared" si="2"/>
        <v>0</v>
      </c>
      <c r="G104" s="20"/>
      <c r="H104" s="20"/>
      <c r="I104" s="9"/>
      <c r="J104" s="9"/>
      <c r="K104" s="9"/>
    </row>
    <row r="105" spans="1:11" s="13" customFormat="1" ht="29.25" thickBot="1" x14ac:dyDescent="0.3">
      <c r="A105" s="19" t="s">
        <v>47</v>
      </c>
      <c r="B105" s="10"/>
      <c r="C105" s="14">
        <v>46215</v>
      </c>
      <c r="D105" s="11"/>
      <c r="E105" s="11"/>
      <c r="F105" s="12">
        <f t="shared" si="2"/>
        <v>0</v>
      </c>
      <c r="G105" s="20"/>
      <c r="H105" s="20"/>
      <c r="I105" s="9"/>
      <c r="J105" s="9"/>
      <c r="K105" s="9"/>
    </row>
    <row r="106" spans="1:11" s="13" customFormat="1" ht="29.25" thickBot="1" x14ac:dyDescent="0.3">
      <c r="A106" s="19" t="s">
        <v>47</v>
      </c>
      <c r="B106" s="10"/>
      <c r="C106" s="14">
        <v>46215</v>
      </c>
      <c r="D106" s="11"/>
      <c r="E106" s="11"/>
      <c r="F106" s="12">
        <f t="shared" si="2"/>
        <v>0</v>
      </c>
      <c r="G106" s="20"/>
      <c r="H106" s="20"/>
      <c r="I106" s="9"/>
      <c r="J106" s="9"/>
      <c r="K106" s="9"/>
    </row>
    <row r="107" spans="1:11" s="13" customFormat="1" ht="29.25" thickBot="1" x14ac:dyDescent="0.3">
      <c r="A107" s="19" t="s">
        <v>47</v>
      </c>
      <c r="B107" s="10"/>
      <c r="C107" s="14">
        <v>46215</v>
      </c>
      <c r="D107" s="11"/>
      <c r="E107" s="11"/>
      <c r="F107" s="12">
        <f t="shared" si="2"/>
        <v>0</v>
      </c>
      <c r="G107" s="20"/>
      <c r="H107" s="20"/>
      <c r="I107" s="9"/>
      <c r="J107" s="9"/>
      <c r="K107" s="9"/>
    </row>
    <row r="108" spans="1:11" s="13" customFormat="1" ht="29.25" thickBot="1" x14ac:dyDescent="0.3">
      <c r="A108" s="19" t="s">
        <v>47</v>
      </c>
      <c r="B108" s="10"/>
      <c r="C108" s="14">
        <v>46215</v>
      </c>
      <c r="D108" s="11"/>
      <c r="E108" s="11"/>
      <c r="F108" s="12">
        <f t="shared" si="2"/>
        <v>0</v>
      </c>
      <c r="G108" s="20"/>
      <c r="H108" s="20"/>
      <c r="I108" s="9"/>
      <c r="J108" s="9"/>
      <c r="K108" s="9"/>
    </row>
    <row r="109" spans="1:11" s="13" customFormat="1" ht="29.25" thickBot="1" x14ac:dyDescent="0.3">
      <c r="A109" s="19" t="s">
        <v>47</v>
      </c>
      <c r="B109" s="10"/>
      <c r="C109" s="14">
        <v>46215</v>
      </c>
      <c r="D109" s="11"/>
      <c r="E109" s="11"/>
      <c r="F109" s="12">
        <f t="shared" si="2"/>
        <v>0</v>
      </c>
      <c r="G109" s="20"/>
      <c r="H109" s="20"/>
      <c r="I109" s="9"/>
      <c r="J109" s="9"/>
      <c r="K109" s="9"/>
    </row>
    <row r="110" spans="1:11" s="13" customFormat="1" ht="29.25" thickBot="1" x14ac:dyDescent="0.3">
      <c r="A110" s="19" t="s">
        <v>47</v>
      </c>
      <c r="B110" s="10"/>
      <c r="C110" s="14">
        <v>46216</v>
      </c>
      <c r="D110" s="11"/>
      <c r="E110" s="11"/>
      <c r="F110" s="12">
        <f t="shared" si="2"/>
        <v>0</v>
      </c>
      <c r="G110" s="20"/>
      <c r="H110" s="20"/>
      <c r="I110" s="9"/>
      <c r="J110" s="9"/>
      <c r="K110" s="9"/>
    </row>
    <row r="111" spans="1:11" s="13" customFormat="1" ht="29.25" thickBot="1" x14ac:dyDescent="0.3">
      <c r="A111" s="19" t="s">
        <v>47</v>
      </c>
      <c r="B111" s="10"/>
      <c r="C111" s="14">
        <v>46216</v>
      </c>
      <c r="D111" s="11"/>
      <c r="E111" s="11"/>
      <c r="F111" s="12">
        <f t="shared" si="2"/>
        <v>0</v>
      </c>
      <c r="G111" s="20"/>
      <c r="H111" s="20"/>
      <c r="I111" s="9"/>
      <c r="J111" s="9"/>
      <c r="K111" s="9"/>
    </row>
    <row r="112" spans="1:11" s="13" customFormat="1" ht="29.25" thickBot="1" x14ac:dyDescent="0.3">
      <c r="A112" s="19" t="s">
        <v>47</v>
      </c>
      <c r="B112" s="10"/>
      <c r="C112" s="14">
        <v>46216</v>
      </c>
      <c r="D112" s="11"/>
      <c r="E112" s="11"/>
      <c r="F112" s="12">
        <f t="shared" si="2"/>
        <v>0</v>
      </c>
      <c r="G112" s="20"/>
      <c r="H112" s="20"/>
      <c r="I112" s="9"/>
      <c r="J112" s="9"/>
      <c r="K112" s="9"/>
    </row>
    <row r="113" spans="1:11" s="13" customFormat="1" ht="29.25" thickBot="1" x14ac:dyDescent="0.3">
      <c r="A113" s="19" t="s">
        <v>47</v>
      </c>
      <c r="B113" s="10"/>
      <c r="C113" s="14">
        <v>46216</v>
      </c>
      <c r="D113" s="11"/>
      <c r="E113" s="11"/>
      <c r="F113" s="12">
        <f t="shared" si="2"/>
        <v>0</v>
      </c>
      <c r="G113" s="20"/>
      <c r="H113" s="20"/>
      <c r="I113" s="9"/>
      <c r="J113" s="9"/>
      <c r="K113" s="9"/>
    </row>
    <row r="114" spans="1:11" s="13" customFormat="1" ht="29.25" thickBot="1" x14ac:dyDescent="0.3">
      <c r="A114" s="19" t="s">
        <v>47</v>
      </c>
      <c r="B114" s="10"/>
      <c r="C114" s="14">
        <v>46216</v>
      </c>
      <c r="D114" s="11"/>
      <c r="E114" s="11"/>
      <c r="F114" s="12">
        <f t="shared" si="2"/>
        <v>0</v>
      </c>
      <c r="G114" s="20"/>
      <c r="H114" s="20"/>
      <c r="I114" s="9"/>
      <c r="J114" s="9"/>
      <c r="K114" s="9"/>
    </row>
    <row r="115" spans="1:11" s="13" customFormat="1" ht="29.25" thickBot="1" x14ac:dyDescent="0.3">
      <c r="A115" s="19" t="s">
        <v>47</v>
      </c>
      <c r="B115" s="10"/>
      <c r="C115" s="14">
        <v>46216</v>
      </c>
      <c r="D115" s="11"/>
      <c r="E115" s="11"/>
      <c r="F115" s="12">
        <f t="shared" si="2"/>
        <v>0</v>
      </c>
      <c r="G115" s="20"/>
      <c r="H115" s="20"/>
      <c r="I115" s="9"/>
      <c r="J115" s="9"/>
      <c r="K115" s="9"/>
    </row>
    <row r="116" spans="1:11" s="13" customFormat="1" ht="29.25" thickBot="1" x14ac:dyDescent="0.3">
      <c r="A116" s="19" t="s">
        <v>47</v>
      </c>
      <c r="B116" s="10"/>
      <c r="C116" s="14">
        <v>46216</v>
      </c>
      <c r="D116" s="11"/>
      <c r="E116" s="11"/>
      <c r="F116" s="12">
        <f t="shared" si="2"/>
        <v>0</v>
      </c>
      <c r="G116" s="20"/>
      <c r="H116" s="20"/>
      <c r="I116" s="9"/>
      <c r="J116" s="9"/>
      <c r="K116" s="9"/>
    </row>
    <row r="117" spans="1:11" s="13" customFormat="1" ht="29.25" thickBot="1" x14ac:dyDescent="0.3">
      <c r="A117" s="19" t="s">
        <v>47</v>
      </c>
      <c r="B117" s="10"/>
      <c r="C117" s="14">
        <v>46216</v>
      </c>
      <c r="D117" s="11"/>
      <c r="E117" s="11"/>
      <c r="F117" s="12">
        <f t="shared" si="2"/>
        <v>0</v>
      </c>
      <c r="G117" s="20"/>
      <c r="H117" s="20"/>
      <c r="I117" s="9"/>
      <c r="J117" s="9"/>
      <c r="K117" s="9"/>
    </row>
    <row r="118" spans="1:11" s="13" customFormat="1" ht="29.25" thickBot="1" x14ac:dyDescent="0.3">
      <c r="A118" s="19" t="s">
        <v>47</v>
      </c>
      <c r="B118" s="10"/>
      <c r="C118" s="14">
        <v>46216</v>
      </c>
      <c r="D118" s="11"/>
      <c r="E118" s="11"/>
      <c r="F118" s="12">
        <f t="shared" si="2"/>
        <v>0</v>
      </c>
      <c r="G118" s="20"/>
      <c r="H118" s="20"/>
      <c r="I118" s="9"/>
      <c r="J118" s="9"/>
      <c r="K118" s="9"/>
    </row>
    <row r="119" spans="1:11" s="13" customFormat="1" ht="29.25" thickBot="1" x14ac:dyDescent="0.3">
      <c r="A119" s="19" t="s">
        <v>47</v>
      </c>
      <c r="B119" s="10"/>
      <c r="C119" s="14">
        <v>46217</v>
      </c>
      <c r="D119" s="11"/>
      <c r="E119" s="11"/>
      <c r="F119" s="12">
        <f t="shared" si="2"/>
        <v>0</v>
      </c>
      <c r="G119" s="20"/>
      <c r="H119" s="20"/>
      <c r="I119" s="9"/>
      <c r="J119" s="9"/>
      <c r="K119" s="9"/>
    </row>
    <row r="120" spans="1:11" s="13" customFormat="1" ht="29.25" thickBot="1" x14ac:dyDescent="0.3">
      <c r="A120" s="19" t="s">
        <v>47</v>
      </c>
      <c r="B120" s="10"/>
      <c r="C120" s="14">
        <v>46217</v>
      </c>
      <c r="D120" s="11"/>
      <c r="E120" s="11"/>
      <c r="F120" s="12">
        <f t="shared" si="2"/>
        <v>0</v>
      </c>
      <c r="G120" s="20"/>
      <c r="H120" s="20"/>
      <c r="I120" s="9"/>
      <c r="J120" s="9"/>
      <c r="K120" s="9"/>
    </row>
    <row r="121" spans="1:11" s="13" customFormat="1" ht="29.25" thickBot="1" x14ac:dyDescent="0.3">
      <c r="A121" s="19" t="s">
        <v>47</v>
      </c>
      <c r="B121" s="10"/>
      <c r="C121" s="14">
        <v>46217</v>
      </c>
      <c r="D121" s="11"/>
      <c r="E121" s="11"/>
      <c r="F121" s="12">
        <f t="shared" si="2"/>
        <v>0</v>
      </c>
      <c r="G121" s="20"/>
      <c r="H121" s="20"/>
      <c r="I121" s="9"/>
      <c r="J121" s="9"/>
      <c r="K121" s="9"/>
    </row>
    <row r="122" spans="1:11" s="13" customFormat="1" ht="29.25" thickBot="1" x14ac:dyDescent="0.3">
      <c r="A122" s="19" t="s">
        <v>47</v>
      </c>
      <c r="B122" s="10"/>
      <c r="C122" s="14">
        <v>46217</v>
      </c>
      <c r="D122" s="11"/>
      <c r="E122" s="11"/>
      <c r="F122" s="12">
        <f t="shared" si="2"/>
        <v>0</v>
      </c>
      <c r="G122" s="20"/>
      <c r="H122" s="20"/>
      <c r="I122" s="9"/>
      <c r="J122" s="9"/>
      <c r="K122" s="9"/>
    </row>
    <row r="123" spans="1:11" s="13" customFormat="1" ht="29.25" thickBot="1" x14ac:dyDescent="0.3">
      <c r="A123" s="19" t="s">
        <v>47</v>
      </c>
      <c r="B123" s="10"/>
      <c r="C123" s="14">
        <v>46217</v>
      </c>
      <c r="D123" s="11"/>
      <c r="E123" s="11"/>
      <c r="F123" s="12">
        <f t="shared" si="2"/>
        <v>0</v>
      </c>
      <c r="G123" s="20"/>
      <c r="H123" s="20"/>
      <c r="I123" s="9"/>
      <c r="J123" s="9"/>
      <c r="K123" s="9"/>
    </row>
    <row r="124" spans="1:11" s="13" customFormat="1" ht="29.25" thickBot="1" x14ac:dyDescent="0.3">
      <c r="A124" s="19" t="s">
        <v>47</v>
      </c>
      <c r="B124" s="10"/>
      <c r="C124" s="14">
        <v>46217</v>
      </c>
      <c r="D124" s="11"/>
      <c r="E124" s="11"/>
      <c r="F124" s="12">
        <f t="shared" si="2"/>
        <v>0</v>
      </c>
      <c r="G124" s="20"/>
      <c r="H124" s="20"/>
      <c r="I124" s="9"/>
      <c r="J124" s="9"/>
      <c r="K124" s="9"/>
    </row>
    <row r="125" spans="1:11" s="13" customFormat="1" ht="29.25" thickBot="1" x14ac:dyDescent="0.3">
      <c r="A125" s="19" t="s">
        <v>47</v>
      </c>
      <c r="B125" s="10"/>
      <c r="C125" s="14">
        <v>46217</v>
      </c>
      <c r="D125" s="11"/>
      <c r="E125" s="11"/>
      <c r="F125" s="12">
        <f t="shared" si="2"/>
        <v>0</v>
      </c>
      <c r="G125" s="20"/>
      <c r="H125" s="20"/>
      <c r="I125" s="9"/>
      <c r="J125" s="9"/>
      <c r="K125" s="9"/>
    </row>
    <row r="126" spans="1:11" s="13" customFormat="1" ht="29.25" thickBot="1" x14ac:dyDescent="0.3">
      <c r="A126" s="19" t="s">
        <v>47</v>
      </c>
      <c r="B126" s="10"/>
      <c r="C126" s="14">
        <v>46217</v>
      </c>
      <c r="D126" s="11"/>
      <c r="E126" s="11"/>
      <c r="F126" s="12">
        <f t="shared" si="2"/>
        <v>0</v>
      </c>
      <c r="G126" s="20"/>
      <c r="H126" s="20"/>
      <c r="I126" s="9"/>
      <c r="J126" s="9"/>
      <c r="K126" s="9"/>
    </row>
    <row r="127" spans="1:11" s="13" customFormat="1" ht="29.25" thickBot="1" x14ac:dyDescent="0.3">
      <c r="A127" s="19" t="s">
        <v>47</v>
      </c>
      <c r="B127" s="10"/>
      <c r="C127" s="14">
        <v>46217</v>
      </c>
      <c r="D127" s="11"/>
      <c r="E127" s="11"/>
      <c r="F127" s="12">
        <f t="shared" si="2"/>
        <v>0</v>
      </c>
      <c r="G127" s="20"/>
      <c r="H127" s="20"/>
      <c r="I127" s="9"/>
      <c r="J127" s="9"/>
      <c r="K127" s="9"/>
    </row>
    <row r="128" spans="1:11" s="13" customFormat="1" ht="29.25" thickBot="1" x14ac:dyDescent="0.3">
      <c r="A128" s="19" t="s">
        <v>47</v>
      </c>
      <c r="B128" s="10"/>
      <c r="C128" s="14">
        <v>46218</v>
      </c>
      <c r="D128" s="11"/>
      <c r="E128" s="11"/>
      <c r="F128" s="12">
        <f t="shared" si="2"/>
        <v>0</v>
      </c>
      <c r="G128" s="20"/>
      <c r="H128" s="20"/>
      <c r="I128" s="9"/>
      <c r="J128" s="9"/>
      <c r="K128" s="9"/>
    </row>
    <row r="129" spans="1:11" s="13" customFormat="1" ht="29.25" thickBot="1" x14ac:dyDescent="0.3">
      <c r="A129" s="19" t="s">
        <v>47</v>
      </c>
      <c r="B129" s="10"/>
      <c r="C129" s="14">
        <v>46218</v>
      </c>
      <c r="D129" s="11"/>
      <c r="E129" s="11"/>
      <c r="F129" s="12">
        <f t="shared" si="2"/>
        <v>0</v>
      </c>
      <c r="G129" s="20"/>
      <c r="H129" s="20"/>
      <c r="I129" s="9"/>
      <c r="J129" s="9"/>
      <c r="K129" s="9"/>
    </row>
    <row r="130" spans="1:11" s="13" customFormat="1" ht="29.25" thickBot="1" x14ac:dyDescent="0.3">
      <c r="A130" s="19" t="s">
        <v>47</v>
      </c>
      <c r="B130" s="10"/>
      <c r="C130" s="14">
        <v>46218</v>
      </c>
      <c r="D130" s="11"/>
      <c r="E130" s="11"/>
      <c r="F130" s="12">
        <f t="shared" si="2"/>
        <v>0</v>
      </c>
      <c r="G130" s="20"/>
      <c r="H130" s="20"/>
      <c r="I130" s="9"/>
      <c r="J130" s="9"/>
      <c r="K130" s="9"/>
    </row>
    <row r="131" spans="1:11" s="13" customFormat="1" ht="29.25" thickBot="1" x14ac:dyDescent="0.3">
      <c r="A131" s="19" t="s">
        <v>47</v>
      </c>
      <c r="B131" s="10"/>
      <c r="C131" s="14">
        <v>46218</v>
      </c>
      <c r="D131" s="11"/>
      <c r="E131" s="11"/>
      <c r="F131" s="12">
        <f t="shared" si="2"/>
        <v>0</v>
      </c>
      <c r="G131" s="20"/>
      <c r="H131" s="20"/>
      <c r="I131" s="9"/>
      <c r="J131" s="9"/>
      <c r="K131" s="9"/>
    </row>
    <row r="132" spans="1:11" s="13" customFormat="1" ht="29.25" thickBot="1" x14ac:dyDescent="0.3">
      <c r="A132" s="19" t="s">
        <v>47</v>
      </c>
      <c r="B132" s="10"/>
      <c r="C132" s="14">
        <v>46218</v>
      </c>
      <c r="D132" s="11"/>
      <c r="E132" s="11"/>
      <c r="F132" s="12">
        <f t="shared" si="2"/>
        <v>0</v>
      </c>
      <c r="G132" s="20"/>
      <c r="H132" s="20"/>
      <c r="I132" s="9"/>
      <c r="J132" s="9"/>
      <c r="K132" s="9"/>
    </row>
    <row r="133" spans="1:11" s="13" customFormat="1" ht="29.25" thickBot="1" x14ac:dyDescent="0.3">
      <c r="A133" s="19" t="s">
        <v>47</v>
      </c>
      <c r="B133" s="10"/>
      <c r="C133" s="14">
        <v>46218</v>
      </c>
      <c r="D133" s="11"/>
      <c r="E133" s="11"/>
      <c r="F133" s="12">
        <f t="shared" si="2"/>
        <v>0</v>
      </c>
      <c r="G133" s="20"/>
      <c r="H133" s="20"/>
      <c r="I133" s="9"/>
      <c r="J133" s="9"/>
      <c r="K133" s="9"/>
    </row>
    <row r="134" spans="1:11" s="13" customFormat="1" ht="29.25" thickBot="1" x14ac:dyDescent="0.3">
      <c r="A134" s="19" t="s">
        <v>47</v>
      </c>
      <c r="B134" s="10"/>
      <c r="C134" s="14">
        <v>46218</v>
      </c>
      <c r="D134" s="11"/>
      <c r="E134" s="11"/>
      <c r="F134" s="12">
        <f t="shared" ref="F134:F197" si="4">+(E134-D134)*24</f>
        <v>0</v>
      </c>
      <c r="G134" s="20"/>
      <c r="H134" s="20"/>
      <c r="I134" s="9"/>
      <c r="J134" s="9"/>
      <c r="K134" s="9"/>
    </row>
    <row r="135" spans="1:11" s="13" customFormat="1" ht="29.25" thickBot="1" x14ac:dyDescent="0.3">
      <c r="A135" s="19" t="s">
        <v>47</v>
      </c>
      <c r="B135" s="10"/>
      <c r="C135" s="14">
        <v>46218</v>
      </c>
      <c r="D135" s="11"/>
      <c r="E135" s="11"/>
      <c r="F135" s="12">
        <f t="shared" si="4"/>
        <v>0</v>
      </c>
      <c r="G135" s="20"/>
      <c r="H135" s="20"/>
      <c r="I135" s="9"/>
      <c r="J135" s="9"/>
      <c r="K135" s="9"/>
    </row>
    <row r="136" spans="1:11" s="13" customFormat="1" ht="29.25" thickBot="1" x14ac:dyDescent="0.3">
      <c r="A136" s="19" t="s">
        <v>47</v>
      </c>
      <c r="B136" s="10"/>
      <c r="C136" s="14">
        <v>46218</v>
      </c>
      <c r="D136" s="11"/>
      <c r="E136" s="11"/>
      <c r="F136" s="12">
        <f t="shared" si="4"/>
        <v>0</v>
      </c>
      <c r="G136" s="20"/>
      <c r="H136" s="20"/>
      <c r="I136" s="9"/>
      <c r="J136" s="9"/>
      <c r="K136" s="9"/>
    </row>
    <row r="137" spans="1:11" s="13" customFormat="1" ht="29.25" thickBot="1" x14ac:dyDescent="0.3">
      <c r="A137" s="19" t="s">
        <v>47</v>
      </c>
      <c r="B137" s="10"/>
      <c r="C137" s="14">
        <v>46219</v>
      </c>
      <c r="D137" s="11"/>
      <c r="E137" s="11"/>
      <c r="F137" s="12">
        <f t="shared" si="4"/>
        <v>0</v>
      </c>
      <c r="G137" s="20"/>
      <c r="H137" s="20"/>
      <c r="I137" s="9"/>
      <c r="J137" s="9"/>
      <c r="K137" s="9"/>
    </row>
    <row r="138" spans="1:11" s="13" customFormat="1" ht="29.25" thickBot="1" x14ac:dyDescent="0.3">
      <c r="A138" s="19" t="s">
        <v>47</v>
      </c>
      <c r="B138" s="10"/>
      <c r="C138" s="14">
        <v>46219</v>
      </c>
      <c r="D138" s="11"/>
      <c r="E138" s="11"/>
      <c r="F138" s="12">
        <f t="shared" si="4"/>
        <v>0</v>
      </c>
      <c r="G138" s="20"/>
      <c r="H138" s="20"/>
      <c r="I138" s="9"/>
      <c r="J138" s="9"/>
      <c r="K138" s="9"/>
    </row>
    <row r="139" spans="1:11" s="13" customFormat="1" ht="29.25" thickBot="1" x14ac:dyDescent="0.3">
      <c r="A139" s="19" t="s">
        <v>47</v>
      </c>
      <c r="B139" s="10"/>
      <c r="C139" s="14">
        <v>46219</v>
      </c>
      <c r="D139" s="11"/>
      <c r="E139" s="11"/>
      <c r="F139" s="12">
        <f t="shared" si="4"/>
        <v>0</v>
      </c>
      <c r="G139" s="20"/>
      <c r="H139" s="20"/>
      <c r="I139" s="9"/>
      <c r="J139" s="9"/>
      <c r="K139" s="9"/>
    </row>
    <row r="140" spans="1:11" s="13" customFormat="1" ht="29.25" thickBot="1" x14ac:dyDescent="0.3">
      <c r="A140" s="19" t="s">
        <v>47</v>
      </c>
      <c r="B140" s="10"/>
      <c r="C140" s="14">
        <v>46219</v>
      </c>
      <c r="D140" s="11"/>
      <c r="E140" s="11"/>
      <c r="F140" s="12">
        <f t="shared" si="4"/>
        <v>0</v>
      </c>
      <c r="G140" s="20"/>
      <c r="H140" s="20"/>
      <c r="I140" s="9"/>
      <c r="J140" s="9"/>
      <c r="K140" s="9"/>
    </row>
    <row r="141" spans="1:11" s="13" customFormat="1" ht="29.25" thickBot="1" x14ac:dyDescent="0.3">
      <c r="A141" s="19" t="s">
        <v>47</v>
      </c>
      <c r="B141" s="10"/>
      <c r="C141" s="14">
        <v>46219</v>
      </c>
      <c r="D141" s="11"/>
      <c r="E141" s="11"/>
      <c r="F141" s="12">
        <f t="shared" si="4"/>
        <v>0</v>
      </c>
      <c r="G141" s="20"/>
      <c r="H141" s="20"/>
      <c r="I141" s="9"/>
      <c r="J141" s="9"/>
      <c r="K141" s="9"/>
    </row>
    <row r="142" spans="1:11" s="13" customFormat="1" ht="29.25" thickBot="1" x14ac:dyDescent="0.3">
      <c r="A142" s="19" t="s">
        <v>47</v>
      </c>
      <c r="B142" s="10"/>
      <c r="C142" s="14">
        <v>46219</v>
      </c>
      <c r="D142" s="11"/>
      <c r="E142" s="11"/>
      <c r="F142" s="12">
        <f t="shared" si="4"/>
        <v>0</v>
      </c>
      <c r="G142" s="20"/>
      <c r="H142" s="20"/>
      <c r="I142" s="9"/>
      <c r="J142" s="9"/>
      <c r="K142" s="9"/>
    </row>
    <row r="143" spans="1:11" s="13" customFormat="1" ht="29.25" thickBot="1" x14ac:dyDescent="0.3">
      <c r="A143" s="19" t="s">
        <v>47</v>
      </c>
      <c r="B143" s="10"/>
      <c r="C143" s="14">
        <v>46219</v>
      </c>
      <c r="D143" s="11"/>
      <c r="E143" s="11"/>
      <c r="F143" s="12">
        <f t="shared" si="4"/>
        <v>0</v>
      </c>
      <c r="G143" s="20"/>
      <c r="H143" s="20"/>
      <c r="I143" s="9"/>
      <c r="J143" s="9"/>
      <c r="K143" s="9"/>
    </row>
    <row r="144" spans="1:11" s="13" customFormat="1" ht="29.25" thickBot="1" x14ac:dyDescent="0.3">
      <c r="A144" s="19" t="s">
        <v>47</v>
      </c>
      <c r="B144" s="10"/>
      <c r="C144" s="14">
        <v>46219</v>
      </c>
      <c r="D144" s="11"/>
      <c r="E144" s="11"/>
      <c r="F144" s="12">
        <f t="shared" si="4"/>
        <v>0</v>
      </c>
      <c r="G144" s="20"/>
      <c r="H144" s="20"/>
      <c r="I144" s="9"/>
      <c r="J144" s="9"/>
      <c r="K144" s="9"/>
    </row>
    <row r="145" spans="1:11" s="13" customFormat="1" ht="29.25" thickBot="1" x14ac:dyDescent="0.3">
      <c r="A145" s="19" t="s">
        <v>47</v>
      </c>
      <c r="B145" s="10"/>
      <c r="C145" s="14">
        <v>46219</v>
      </c>
      <c r="D145" s="11"/>
      <c r="E145" s="11"/>
      <c r="F145" s="12">
        <f t="shared" si="4"/>
        <v>0</v>
      </c>
      <c r="G145" s="20"/>
      <c r="H145" s="20"/>
      <c r="I145" s="9"/>
      <c r="J145" s="9"/>
      <c r="K145" s="9"/>
    </row>
    <row r="146" spans="1:11" s="13" customFormat="1" ht="29.25" thickBot="1" x14ac:dyDescent="0.3">
      <c r="A146" s="19" t="s">
        <v>47</v>
      </c>
      <c r="B146" s="10"/>
      <c r="C146" s="14">
        <v>46220</v>
      </c>
      <c r="D146" s="11"/>
      <c r="E146" s="11"/>
      <c r="F146" s="12">
        <f t="shared" si="4"/>
        <v>0</v>
      </c>
      <c r="G146" s="20"/>
      <c r="H146" s="20"/>
      <c r="I146" s="9"/>
      <c r="J146" s="9"/>
      <c r="K146" s="9"/>
    </row>
    <row r="147" spans="1:11" s="13" customFormat="1" ht="29.25" thickBot="1" x14ac:dyDescent="0.3">
      <c r="A147" s="19" t="s">
        <v>47</v>
      </c>
      <c r="B147" s="10"/>
      <c r="C147" s="14">
        <v>46220</v>
      </c>
      <c r="D147" s="11"/>
      <c r="E147" s="11"/>
      <c r="F147" s="12">
        <f t="shared" si="4"/>
        <v>0</v>
      </c>
      <c r="G147" s="20"/>
      <c r="H147" s="20"/>
      <c r="I147" s="9"/>
      <c r="J147" s="9"/>
      <c r="K147" s="9"/>
    </row>
    <row r="148" spans="1:11" s="13" customFormat="1" ht="29.25" thickBot="1" x14ac:dyDescent="0.3">
      <c r="A148" s="19" t="s">
        <v>47</v>
      </c>
      <c r="B148" s="10"/>
      <c r="C148" s="14">
        <v>46220</v>
      </c>
      <c r="D148" s="11"/>
      <c r="E148" s="11"/>
      <c r="F148" s="12">
        <f t="shared" si="4"/>
        <v>0</v>
      </c>
      <c r="G148" s="20"/>
      <c r="H148" s="20"/>
      <c r="I148" s="9"/>
      <c r="J148" s="9"/>
      <c r="K148" s="9"/>
    </row>
    <row r="149" spans="1:11" s="13" customFormat="1" ht="29.25" thickBot="1" x14ac:dyDescent="0.3">
      <c r="A149" s="19" t="s">
        <v>47</v>
      </c>
      <c r="B149" s="10"/>
      <c r="C149" s="14">
        <v>46220</v>
      </c>
      <c r="D149" s="11"/>
      <c r="E149" s="11"/>
      <c r="F149" s="12">
        <f t="shared" si="4"/>
        <v>0</v>
      </c>
      <c r="G149" s="20"/>
      <c r="H149" s="20"/>
      <c r="I149" s="9"/>
      <c r="J149" s="9"/>
      <c r="K149" s="9"/>
    </row>
    <row r="150" spans="1:11" s="13" customFormat="1" ht="29.25" thickBot="1" x14ac:dyDescent="0.3">
      <c r="A150" s="19" t="s">
        <v>47</v>
      </c>
      <c r="B150" s="10"/>
      <c r="C150" s="14">
        <v>46220</v>
      </c>
      <c r="D150" s="11"/>
      <c r="E150" s="11"/>
      <c r="F150" s="12">
        <f t="shared" si="4"/>
        <v>0</v>
      </c>
      <c r="G150" s="20"/>
      <c r="H150" s="20"/>
      <c r="I150" s="9"/>
      <c r="J150" s="9"/>
      <c r="K150" s="9"/>
    </row>
    <row r="151" spans="1:11" s="13" customFormat="1" ht="29.25" thickBot="1" x14ac:dyDescent="0.3">
      <c r="A151" s="19" t="s">
        <v>47</v>
      </c>
      <c r="B151" s="10"/>
      <c r="C151" s="14">
        <v>46220</v>
      </c>
      <c r="D151" s="11"/>
      <c r="E151" s="11"/>
      <c r="F151" s="12">
        <f t="shared" si="4"/>
        <v>0</v>
      </c>
      <c r="G151" s="20"/>
      <c r="H151" s="20"/>
      <c r="I151" s="9"/>
      <c r="J151" s="9"/>
      <c r="K151" s="9"/>
    </row>
    <row r="152" spans="1:11" s="13" customFormat="1" ht="29.25" thickBot="1" x14ac:dyDescent="0.3">
      <c r="A152" s="19" t="s">
        <v>47</v>
      </c>
      <c r="B152" s="10"/>
      <c r="C152" s="14">
        <v>46220</v>
      </c>
      <c r="D152" s="11"/>
      <c r="E152" s="11"/>
      <c r="F152" s="12">
        <f t="shared" si="4"/>
        <v>0</v>
      </c>
      <c r="G152" s="20"/>
      <c r="H152" s="20"/>
      <c r="I152" s="9"/>
      <c r="J152" s="9"/>
      <c r="K152" s="9"/>
    </row>
    <row r="153" spans="1:11" s="13" customFormat="1" ht="29.25" thickBot="1" x14ac:dyDescent="0.3">
      <c r="A153" s="19" t="s">
        <v>47</v>
      </c>
      <c r="B153" s="10"/>
      <c r="C153" s="14">
        <v>46220</v>
      </c>
      <c r="D153" s="11"/>
      <c r="E153" s="11"/>
      <c r="F153" s="12">
        <f t="shared" si="4"/>
        <v>0</v>
      </c>
      <c r="G153" s="20"/>
      <c r="H153" s="20"/>
      <c r="I153" s="9"/>
      <c r="J153" s="9"/>
      <c r="K153" s="9"/>
    </row>
    <row r="154" spans="1:11" s="13" customFormat="1" ht="29.25" thickBot="1" x14ac:dyDescent="0.3">
      <c r="A154" s="19" t="s">
        <v>47</v>
      </c>
      <c r="B154" s="10"/>
      <c r="C154" s="14">
        <v>46220</v>
      </c>
      <c r="D154" s="11"/>
      <c r="E154" s="11"/>
      <c r="F154" s="12">
        <f t="shared" si="4"/>
        <v>0</v>
      </c>
      <c r="G154" s="20"/>
      <c r="H154" s="20"/>
      <c r="I154" s="9"/>
      <c r="J154" s="9"/>
      <c r="K154" s="9"/>
    </row>
    <row r="155" spans="1:11" s="13" customFormat="1" ht="29.25" thickBot="1" x14ac:dyDescent="0.3">
      <c r="A155" s="19" t="s">
        <v>47</v>
      </c>
      <c r="B155" s="10"/>
      <c r="C155" s="14">
        <v>46221</v>
      </c>
      <c r="D155" s="11">
        <v>0.35416666666666669</v>
      </c>
      <c r="E155" s="11">
        <v>0.6875</v>
      </c>
      <c r="F155" s="12">
        <f>+(E155-D155)*24</f>
        <v>8</v>
      </c>
      <c r="G155" s="20" t="s">
        <v>21</v>
      </c>
      <c r="H155" s="20" t="s">
        <v>30</v>
      </c>
      <c r="I155" s="9"/>
      <c r="J155" s="9" t="s">
        <v>71</v>
      </c>
      <c r="K155" s="9"/>
    </row>
    <row r="156" spans="1:11" s="13" customFormat="1" ht="29.25" thickBot="1" x14ac:dyDescent="0.3">
      <c r="A156" s="19" t="s">
        <v>47</v>
      </c>
      <c r="B156" s="10"/>
      <c r="C156" s="14">
        <v>46221</v>
      </c>
      <c r="D156" s="11"/>
      <c r="E156" s="11"/>
      <c r="F156" s="12"/>
      <c r="G156" s="20"/>
      <c r="H156" s="20"/>
      <c r="I156" s="9"/>
      <c r="J156" s="9"/>
      <c r="K156" s="9"/>
    </row>
    <row r="157" spans="1:11" s="13" customFormat="1" ht="29.25" thickBot="1" x14ac:dyDescent="0.3">
      <c r="A157" s="19" t="s">
        <v>47</v>
      </c>
      <c r="B157" s="10"/>
      <c r="C157" s="14">
        <v>46221</v>
      </c>
      <c r="D157" s="11"/>
      <c r="E157" s="11"/>
      <c r="F157" s="12">
        <f t="shared" ref="F157:F163" si="5">+(E157-D157)*24</f>
        <v>0</v>
      </c>
      <c r="G157" s="20"/>
      <c r="H157" s="20"/>
      <c r="I157" s="9"/>
      <c r="J157" s="9"/>
      <c r="K157" s="9"/>
    </row>
    <row r="158" spans="1:11" s="13" customFormat="1" ht="29.25" thickBot="1" x14ac:dyDescent="0.3">
      <c r="A158" s="19" t="s">
        <v>47</v>
      </c>
      <c r="B158" s="10"/>
      <c r="C158" s="14">
        <v>46221</v>
      </c>
      <c r="D158" s="11"/>
      <c r="E158" s="11"/>
      <c r="F158" s="12">
        <f t="shared" si="5"/>
        <v>0</v>
      </c>
      <c r="G158" s="20"/>
      <c r="H158" s="20"/>
      <c r="I158" s="9"/>
      <c r="J158" s="9"/>
      <c r="K158" s="9"/>
    </row>
    <row r="159" spans="1:11" s="13" customFormat="1" ht="29.25" thickBot="1" x14ac:dyDescent="0.3">
      <c r="A159" s="19" t="s">
        <v>47</v>
      </c>
      <c r="B159" s="10"/>
      <c r="C159" s="14">
        <v>46221</v>
      </c>
      <c r="D159" s="11"/>
      <c r="E159" s="11"/>
      <c r="F159" s="12">
        <f t="shared" si="5"/>
        <v>0</v>
      </c>
      <c r="G159" s="20"/>
      <c r="H159" s="20"/>
      <c r="I159" s="9"/>
      <c r="J159" s="9"/>
      <c r="K159" s="9"/>
    </row>
    <row r="160" spans="1:11" s="13" customFormat="1" ht="29.25" thickBot="1" x14ac:dyDescent="0.3">
      <c r="A160" s="19" t="s">
        <v>47</v>
      </c>
      <c r="B160" s="10"/>
      <c r="C160" s="14">
        <v>46221</v>
      </c>
      <c r="D160" s="11"/>
      <c r="E160" s="11"/>
      <c r="F160" s="12">
        <f t="shared" si="5"/>
        <v>0</v>
      </c>
      <c r="G160" s="20"/>
      <c r="H160" s="20"/>
      <c r="I160" s="9"/>
      <c r="J160" s="9"/>
      <c r="K160" s="9"/>
    </row>
    <row r="161" spans="1:11" s="13" customFormat="1" ht="29.25" thickBot="1" x14ac:dyDescent="0.3">
      <c r="A161" s="19" t="s">
        <v>47</v>
      </c>
      <c r="B161" s="10"/>
      <c r="C161" s="14">
        <v>46221</v>
      </c>
      <c r="D161" s="11"/>
      <c r="E161" s="11"/>
      <c r="F161" s="12">
        <f t="shared" si="5"/>
        <v>0</v>
      </c>
      <c r="G161" s="20"/>
      <c r="H161" s="20"/>
      <c r="I161" s="9"/>
      <c r="J161" s="9"/>
      <c r="K161" s="9"/>
    </row>
    <row r="162" spans="1:11" s="13" customFormat="1" ht="29.25" thickBot="1" x14ac:dyDescent="0.3">
      <c r="A162" s="19" t="s">
        <v>47</v>
      </c>
      <c r="B162" s="10"/>
      <c r="C162" s="14">
        <v>46221</v>
      </c>
      <c r="D162" s="11"/>
      <c r="E162" s="11"/>
      <c r="F162" s="12">
        <f t="shared" si="5"/>
        <v>0</v>
      </c>
      <c r="G162" s="20"/>
      <c r="H162" s="20"/>
      <c r="I162" s="9"/>
      <c r="J162" s="9"/>
      <c r="K162" s="9"/>
    </row>
    <row r="163" spans="1:11" s="13" customFormat="1" ht="29.25" thickBot="1" x14ac:dyDescent="0.3">
      <c r="A163" s="19" t="s">
        <v>47</v>
      </c>
      <c r="B163" s="10"/>
      <c r="C163" s="14">
        <v>46221</v>
      </c>
      <c r="D163" s="11"/>
      <c r="E163" s="11"/>
      <c r="F163" s="12">
        <f t="shared" si="5"/>
        <v>0</v>
      </c>
      <c r="G163" s="20"/>
      <c r="H163" s="20"/>
      <c r="I163" s="9"/>
      <c r="J163" s="9"/>
      <c r="K163" s="9"/>
    </row>
    <row r="164" spans="1:11" s="13" customFormat="1" ht="29.25" thickBot="1" x14ac:dyDescent="0.3">
      <c r="A164" s="19" t="s">
        <v>47</v>
      </c>
      <c r="B164" s="10"/>
      <c r="C164" s="14">
        <v>46222</v>
      </c>
      <c r="D164" s="11">
        <v>0.35416666666666669</v>
      </c>
      <c r="E164" s="11">
        <v>0.6875</v>
      </c>
      <c r="F164" s="12">
        <f>+(E164-D164)*24</f>
        <v>8</v>
      </c>
      <c r="G164" s="20" t="s">
        <v>21</v>
      </c>
      <c r="H164" s="20" t="s">
        <v>30</v>
      </c>
      <c r="I164" s="9"/>
      <c r="J164" s="9" t="s">
        <v>71</v>
      </c>
      <c r="K164" s="9"/>
    </row>
    <row r="165" spans="1:11" s="13" customFormat="1" ht="29.25" thickBot="1" x14ac:dyDescent="0.3">
      <c r="A165" s="19" t="s">
        <v>47</v>
      </c>
      <c r="B165" s="10"/>
      <c r="C165" s="14">
        <v>46222</v>
      </c>
      <c r="D165" s="11"/>
      <c r="E165" s="11"/>
      <c r="F165" s="12">
        <f t="shared" si="4"/>
        <v>0</v>
      </c>
      <c r="G165" s="20"/>
      <c r="H165" s="20"/>
      <c r="I165" s="9"/>
      <c r="J165" s="9"/>
      <c r="K165" s="9"/>
    </row>
    <row r="166" spans="1:11" s="13" customFormat="1" ht="29.25" thickBot="1" x14ac:dyDescent="0.3">
      <c r="A166" s="19" t="s">
        <v>47</v>
      </c>
      <c r="B166" s="10"/>
      <c r="C166" s="14">
        <v>46222</v>
      </c>
      <c r="D166" s="11"/>
      <c r="E166" s="11"/>
      <c r="F166" s="12">
        <f t="shared" si="4"/>
        <v>0</v>
      </c>
      <c r="G166" s="20"/>
      <c r="H166" s="20"/>
      <c r="I166" s="9"/>
      <c r="J166" s="9"/>
      <c r="K166" s="9"/>
    </row>
    <row r="167" spans="1:11" s="13" customFormat="1" ht="29.25" thickBot="1" x14ac:dyDescent="0.3">
      <c r="A167" s="19" t="s">
        <v>47</v>
      </c>
      <c r="B167" s="10"/>
      <c r="C167" s="14">
        <v>46222</v>
      </c>
      <c r="D167" s="11"/>
      <c r="E167" s="11"/>
      <c r="F167" s="12">
        <f t="shared" si="4"/>
        <v>0</v>
      </c>
      <c r="G167" s="20"/>
      <c r="H167" s="20"/>
      <c r="I167" s="9"/>
      <c r="J167" s="9"/>
      <c r="K167" s="9"/>
    </row>
    <row r="168" spans="1:11" s="13" customFormat="1" ht="29.25" thickBot="1" x14ac:dyDescent="0.3">
      <c r="A168" s="19" t="s">
        <v>47</v>
      </c>
      <c r="B168" s="10"/>
      <c r="C168" s="14">
        <v>46222</v>
      </c>
      <c r="D168" s="11"/>
      <c r="E168" s="11"/>
      <c r="F168" s="12">
        <f t="shared" si="4"/>
        <v>0</v>
      </c>
      <c r="G168" s="20"/>
      <c r="H168" s="20"/>
      <c r="I168" s="9"/>
      <c r="J168" s="9"/>
      <c r="K168" s="9"/>
    </row>
    <row r="169" spans="1:11" s="13" customFormat="1" ht="29.25" thickBot="1" x14ac:dyDescent="0.3">
      <c r="A169" s="19" t="s">
        <v>47</v>
      </c>
      <c r="B169" s="10"/>
      <c r="C169" s="14">
        <v>46222</v>
      </c>
      <c r="D169" s="11"/>
      <c r="E169" s="11"/>
      <c r="F169" s="12">
        <f t="shared" si="4"/>
        <v>0</v>
      </c>
      <c r="G169" s="20"/>
      <c r="H169" s="20"/>
      <c r="I169" s="9"/>
      <c r="J169" s="9"/>
      <c r="K169" s="9"/>
    </row>
    <row r="170" spans="1:11" s="13" customFormat="1" ht="29.25" thickBot="1" x14ac:dyDescent="0.3">
      <c r="A170" s="19" t="s">
        <v>47</v>
      </c>
      <c r="B170" s="10"/>
      <c r="C170" s="14">
        <v>46222</v>
      </c>
      <c r="D170" s="11"/>
      <c r="E170" s="11"/>
      <c r="F170" s="12">
        <f t="shared" si="4"/>
        <v>0</v>
      </c>
      <c r="G170" s="20"/>
      <c r="H170" s="20"/>
      <c r="I170" s="9"/>
      <c r="J170" s="9"/>
      <c r="K170" s="9"/>
    </row>
    <row r="171" spans="1:11" s="13" customFormat="1" ht="29.25" thickBot="1" x14ac:dyDescent="0.3">
      <c r="A171" s="19" t="s">
        <v>47</v>
      </c>
      <c r="B171" s="10"/>
      <c r="C171" s="14">
        <v>46222</v>
      </c>
      <c r="D171" s="11"/>
      <c r="E171" s="11"/>
      <c r="F171" s="12">
        <f t="shared" si="4"/>
        <v>0</v>
      </c>
      <c r="G171" s="20"/>
      <c r="H171" s="20"/>
      <c r="I171" s="9"/>
      <c r="J171" s="9"/>
      <c r="K171" s="9"/>
    </row>
    <row r="172" spans="1:11" s="13" customFormat="1" ht="29.25" thickBot="1" x14ac:dyDescent="0.3">
      <c r="A172" s="19" t="s">
        <v>47</v>
      </c>
      <c r="B172" s="10"/>
      <c r="C172" s="14">
        <v>46222</v>
      </c>
      <c r="D172" s="11"/>
      <c r="E172" s="11"/>
      <c r="F172" s="12">
        <f t="shared" si="4"/>
        <v>0</v>
      </c>
      <c r="G172" s="20"/>
      <c r="H172" s="20"/>
      <c r="I172" s="9"/>
      <c r="J172" s="9"/>
      <c r="K172" s="9"/>
    </row>
    <row r="173" spans="1:11" s="13" customFormat="1" ht="29.25" thickBot="1" x14ac:dyDescent="0.3">
      <c r="A173" s="19" t="s">
        <v>47</v>
      </c>
      <c r="B173" s="10"/>
      <c r="C173" s="14">
        <v>46223</v>
      </c>
      <c r="D173" s="11"/>
      <c r="E173" s="11"/>
      <c r="F173" s="12">
        <f t="shared" si="4"/>
        <v>0</v>
      </c>
      <c r="G173" s="20"/>
      <c r="H173" s="20"/>
      <c r="I173" s="9"/>
      <c r="J173" s="9"/>
      <c r="K173" s="9"/>
    </row>
    <row r="174" spans="1:11" s="13" customFormat="1" ht="29.25" thickBot="1" x14ac:dyDescent="0.3">
      <c r="A174" s="19" t="s">
        <v>47</v>
      </c>
      <c r="B174" s="10"/>
      <c r="C174" s="14">
        <v>46223</v>
      </c>
      <c r="D174" s="11"/>
      <c r="E174" s="11"/>
      <c r="F174" s="12">
        <f t="shared" si="4"/>
        <v>0</v>
      </c>
      <c r="G174" s="20"/>
      <c r="H174" s="20"/>
      <c r="I174" s="9"/>
      <c r="J174" s="9"/>
      <c r="K174" s="9"/>
    </row>
    <row r="175" spans="1:11" s="13" customFormat="1" ht="29.25" thickBot="1" x14ac:dyDescent="0.3">
      <c r="A175" s="19" t="s">
        <v>47</v>
      </c>
      <c r="B175" s="10"/>
      <c r="C175" s="14">
        <v>46223</v>
      </c>
      <c r="D175" s="11"/>
      <c r="E175" s="11"/>
      <c r="F175" s="12">
        <f t="shared" si="4"/>
        <v>0</v>
      </c>
      <c r="G175" s="20"/>
      <c r="H175" s="20"/>
      <c r="I175" s="9"/>
      <c r="J175" s="9"/>
      <c r="K175" s="9"/>
    </row>
    <row r="176" spans="1:11" s="13" customFormat="1" ht="29.25" thickBot="1" x14ac:dyDescent="0.3">
      <c r="A176" s="19" t="s">
        <v>47</v>
      </c>
      <c r="B176" s="10"/>
      <c r="C176" s="14">
        <v>46223</v>
      </c>
      <c r="D176" s="11"/>
      <c r="E176" s="11"/>
      <c r="F176" s="12">
        <f t="shared" si="4"/>
        <v>0</v>
      </c>
      <c r="G176" s="20"/>
      <c r="H176" s="20"/>
      <c r="I176" s="9"/>
      <c r="J176" s="9"/>
      <c r="K176" s="9"/>
    </row>
    <row r="177" spans="1:11" s="13" customFormat="1" ht="29.25" thickBot="1" x14ac:dyDescent="0.3">
      <c r="A177" s="19" t="s">
        <v>47</v>
      </c>
      <c r="B177" s="10"/>
      <c r="C177" s="14">
        <v>46223</v>
      </c>
      <c r="D177" s="11"/>
      <c r="E177" s="11"/>
      <c r="F177" s="12">
        <f t="shared" si="4"/>
        <v>0</v>
      </c>
      <c r="G177" s="20"/>
      <c r="H177" s="20"/>
      <c r="I177" s="9"/>
      <c r="J177" s="9"/>
      <c r="K177" s="9"/>
    </row>
    <row r="178" spans="1:11" s="13" customFormat="1" ht="29.25" thickBot="1" x14ac:dyDescent="0.3">
      <c r="A178" s="19" t="s">
        <v>47</v>
      </c>
      <c r="B178" s="10"/>
      <c r="C178" s="14">
        <v>46223</v>
      </c>
      <c r="D178" s="11"/>
      <c r="E178" s="11"/>
      <c r="F178" s="12">
        <f t="shared" si="4"/>
        <v>0</v>
      </c>
      <c r="G178" s="20"/>
      <c r="H178" s="20"/>
      <c r="I178" s="9"/>
      <c r="J178" s="9"/>
      <c r="K178" s="9"/>
    </row>
    <row r="179" spans="1:11" s="13" customFormat="1" ht="29.25" thickBot="1" x14ac:dyDescent="0.3">
      <c r="A179" s="19" t="s">
        <v>47</v>
      </c>
      <c r="B179" s="10"/>
      <c r="C179" s="14">
        <v>46223</v>
      </c>
      <c r="D179" s="11"/>
      <c r="E179" s="11"/>
      <c r="F179" s="12">
        <f t="shared" si="4"/>
        <v>0</v>
      </c>
      <c r="G179" s="20"/>
      <c r="H179" s="20"/>
      <c r="I179" s="9"/>
      <c r="J179" s="9"/>
      <c r="K179" s="9"/>
    </row>
    <row r="180" spans="1:11" s="13" customFormat="1" ht="29.25" thickBot="1" x14ac:dyDescent="0.3">
      <c r="A180" s="19" t="s">
        <v>47</v>
      </c>
      <c r="B180" s="10"/>
      <c r="C180" s="14">
        <v>46223</v>
      </c>
      <c r="D180" s="11"/>
      <c r="E180" s="11"/>
      <c r="F180" s="12">
        <f t="shared" si="4"/>
        <v>0</v>
      </c>
      <c r="G180" s="20"/>
      <c r="H180" s="20"/>
      <c r="I180" s="9"/>
      <c r="J180" s="9"/>
      <c r="K180" s="9"/>
    </row>
    <row r="181" spans="1:11" s="13" customFormat="1" ht="29.25" thickBot="1" x14ac:dyDescent="0.3">
      <c r="A181" s="19" t="s">
        <v>47</v>
      </c>
      <c r="B181" s="10"/>
      <c r="C181" s="14">
        <v>46223</v>
      </c>
      <c r="D181" s="11"/>
      <c r="E181" s="11"/>
      <c r="F181" s="12">
        <f t="shared" si="4"/>
        <v>0</v>
      </c>
      <c r="G181" s="20"/>
      <c r="H181" s="20"/>
      <c r="I181" s="9"/>
      <c r="J181" s="9"/>
      <c r="K181" s="9"/>
    </row>
    <row r="182" spans="1:11" s="13" customFormat="1" ht="29.25" thickBot="1" x14ac:dyDescent="0.3">
      <c r="A182" s="19" t="s">
        <v>47</v>
      </c>
      <c r="B182" s="10"/>
      <c r="C182" s="14">
        <v>46224</v>
      </c>
      <c r="D182" s="11"/>
      <c r="E182" s="11"/>
      <c r="F182" s="12">
        <f t="shared" si="4"/>
        <v>0</v>
      </c>
      <c r="G182" s="20"/>
      <c r="H182" s="20"/>
      <c r="I182" s="9"/>
      <c r="J182" s="9"/>
      <c r="K182" s="9"/>
    </row>
    <row r="183" spans="1:11" s="13" customFormat="1" ht="29.25" thickBot="1" x14ac:dyDescent="0.3">
      <c r="A183" s="19" t="s">
        <v>47</v>
      </c>
      <c r="B183" s="10"/>
      <c r="C183" s="14">
        <v>46224</v>
      </c>
      <c r="D183" s="11"/>
      <c r="E183" s="11"/>
      <c r="F183" s="12">
        <f t="shared" si="4"/>
        <v>0</v>
      </c>
      <c r="G183" s="20"/>
      <c r="H183" s="20"/>
      <c r="I183" s="9"/>
      <c r="J183" s="9"/>
      <c r="K183" s="9"/>
    </row>
    <row r="184" spans="1:11" s="13" customFormat="1" ht="29.25" thickBot="1" x14ac:dyDescent="0.3">
      <c r="A184" s="19" t="s">
        <v>47</v>
      </c>
      <c r="B184" s="10"/>
      <c r="C184" s="14">
        <v>46224</v>
      </c>
      <c r="D184" s="11"/>
      <c r="E184" s="11"/>
      <c r="F184" s="12">
        <f t="shared" si="4"/>
        <v>0</v>
      </c>
      <c r="G184" s="20"/>
      <c r="H184" s="20"/>
      <c r="I184" s="9"/>
      <c r="J184" s="9"/>
      <c r="K184" s="9"/>
    </row>
    <row r="185" spans="1:11" s="13" customFormat="1" ht="29.25" thickBot="1" x14ac:dyDescent="0.3">
      <c r="A185" s="19" t="s">
        <v>47</v>
      </c>
      <c r="B185" s="10"/>
      <c r="C185" s="14">
        <v>46224</v>
      </c>
      <c r="D185" s="11"/>
      <c r="E185" s="11"/>
      <c r="F185" s="12">
        <f t="shared" si="4"/>
        <v>0</v>
      </c>
      <c r="G185" s="20"/>
      <c r="H185" s="20"/>
      <c r="I185" s="9"/>
      <c r="J185" s="9"/>
      <c r="K185" s="9"/>
    </row>
    <row r="186" spans="1:11" s="13" customFormat="1" ht="29.25" thickBot="1" x14ac:dyDescent="0.3">
      <c r="A186" s="19" t="s">
        <v>47</v>
      </c>
      <c r="B186" s="10"/>
      <c r="C186" s="14">
        <v>46224</v>
      </c>
      <c r="D186" s="11"/>
      <c r="E186" s="11"/>
      <c r="F186" s="12">
        <f t="shared" si="4"/>
        <v>0</v>
      </c>
      <c r="G186" s="20"/>
      <c r="H186" s="20"/>
      <c r="I186" s="9"/>
      <c r="J186" s="9"/>
      <c r="K186" s="9"/>
    </row>
    <row r="187" spans="1:11" s="13" customFormat="1" ht="29.25" thickBot="1" x14ac:dyDescent="0.3">
      <c r="A187" s="19" t="s">
        <v>47</v>
      </c>
      <c r="B187" s="10"/>
      <c r="C187" s="14">
        <v>46224</v>
      </c>
      <c r="D187" s="11"/>
      <c r="E187" s="11"/>
      <c r="F187" s="12">
        <f t="shared" si="4"/>
        <v>0</v>
      </c>
      <c r="G187" s="20"/>
      <c r="H187" s="20"/>
      <c r="I187" s="9"/>
      <c r="J187" s="9"/>
      <c r="K187" s="9"/>
    </row>
    <row r="188" spans="1:11" s="13" customFormat="1" ht="29.25" thickBot="1" x14ac:dyDescent="0.3">
      <c r="A188" s="19" t="s">
        <v>47</v>
      </c>
      <c r="B188" s="10"/>
      <c r="C188" s="14">
        <v>46224</v>
      </c>
      <c r="D188" s="11"/>
      <c r="E188" s="11"/>
      <c r="F188" s="12">
        <f t="shared" si="4"/>
        <v>0</v>
      </c>
      <c r="G188" s="20"/>
      <c r="H188" s="20"/>
      <c r="I188" s="9"/>
      <c r="J188" s="9"/>
      <c r="K188" s="9"/>
    </row>
    <row r="189" spans="1:11" s="13" customFormat="1" ht="29.25" thickBot="1" x14ac:dyDescent="0.3">
      <c r="A189" s="19" t="s">
        <v>47</v>
      </c>
      <c r="B189" s="10"/>
      <c r="C189" s="14">
        <v>46224</v>
      </c>
      <c r="D189" s="11"/>
      <c r="E189" s="11"/>
      <c r="F189" s="12">
        <f t="shared" si="4"/>
        <v>0</v>
      </c>
      <c r="G189" s="20"/>
      <c r="H189" s="20"/>
      <c r="I189" s="9"/>
      <c r="J189" s="9"/>
      <c r="K189" s="9"/>
    </row>
    <row r="190" spans="1:11" s="13" customFormat="1" ht="29.25" thickBot="1" x14ac:dyDescent="0.3">
      <c r="A190" s="19" t="s">
        <v>47</v>
      </c>
      <c r="B190" s="10"/>
      <c r="C190" s="14">
        <v>46225</v>
      </c>
      <c r="D190" s="11"/>
      <c r="E190" s="11"/>
      <c r="F190" s="12">
        <f t="shared" si="4"/>
        <v>0</v>
      </c>
      <c r="G190" s="20"/>
      <c r="H190" s="20"/>
      <c r="I190" s="9"/>
      <c r="J190" s="9"/>
      <c r="K190" s="9"/>
    </row>
    <row r="191" spans="1:11" s="13" customFormat="1" ht="29.25" thickBot="1" x14ac:dyDescent="0.3">
      <c r="A191" s="19" t="s">
        <v>47</v>
      </c>
      <c r="B191" s="10"/>
      <c r="C191" s="14">
        <v>46225</v>
      </c>
      <c r="D191" s="11"/>
      <c r="E191" s="11"/>
      <c r="F191" s="12">
        <f t="shared" si="4"/>
        <v>0</v>
      </c>
      <c r="G191" s="20"/>
      <c r="H191" s="20"/>
      <c r="I191" s="9"/>
      <c r="J191" s="9"/>
      <c r="K191" s="9"/>
    </row>
    <row r="192" spans="1:11" s="13" customFormat="1" ht="29.25" thickBot="1" x14ac:dyDescent="0.3">
      <c r="A192" s="19" t="s">
        <v>47</v>
      </c>
      <c r="B192" s="10"/>
      <c r="C192" s="14">
        <v>46225</v>
      </c>
      <c r="D192" s="11"/>
      <c r="E192" s="11"/>
      <c r="F192" s="12">
        <f t="shared" si="4"/>
        <v>0</v>
      </c>
      <c r="G192" s="20"/>
      <c r="H192" s="20"/>
      <c r="I192" s="9"/>
      <c r="J192" s="9"/>
      <c r="K192" s="9"/>
    </row>
    <row r="193" spans="1:11" s="13" customFormat="1" ht="29.25" thickBot="1" x14ac:dyDescent="0.3">
      <c r="A193" s="19" t="s">
        <v>47</v>
      </c>
      <c r="B193" s="10"/>
      <c r="C193" s="14">
        <v>46225</v>
      </c>
      <c r="D193" s="11"/>
      <c r="E193" s="11"/>
      <c r="F193" s="12">
        <f t="shared" si="4"/>
        <v>0</v>
      </c>
      <c r="G193" s="20"/>
      <c r="H193" s="20"/>
      <c r="I193" s="9"/>
      <c r="J193" s="9"/>
      <c r="K193" s="9"/>
    </row>
    <row r="194" spans="1:11" s="13" customFormat="1" ht="29.25" thickBot="1" x14ac:dyDescent="0.3">
      <c r="A194" s="19" t="s">
        <v>47</v>
      </c>
      <c r="B194" s="10"/>
      <c r="C194" s="14">
        <v>46225</v>
      </c>
      <c r="D194" s="11"/>
      <c r="E194" s="11"/>
      <c r="F194" s="12">
        <f t="shared" si="4"/>
        <v>0</v>
      </c>
      <c r="G194" s="20"/>
      <c r="H194" s="20"/>
      <c r="I194" s="9"/>
      <c r="J194" s="9"/>
      <c r="K194" s="9"/>
    </row>
    <row r="195" spans="1:11" s="13" customFormat="1" ht="29.25" thickBot="1" x14ac:dyDescent="0.3">
      <c r="A195" s="19" t="s">
        <v>47</v>
      </c>
      <c r="B195" s="10"/>
      <c r="C195" s="14">
        <v>46225</v>
      </c>
      <c r="D195" s="11"/>
      <c r="E195" s="11"/>
      <c r="F195" s="12">
        <f t="shared" si="4"/>
        <v>0</v>
      </c>
      <c r="G195" s="20"/>
      <c r="H195" s="20"/>
      <c r="I195" s="9"/>
      <c r="J195" s="9"/>
      <c r="K195" s="9"/>
    </row>
    <row r="196" spans="1:11" s="13" customFormat="1" ht="29.25" thickBot="1" x14ac:dyDescent="0.3">
      <c r="A196" s="19" t="s">
        <v>47</v>
      </c>
      <c r="B196" s="10"/>
      <c r="C196" s="14">
        <v>46225</v>
      </c>
      <c r="D196" s="11"/>
      <c r="E196" s="11"/>
      <c r="F196" s="12">
        <f t="shared" si="4"/>
        <v>0</v>
      </c>
      <c r="G196" s="20"/>
      <c r="H196" s="20"/>
      <c r="I196" s="9"/>
      <c r="J196" s="9"/>
      <c r="K196" s="9"/>
    </row>
    <row r="197" spans="1:11" s="13" customFormat="1" ht="29.25" thickBot="1" x14ac:dyDescent="0.3">
      <c r="A197" s="19" t="s">
        <v>47</v>
      </c>
      <c r="B197" s="10"/>
      <c r="C197" s="14">
        <v>46225</v>
      </c>
      <c r="D197" s="11"/>
      <c r="E197" s="11"/>
      <c r="F197" s="12">
        <f t="shared" si="4"/>
        <v>0</v>
      </c>
      <c r="G197" s="20"/>
      <c r="H197" s="20"/>
      <c r="I197" s="9"/>
      <c r="J197" s="9"/>
      <c r="K197" s="9"/>
    </row>
    <row r="198" spans="1:11" s="13" customFormat="1" ht="29.25" thickBot="1" x14ac:dyDescent="0.3">
      <c r="A198" s="19" t="s">
        <v>47</v>
      </c>
      <c r="B198" s="10"/>
      <c r="C198" s="14">
        <v>46225</v>
      </c>
      <c r="D198" s="11"/>
      <c r="E198" s="11"/>
      <c r="F198" s="12">
        <f t="shared" ref="F198:F261" si="6">+(E198-D198)*24</f>
        <v>0</v>
      </c>
      <c r="G198" s="20"/>
      <c r="H198" s="20"/>
      <c r="I198" s="9"/>
      <c r="J198" s="9"/>
      <c r="K198" s="9"/>
    </row>
    <row r="199" spans="1:11" s="13" customFormat="1" ht="29.25" thickBot="1" x14ac:dyDescent="0.3">
      <c r="A199" s="19" t="s">
        <v>47</v>
      </c>
      <c r="B199" s="10"/>
      <c r="C199" s="14">
        <v>46226</v>
      </c>
      <c r="D199" s="11"/>
      <c r="E199" s="11"/>
      <c r="F199" s="12">
        <f t="shared" si="6"/>
        <v>0</v>
      </c>
      <c r="G199" s="20"/>
      <c r="H199" s="20"/>
      <c r="I199" s="9"/>
      <c r="J199" s="9"/>
      <c r="K199" s="9"/>
    </row>
    <row r="200" spans="1:11" s="13" customFormat="1" ht="29.25" thickBot="1" x14ac:dyDescent="0.3">
      <c r="A200" s="19" t="s">
        <v>47</v>
      </c>
      <c r="B200" s="10"/>
      <c r="C200" s="14">
        <v>46226</v>
      </c>
      <c r="D200" s="11"/>
      <c r="E200" s="11"/>
      <c r="F200" s="12">
        <f t="shared" si="6"/>
        <v>0</v>
      </c>
      <c r="G200" s="20"/>
      <c r="H200" s="20"/>
      <c r="I200" s="9"/>
      <c r="J200" s="9"/>
      <c r="K200" s="9"/>
    </row>
    <row r="201" spans="1:11" s="13" customFormat="1" ht="29.25" thickBot="1" x14ac:dyDescent="0.3">
      <c r="A201" s="19" t="s">
        <v>47</v>
      </c>
      <c r="B201" s="10"/>
      <c r="C201" s="14">
        <v>46226</v>
      </c>
      <c r="D201" s="11"/>
      <c r="E201" s="11"/>
      <c r="F201" s="12">
        <f t="shared" si="6"/>
        <v>0</v>
      </c>
      <c r="G201" s="20"/>
      <c r="H201" s="20"/>
      <c r="I201" s="9"/>
      <c r="J201" s="9"/>
      <c r="K201" s="9"/>
    </row>
    <row r="202" spans="1:11" s="13" customFormat="1" ht="29.25" thickBot="1" x14ac:dyDescent="0.3">
      <c r="A202" s="19" t="s">
        <v>47</v>
      </c>
      <c r="B202" s="10"/>
      <c r="C202" s="14">
        <v>46226</v>
      </c>
      <c r="D202" s="11"/>
      <c r="E202" s="11"/>
      <c r="F202" s="12">
        <f t="shared" si="6"/>
        <v>0</v>
      </c>
      <c r="G202" s="20"/>
      <c r="H202" s="20"/>
      <c r="I202" s="9"/>
      <c r="J202" s="9"/>
      <c r="K202" s="9"/>
    </row>
    <row r="203" spans="1:11" s="13" customFormat="1" ht="29.25" thickBot="1" x14ac:dyDescent="0.3">
      <c r="A203" s="19" t="s">
        <v>47</v>
      </c>
      <c r="B203" s="10"/>
      <c r="C203" s="14">
        <v>46226</v>
      </c>
      <c r="D203" s="11"/>
      <c r="E203" s="11"/>
      <c r="F203" s="12">
        <f t="shared" si="6"/>
        <v>0</v>
      </c>
      <c r="G203" s="20"/>
      <c r="H203" s="20"/>
      <c r="I203" s="9"/>
      <c r="J203" s="9"/>
      <c r="K203" s="9"/>
    </row>
    <row r="204" spans="1:11" s="13" customFormat="1" ht="29.25" thickBot="1" x14ac:dyDescent="0.3">
      <c r="A204" s="19" t="s">
        <v>47</v>
      </c>
      <c r="B204" s="10"/>
      <c r="C204" s="14">
        <v>46226</v>
      </c>
      <c r="D204" s="11"/>
      <c r="E204" s="11"/>
      <c r="F204" s="12">
        <f t="shared" si="6"/>
        <v>0</v>
      </c>
      <c r="G204" s="20"/>
      <c r="H204" s="20"/>
      <c r="I204" s="9"/>
      <c r="J204" s="9"/>
      <c r="K204" s="9"/>
    </row>
    <row r="205" spans="1:11" s="13" customFormat="1" ht="29.25" thickBot="1" x14ac:dyDescent="0.3">
      <c r="A205" s="19" t="s">
        <v>47</v>
      </c>
      <c r="B205" s="10"/>
      <c r="C205" s="14">
        <v>46226</v>
      </c>
      <c r="D205" s="11"/>
      <c r="E205" s="11"/>
      <c r="F205" s="12">
        <f t="shared" si="6"/>
        <v>0</v>
      </c>
      <c r="G205" s="20"/>
      <c r="H205" s="20"/>
      <c r="I205" s="9"/>
      <c r="J205" s="9"/>
      <c r="K205" s="9"/>
    </row>
    <row r="206" spans="1:11" s="13" customFormat="1" ht="29.25" thickBot="1" x14ac:dyDescent="0.3">
      <c r="A206" s="19" t="s">
        <v>47</v>
      </c>
      <c r="B206" s="10"/>
      <c r="C206" s="14">
        <v>46226</v>
      </c>
      <c r="D206" s="11"/>
      <c r="E206" s="11"/>
      <c r="F206" s="12">
        <f t="shared" si="6"/>
        <v>0</v>
      </c>
      <c r="G206" s="20"/>
      <c r="H206" s="20"/>
      <c r="I206" s="9"/>
      <c r="J206" s="9"/>
      <c r="K206" s="9"/>
    </row>
    <row r="207" spans="1:11" s="13" customFormat="1" ht="29.25" thickBot="1" x14ac:dyDescent="0.3">
      <c r="A207" s="19" t="s">
        <v>47</v>
      </c>
      <c r="B207" s="10"/>
      <c r="C207" s="14">
        <v>46226</v>
      </c>
      <c r="D207" s="11"/>
      <c r="E207" s="11"/>
      <c r="F207" s="12">
        <f t="shared" si="6"/>
        <v>0</v>
      </c>
      <c r="G207" s="20"/>
      <c r="H207" s="20"/>
      <c r="I207" s="9"/>
      <c r="J207" s="9"/>
      <c r="K207" s="9"/>
    </row>
    <row r="208" spans="1:11" s="13" customFormat="1" ht="29.25" thickBot="1" x14ac:dyDescent="0.3">
      <c r="A208" s="19" t="s">
        <v>47</v>
      </c>
      <c r="B208" s="10"/>
      <c r="C208" s="14">
        <v>46227</v>
      </c>
      <c r="D208" s="11"/>
      <c r="E208" s="11"/>
      <c r="F208" s="12">
        <f t="shared" si="6"/>
        <v>0</v>
      </c>
      <c r="G208" s="20"/>
      <c r="H208" s="20"/>
      <c r="I208" s="9"/>
      <c r="J208" s="9"/>
      <c r="K208" s="9"/>
    </row>
    <row r="209" spans="1:11" s="13" customFormat="1" ht="29.25" thickBot="1" x14ac:dyDescent="0.3">
      <c r="A209" s="19" t="s">
        <v>47</v>
      </c>
      <c r="B209" s="10"/>
      <c r="C209" s="14">
        <v>46227</v>
      </c>
      <c r="D209" s="11"/>
      <c r="E209" s="11"/>
      <c r="F209" s="12">
        <f t="shared" si="6"/>
        <v>0</v>
      </c>
      <c r="G209" s="20"/>
      <c r="H209" s="20"/>
      <c r="I209" s="9"/>
      <c r="J209" s="9"/>
      <c r="K209" s="9"/>
    </row>
    <row r="210" spans="1:11" s="13" customFormat="1" ht="29.25" thickBot="1" x14ac:dyDescent="0.3">
      <c r="A210" s="19" t="s">
        <v>47</v>
      </c>
      <c r="B210" s="10"/>
      <c r="C210" s="14">
        <v>46227</v>
      </c>
      <c r="D210" s="11"/>
      <c r="E210" s="11"/>
      <c r="F210" s="12">
        <f t="shared" si="6"/>
        <v>0</v>
      </c>
      <c r="G210" s="20"/>
      <c r="H210" s="20"/>
      <c r="I210" s="9"/>
      <c r="J210" s="9"/>
      <c r="K210" s="9"/>
    </row>
    <row r="211" spans="1:11" s="13" customFormat="1" ht="29.25" thickBot="1" x14ac:dyDescent="0.3">
      <c r="A211" s="19" t="s">
        <v>47</v>
      </c>
      <c r="B211" s="10"/>
      <c r="C211" s="14">
        <v>46227</v>
      </c>
      <c r="D211" s="11"/>
      <c r="E211" s="11"/>
      <c r="F211" s="12">
        <f t="shared" si="6"/>
        <v>0</v>
      </c>
      <c r="G211" s="20"/>
      <c r="H211" s="20"/>
      <c r="I211" s="9"/>
      <c r="J211" s="9"/>
      <c r="K211" s="9"/>
    </row>
    <row r="212" spans="1:11" s="13" customFormat="1" ht="29.25" thickBot="1" x14ac:dyDescent="0.3">
      <c r="A212" s="19" t="s">
        <v>47</v>
      </c>
      <c r="B212" s="10"/>
      <c r="C212" s="14">
        <v>46227</v>
      </c>
      <c r="D212" s="11"/>
      <c r="E212" s="11"/>
      <c r="F212" s="12">
        <f t="shared" si="6"/>
        <v>0</v>
      </c>
      <c r="G212" s="20"/>
      <c r="H212" s="20"/>
      <c r="I212" s="9"/>
      <c r="J212" s="9"/>
      <c r="K212" s="9"/>
    </row>
    <row r="213" spans="1:11" s="13" customFormat="1" ht="29.25" thickBot="1" x14ac:dyDescent="0.3">
      <c r="A213" s="19" t="s">
        <v>47</v>
      </c>
      <c r="B213" s="10"/>
      <c r="C213" s="14">
        <v>46227</v>
      </c>
      <c r="D213" s="11"/>
      <c r="E213" s="11"/>
      <c r="F213" s="12">
        <f t="shared" si="6"/>
        <v>0</v>
      </c>
      <c r="G213" s="20"/>
      <c r="H213" s="20"/>
      <c r="I213" s="9"/>
      <c r="J213" s="9"/>
      <c r="K213" s="9"/>
    </row>
    <row r="214" spans="1:11" s="13" customFormat="1" ht="29.25" thickBot="1" x14ac:dyDescent="0.3">
      <c r="A214" s="19" t="s">
        <v>47</v>
      </c>
      <c r="B214" s="10"/>
      <c r="C214" s="14">
        <v>46227</v>
      </c>
      <c r="D214" s="11"/>
      <c r="E214" s="11"/>
      <c r="F214" s="12">
        <f t="shared" si="6"/>
        <v>0</v>
      </c>
      <c r="G214" s="20"/>
      <c r="H214" s="20"/>
      <c r="I214" s="9"/>
      <c r="J214" s="9"/>
      <c r="K214" s="9"/>
    </row>
    <row r="215" spans="1:11" s="13" customFormat="1" ht="29.25" thickBot="1" x14ac:dyDescent="0.3">
      <c r="A215" s="19" t="s">
        <v>47</v>
      </c>
      <c r="B215" s="10"/>
      <c r="C215" s="14">
        <v>46227</v>
      </c>
      <c r="D215" s="11"/>
      <c r="E215" s="11"/>
      <c r="F215" s="12">
        <f t="shared" si="6"/>
        <v>0</v>
      </c>
      <c r="G215" s="20"/>
      <c r="H215" s="20"/>
      <c r="I215" s="9"/>
      <c r="J215" s="9"/>
      <c r="K215" s="9"/>
    </row>
    <row r="216" spans="1:11" s="13" customFormat="1" ht="29.25" thickBot="1" x14ac:dyDescent="0.3">
      <c r="A216" s="19" t="s">
        <v>47</v>
      </c>
      <c r="B216" s="10"/>
      <c r="C216" s="14">
        <v>46227</v>
      </c>
      <c r="D216" s="11"/>
      <c r="E216" s="11"/>
      <c r="F216" s="12">
        <f t="shared" si="6"/>
        <v>0</v>
      </c>
      <c r="G216" s="20"/>
      <c r="H216" s="20"/>
      <c r="I216" s="9"/>
      <c r="J216" s="9"/>
      <c r="K216" s="9"/>
    </row>
    <row r="217" spans="1:11" s="13" customFormat="1" ht="29.25" thickBot="1" x14ac:dyDescent="0.3">
      <c r="A217" s="19" t="s">
        <v>47</v>
      </c>
      <c r="B217" s="10"/>
      <c r="C217" s="14">
        <v>46228</v>
      </c>
      <c r="D217" s="11">
        <v>0.35416666666666669</v>
      </c>
      <c r="E217" s="11">
        <v>0.6875</v>
      </c>
      <c r="F217" s="12">
        <f>+(E217-D217)*24</f>
        <v>8</v>
      </c>
      <c r="G217" s="20" t="s">
        <v>21</v>
      </c>
      <c r="H217" s="20" t="s">
        <v>30</v>
      </c>
      <c r="I217" s="9"/>
      <c r="J217" s="9" t="s">
        <v>71</v>
      </c>
      <c r="K217" s="9"/>
    </row>
    <row r="218" spans="1:11" s="13" customFormat="1" ht="29.25" thickBot="1" x14ac:dyDescent="0.3">
      <c r="A218" s="19" t="s">
        <v>47</v>
      </c>
      <c r="B218" s="10"/>
      <c r="C218" s="14">
        <v>46228</v>
      </c>
      <c r="D218" s="11"/>
      <c r="E218" s="11"/>
      <c r="F218" s="12"/>
      <c r="G218" s="20"/>
      <c r="H218" s="20"/>
      <c r="I218" s="9"/>
      <c r="J218" s="9"/>
      <c r="K218" s="9"/>
    </row>
    <row r="219" spans="1:11" ht="29.25" thickBot="1" x14ac:dyDescent="0.25">
      <c r="A219" s="19" t="s">
        <v>47</v>
      </c>
      <c r="B219" s="10"/>
      <c r="C219" s="14">
        <v>46228</v>
      </c>
      <c r="D219" s="11"/>
      <c r="E219" s="11"/>
      <c r="F219" s="12">
        <f t="shared" ref="F219:F225" si="7">+(E219-D219)*24</f>
        <v>0</v>
      </c>
      <c r="G219" s="20"/>
      <c r="H219" s="20"/>
      <c r="I219" s="9"/>
      <c r="J219" s="9"/>
      <c r="K219" s="9"/>
    </row>
    <row r="220" spans="1:11" ht="29.25" thickBot="1" x14ac:dyDescent="0.25">
      <c r="A220" s="19" t="s">
        <v>47</v>
      </c>
      <c r="B220" s="10"/>
      <c r="C220" s="14">
        <v>46228</v>
      </c>
      <c r="D220" s="11"/>
      <c r="E220" s="11"/>
      <c r="F220" s="12">
        <f t="shared" si="7"/>
        <v>0</v>
      </c>
      <c r="G220" s="20"/>
      <c r="H220" s="20"/>
      <c r="I220" s="9"/>
      <c r="J220" s="9"/>
      <c r="K220" s="9"/>
    </row>
    <row r="221" spans="1:11" ht="29.25" thickBot="1" x14ac:dyDescent="0.25">
      <c r="A221" s="19" t="s">
        <v>47</v>
      </c>
      <c r="B221" s="10"/>
      <c r="C221" s="14">
        <v>46228</v>
      </c>
      <c r="D221" s="11"/>
      <c r="E221" s="11"/>
      <c r="F221" s="12">
        <f t="shared" si="7"/>
        <v>0</v>
      </c>
      <c r="G221" s="20"/>
      <c r="H221" s="20"/>
      <c r="I221" s="9"/>
      <c r="J221" s="9"/>
      <c r="K221" s="9"/>
    </row>
    <row r="222" spans="1:11" ht="29.25" thickBot="1" x14ac:dyDescent="0.25">
      <c r="A222" s="19" t="s">
        <v>47</v>
      </c>
      <c r="B222" s="10"/>
      <c r="C222" s="14">
        <v>46228</v>
      </c>
      <c r="D222" s="11"/>
      <c r="E222" s="11"/>
      <c r="F222" s="12">
        <f t="shared" si="7"/>
        <v>0</v>
      </c>
      <c r="G222" s="20"/>
      <c r="H222" s="20"/>
      <c r="I222" s="9"/>
      <c r="J222" s="9"/>
      <c r="K222" s="9"/>
    </row>
    <row r="223" spans="1:11" ht="29.25" thickBot="1" x14ac:dyDescent="0.25">
      <c r="A223" s="19" t="s">
        <v>47</v>
      </c>
      <c r="B223" s="10"/>
      <c r="C223" s="14">
        <v>46228</v>
      </c>
      <c r="D223" s="11"/>
      <c r="E223" s="11"/>
      <c r="F223" s="12">
        <f t="shared" si="7"/>
        <v>0</v>
      </c>
      <c r="G223" s="20"/>
      <c r="H223" s="20"/>
      <c r="I223" s="9"/>
      <c r="J223" s="9"/>
      <c r="K223" s="9"/>
    </row>
    <row r="224" spans="1:11" ht="29.25" thickBot="1" x14ac:dyDescent="0.25">
      <c r="A224" s="19" t="s">
        <v>47</v>
      </c>
      <c r="B224" s="10"/>
      <c r="C224" s="14">
        <v>46228</v>
      </c>
      <c r="D224" s="11"/>
      <c r="E224" s="11"/>
      <c r="F224" s="12">
        <f t="shared" si="7"/>
        <v>0</v>
      </c>
      <c r="G224" s="20"/>
      <c r="H224" s="20"/>
      <c r="I224" s="9"/>
      <c r="J224" s="9"/>
      <c r="K224" s="9"/>
    </row>
    <row r="225" spans="1:11" ht="29.25" thickBot="1" x14ac:dyDescent="0.25">
      <c r="A225" s="19" t="s">
        <v>47</v>
      </c>
      <c r="B225" s="10"/>
      <c r="C225" s="14">
        <v>46228</v>
      </c>
      <c r="D225" s="11"/>
      <c r="E225" s="11"/>
      <c r="F225" s="12">
        <f t="shared" si="7"/>
        <v>0</v>
      </c>
      <c r="G225" s="20"/>
      <c r="H225" s="20"/>
      <c r="I225" s="9"/>
      <c r="J225" s="9"/>
      <c r="K225" s="9"/>
    </row>
    <row r="226" spans="1:11" ht="29.25" thickBot="1" x14ac:dyDescent="0.25">
      <c r="A226" s="19" t="s">
        <v>47</v>
      </c>
      <c r="B226" s="10"/>
      <c r="C226" s="14">
        <v>46229</v>
      </c>
      <c r="D226" s="11">
        <v>0.35416666666666669</v>
      </c>
      <c r="E226" s="11">
        <v>0.6875</v>
      </c>
      <c r="F226" s="12">
        <f>+(E226-D226)*24</f>
        <v>8</v>
      </c>
      <c r="G226" s="20" t="s">
        <v>21</v>
      </c>
      <c r="H226" s="20" t="s">
        <v>30</v>
      </c>
      <c r="I226" s="9"/>
      <c r="J226" s="9" t="s">
        <v>71</v>
      </c>
      <c r="K226" s="9"/>
    </row>
    <row r="227" spans="1:11" ht="29.25" thickBot="1" x14ac:dyDescent="0.25">
      <c r="A227" s="19" t="s">
        <v>47</v>
      </c>
      <c r="B227" s="10"/>
      <c r="C227" s="14">
        <v>46229</v>
      </c>
      <c r="D227" s="11"/>
      <c r="E227" s="11"/>
      <c r="F227" s="12">
        <f t="shared" si="6"/>
        <v>0</v>
      </c>
      <c r="G227" s="20"/>
      <c r="H227" s="20"/>
      <c r="I227" s="9"/>
      <c r="J227" s="9"/>
      <c r="K227" s="9"/>
    </row>
    <row r="228" spans="1:11" ht="29.25" thickBot="1" x14ac:dyDescent="0.25">
      <c r="A228" s="19" t="s">
        <v>47</v>
      </c>
      <c r="B228" s="10"/>
      <c r="C228" s="14">
        <v>46229</v>
      </c>
      <c r="D228" s="11"/>
      <c r="E228" s="11"/>
      <c r="F228" s="12">
        <f t="shared" si="6"/>
        <v>0</v>
      </c>
      <c r="G228" s="20"/>
      <c r="H228" s="20"/>
      <c r="I228" s="9"/>
      <c r="J228" s="9"/>
      <c r="K228" s="9"/>
    </row>
    <row r="229" spans="1:11" ht="29.25" thickBot="1" x14ac:dyDescent="0.25">
      <c r="A229" s="19" t="s">
        <v>47</v>
      </c>
      <c r="B229" s="10"/>
      <c r="C229" s="14">
        <v>46229</v>
      </c>
      <c r="D229" s="11"/>
      <c r="E229" s="11"/>
      <c r="F229" s="12">
        <f t="shared" si="6"/>
        <v>0</v>
      </c>
      <c r="G229" s="20"/>
      <c r="H229" s="20"/>
      <c r="I229" s="9"/>
      <c r="J229" s="9"/>
      <c r="K229" s="9"/>
    </row>
    <row r="230" spans="1:11" ht="29.25" thickBot="1" x14ac:dyDescent="0.25">
      <c r="A230" s="19" t="s">
        <v>47</v>
      </c>
      <c r="B230" s="10"/>
      <c r="C230" s="14">
        <v>46229</v>
      </c>
      <c r="D230" s="11"/>
      <c r="E230" s="11"/>
      <c r="F230" s="12">
        <f t="shared" si="6"/>
        <v>0</v>
      </c>
      <c r="G230" s="20"/>
      <c r="H230" s="20"/>
      <c r="I230" s="9"/>
      <c r="J230" s="9"/>
      <c r="K230" s="9"/>
    </row>
    <row r="231" spans="1:11" ht="29.25" thickBot="1" x14ac:dyDescent="0.25">
      <c r="A231" s="19" t="s">
        <v>47</v>
      </c>
      <c r="B231" s="10"/>
      <c r="C231" s="14">
        <v>46229</v>
      </c>
      <c r="D231" s="11"/>
      <c r="E231" s="11"/>
      <c r="F231" s="12">
        <f t="shared" si="6"/>
        <v>0</v>
      </c>
      <c r="G231" s="20"/>
      <c r="H231" s="20"/>
      <c r="I231" s="9"/>
      <c r="J231" s="9"/>
      <c r="K231" s="9"/>
    </row>
    <row r="232" spans="1:11" ht="29.25" thickBot="1" x14ac:dyDescent="0.25">
      <c r="A232" s="19" t="s">
        <v>47</v>
      </c>
      <c r="B232" s="10"/>
      <c r="C232" s="14">
        <v>46229</v>
      </c>
      <c r="D232" s="11"/>
      <c r="E232" s="11"/>
      <c r="F232" s="12">
        <f t="shared" si="6"/>
        <v>0</v>
      </c>
      <c r="G232" s="20"/>
      <c r="H232" s="20"/>
      <c r="I232" s="9"/>
      <c r="J232" s="9"/>
      <c r="K232" s="9"/>
    </row>
    <row r="233" spans="1:11" ht="29.25" thickBot="1" x14ac:dyDescent="0.25">
      <c r="A233" s="19" t="s">
        <v>47</v>
      </c>
      <c r="B233" s="10"/>
      <c r="C233" s="14">
        <v>46229</v>
      </c>
      <c r="D233" s="11"/>
      <c r="E233" s="11"/>
      <c r="F233" s="12">
        <f t="shared" si="6"/>
        <v>0</v>
      </c>
      <c r="G233" s="20"/>
      <c r="H233" s="20"/>
      <c r="I233" s="9"/>
      <c r="J233" s="9"/>
      <c r="K233" s="9"/>
    </row>
    <row r="234" spans="1:11" ht="29.25" thickBot="1" x14ac:dyDescent="0.25">
      <c r="A234" s="19" t="s">
        <v>47</v>
      </c>
      <c r="B234" s="10"/>
      <c r="C234" s="14">
        <v>46229</v>
      </c>
      <c r="D234" s="11"/>
      <c r="E234" s="11"/>
      <c r="F234" s="12">
        <f t="shared" si="6"/>
        <v>0</v>
      </c>
      <c r="G234" s="20"/>
      <c r="H234" s="20"/>
      <c r="I234" s="9"/>
      <c r="J234" s="9"/>
      <c r="K234" s="9"/>
    </row>
    <row r="235" spans="1:11" ht="29.25" thickBot="1" x14ac:dyDescent="0.25">
      <c r="A235" s="19" t="s">
        <v>47</v>
      </c>
      <c r="B235" s="10"/>
      <c r="C235" s="14">
        <v>46230</v>
      </c>
      <c r="D235" s="11"/>
      <c r="E235" s="11"/>
      <c r="F235" s="12">
        <f t="shared" si="6"/>
        <v>0</v>
      </c>
      <c r="G235" s="20"/>
      <c r="H235" s="20"/>
      <c r="I235" s="9"/>
      <c r="J235" s="9"/>
      <c r="K235" s="9"/>
    </row>
    <row r="236" spans="1:11" ht="29.25" thickBot="1" x14ac:dyDescent="0.25">
      <c r="A236" s="19" t="s">
        <v>47</v>
      </c>
      <c r="B236" s="10"/>
      <c r="C236" s="14">
        <v>46230</v>
      </c>
      <c r="D236" s="11"/>
      <c r="E236" s="11"/>
      <c r="F236" s="12">
        <f t="shared" si="6"/>
        <v>0</v>
      </c>
      <c r="G236" s="20"/>
      <c r="H236" s="20"/>
      <c r="I236" s="9"/>
      <c r="J236" s="9"/>
      <c r="K236" s="9"/>
    </row>
    <row r="237" spans="1:11" ht="29.25" thickBot="1" x14ac:dyDescent="0.25">
      <c r="A237" s="19" t="s">
        <v>47</v>
      </c>
      <c r="B237" s="10"/>
      <c r="C237" s="14">
        <v>46230</v>
      </c>
      <c r="D237" s="11"/>
      <c r="E237" s="11"/>
      <c r="F237" s="12">
        <f t="shared" si="6"/>
        <v>0</v>
      </c>
      <c r="G237" s="20"/>
      <c r="H237" s="20"/>
      <c r="I237" s="9"/>
      <c r="J237" s="9"/>
      <c r="K237" s="9"/>
    </row>
    <row r="238" spans="1:11" ht="29.25" thickBot="1" x14ac:dyDescent="0.25">
      <c r="A238" s="19" t="s">
        <v>47</v>
      </c>
      <c r="B238" s="10"/>
      <c r="C238" s="14">
        <v>46230</v>
      </c>
      <c r="D238" s="11"/>
      <c r="E238" s="11"/>
      <c r="F238" s="12">
        <f t="shared" si="6"/>
        <v>0</v>
      </c>
      <c r="G238" s="20"/>
      <c r="H238" s="20"/>
      <c r="I238" s="9"/>
      <c r="J238" s="9"/>
      <c r="K238" s="9"/>
    </row>
    <row r="239" spans="1:11" ht="29.25" thickBot="1" x14ac:dyDescent="0.25">
      <c r="A239" s="19" t="s">
        <v>47</v>
      </c>
      <c r="B239" s="10"/>
      <c r="C239" s="14">
        <v>46230</v>
      </c>
      <c r="D239" s="11"/>
      <c r="E239" s="11"/>
      <c r="F239" s="12">
        <f t="shared" si="6"/>
        <v>0</v>
      </c>
      <c r="G239" s="20"/>
      <c r="H239" s="20"/>
      <c r="I239" s="9"/>
      <c r="J239" s="9"/>
      <c r="K239" s="9"/>
    </row>
    <row r="240" spans="1:11" ht="29.25" thickBot="1" x14ac:dyDescent="0.25">
      <c r="A240" s="19" t="s">
        <v>47</v>
      </c>
      <c r="B240" s="10"/>
      <c r="C240" s="14">
        <v>46230</v>
      </c>
      <c r="D240" s="11"/>
      <c r="E240" s="11"/>
      <c r="F240" s="12">
        <f t="shared" si="6"/>
        <v>0</v>
      </c>
      <c r="G240" s="20"/>
      <c r="H240" s="20"/>
      <c r="I240" s="9"/>
      <c r="J240" s="9"/>
      <c r="K240" s="9"/>
    </row>
    <row r="241" spans="1:11" ht="29.25" thickBot="1" x14ac:dyDescent="0.25">
      <c r="A241" s="19" t="s">
        <v>47</v>
      </c>
      <c r="B241" s="10"/>
      <c r="C241" s="14">
        <v>46230</v>
      </c>
      <c r="D241" s="11"/>
      <c r="E241" s="11"/>
      <c r="F241" s="12">
        <f t="shared" si="6"/>
        <v>0</v>
      </c>
      <c r="G241" s="20"/>
      <c r="H241" s="20"/>
      <c r="I241" s="9"/>
      <c r="J241" s="9"/>
      <c r="K241" s="9"/>
    </row>
    <row r="242" spans="1:11" ht="29.25" thickBot="1" x14ac:dyDescent="0.25">
      <c r="A242" s="19" t="s">
        <v>47</v>
      </c>
      <c r="B242" s="10"/>
      <c r="C242" s="14">
        <v>46230</v>
      </c>
      <c r="D242" s="11"/>
      <c r="E242" s="11"/>
      <c r="F242" s="12">
        <f t="shared" si="6"/>
        <v>0</v>
      </c>
      <c r="G242" s="20"/>
      <c r="H242" s="20"/>
      <c r="I242" s="9"/>
      <c r="J242" s="9"/>
      <c r="K242" s="9"/>
    </row>
    <row r="243" spans="1:11" ht="29.25" thickBot="1" x14ac:dyDescent="0.25">
      <c r="A243" s="19" t="s">
        <v>47</v>
      </c>
      <c r="B243" s="10"/>
      <c r="C243" s="14">
        <v>46230</v>
      </c>
      <c r="D243" s="11"/>
      <c r="E243" s="11"/>
      <c r="F243" s="12">
        <f t="shared" si="6"/>
        <v>0</v>
      </c>
      <c r="G243" s="20"/>
      <c r="H243" s="20"/>
      <c r="I243" s="9"/>
      <c r="J243" s="9"/>
      <c r="K243" s="9"/>
    </row>
    <row r="244" spans="1:11" ht="29.25" thickBot="1" x14ac:dyDescent="0.25">
      <c r="A244" s="19" t="s">
        <v>47</v>
      </c>
      <c r="B244" s="10"/>
      <c r="C244" s="14">
        <v>46231</v>
      </c>
      <c r="D244" s="11"/>
      <c r="E244" s="11"/>
      <c r="F244" s="12">
        <f t="shared" si="6"/>
        <v>0</v>
      </c>
      <c r="G244" s="20"/>
      <c r="H244" s="20"/>
      <c r="I244" s="9"/>
      <c r="J244" s="9"/>
      <c r="K244" s="9"/>
    </row>
    <row r="245" spans="1:11" ht="29.25" thickBot="1" x14ac:dyDescent="0.25">
      <c r="A245" s="19" t="s">
        <v>47</v>
      </c>
      <c r="B245" s="10"/>
      <c r="C245" s="14">
        <v>46231</v>
      </c>
      <c r="D245" s="11"/>
      <c r="E245" s="11"/>
      <c r="F245" s="12">
        <f t="shared" si="6"/>
        <v>0</v>
      </c>
      <c r="G245" s="20"/>
      <c r="H245" s="20"/>
      <c r="I245" s="9"/>
      <c r="J245" s="9"/>
      <c r="K245" s="9"/>
    </row>
    <row r="246" spans="1:11" ht="29.25" thickBot="1" x14ac:dyDescent="0.25">
      <c r="A246" s="19" t="s">
        <v>47</v>
      </c>
      <c r="B246" s="10"/>
      <c r="C246" s="14">
        <v>46231</v>
      </c>
      <c r="D246" s="11"/>
      <c r="E246" s="11"/>
      <c r="F246" s="12">
        <f t="shared" si="6"/>
        <v>0</v>
      </c>
      <c r="G246" s="20"/>
      <c r="H246" s="20"/>
      <c r="I246" s="9"/>
      <c r="J246" s="9"/>
      <c r="K246" s="9"/>
    </row>
    <row r="247" spans="1:11" ht="29.25" thickBot="1" x14ac:dyDescent="0.25">
      <c r="A247" s="19" t="s">
        <v>47</v>
      </c>
      <c r="B247" s="10"/>
      <c r="C247" s="14">
        <v>46231</v>
      </c>
      <c r="D247" s="11"/>
      <c r="E247" s="11"/>
      <c r="F247" s="12">
        <f t="shared" si="6"/>
        <v>0</v>
      </c>
      <c r="G247" s="20"/>
      <c r="H247" s="20"/>
      <c r="I247" s="9"/>
      <c r="J247" s="9"/>
      <c r="K247" s="9"/>
    </row>
    <row r="248" spans="1:11" ht="29.25" thickBot="1" x14ac:dyDescent="0.25">
      <c r="A248" s="19" t="s">
        <v>47</v>
      </c>
      <c r="B248" s="10"/>
      <c r="C248" s="14">
        <v>46231</v>
      </c>
      <c r="D248" s="11"/>
      <c r="E248" s="11"/>
      <c r="F248" s="12">
        <f t="shared" si="6"/>
        <v>0</v>
      </c>
      <c r="G248" s="20"/>
      <c r="H248" s="20"/>
      <c r="I248" s="9"/>
      <c r="J248" s="9"/>
      <c r="K248" s="9"/>
    </row>
    <row r="249" spans="1:11" ht="29.25" thickBot="1" x14ac:dyDescent="0.25">
      <c r="A249" s="19" t="s">
        <v>47</v>
      </c>
      <c r="B249" s="10"/>
      <c r="C249" s="14">
        <v>46231</v>
      </c>
      <c r="D249" s="11"/>
      <c r="E249" s="11"/>
      <c r="F249" s="12">
        <f t="shared" si="6"/>
        <v>0</v>
      </c>
      <c r="G249" s="20"/>
      <c r="H249" s="20"/>
      <c r="I249" s="9"/>
      <c r="J249" s="9"/>
      <c r="K249" s="9"/>
    </row>
    <row r="250" spans="1:11" ht="29.25" thickBot="1" x14ac:dyDescent="0.25">
      <c r="A250" s="19" t="s">
        <v>47</v>
      </c>
      <c r="B250" s="10"/>
      <c r="C250" s="14">
        <v>46231</v>
      </c>
      <c r="D250" s="11"/>
      <c r="E250" s="11"/>
      <c r="F250" s="12">
        <f t="shared" si="6"/>
        <v>0</v>
      </c>
      <c r="G250" s="20"/>
      <c r="H250" s="20"/>
      <c r="I250" s="9"/>
      <c r="J250" s="9"/>
      <c r="K250" s="9"/>
    </row>
    <row r="251" spans="1:11" ht="29.25" thickBot="1" x14ac:dyDescent="0.25">
      <c r="A251" s="19" t="s">
        <v>47</v>
      </c>
      <c r="B251" s="10"/>
      <c r="C251" s="14">
        <v>46231</v>
      </c>
      <c r="D251" s="11"/>
      <c r="E251" s="11"/>
      <c r="F251" s="12">
        <f t="shared" si="6"/>
        <v>0</v>
      </c>
      <c r="G251" s="20"/>
      <c r="H251" s="20"/>
      <c r="I251" s="9"/>
      <c r="J251" s="9"/>
      <c r="K251" s="9"/>
    </row>
    <row r="252" spans="1:11" ht="29.25" thickBot="1" x14ac:dyDescent="0.25">
      <c r="A252" s="19" t="s">
        <v>47</v>
      </c>
      <c r="B252" s="10"/>
      <c r="C252" s="14">
        <v>46231</v>
      </c>
      <c r="D252" s="11"/>
      <c r="E252" s="11"/>
      <c r="F252" s="12">
        <f t="shared" si="6"/>
        <v>0</v>
      </c>
      <c r="G252" s="20"/>
      <c r="H252" s="20"/>
      <c r="I252" s="9"/>
      <c r="J252" s="9"/>
      <c r="K252" s="9"/>
    </row>
    <row r="253" spans="1:11" ht="29.25" thickBot="1" x14ac:dyDescent="0.25">
      <c r="A253" s="19" t="s">
        <v>47</v>
      </c>
      <c r="B253" s="10"/>
      <c r="C253" s="14">
        <v>46232</v>
      </c>
      <c r="D253" s="11"/>
      <c r="E253" s="11"/>
      <c r="F253" s="12">
        <f t="shared" si="6"/>
        <v>0</v>
      </c>
      <c r="G253" s="20"/>
      <c r="H253" s="20"/>
      <c r="I253" s="9"/>
      <c r="J253" s="9"/>
      <c r="K253" s="9"/>
    </row>
    <row r="254" spans="1:11" ht="29.25" thickBot="1" x14ac:dyDescent="0.25">
      <c r="A254" s="19" t="s">
        <v>47</v>
      </c>
      <c r="B254" s="10"/>
      <c r="C254" s="14">
        <v>46232</v>
      </c>
      <c r="D254" s="11"/>
      <c r="E254" s="11"/>
      <c r="F254" s="12">
        <f t="shared" si="6"/>
        <v>0</v>
      </c>
      <c r="G254" s="20"/>
      <c r="H254" s="20"/>
      <c r="I254" s="9"/>
      <c r="J254" s="9"/>
      <c r="K254" s="9"/>
    </row>
    <row r="255" spans="1:11" ht="29.25" thickBot="1" x14ac:dyDescent="0.25">
      <c r="A255" s="19" t="s">
        <v>47</v>
      </c>
      <c r="B255" s="10"/>
      <c r="C255" s="14">
        <v>46232</v>
      </c>
      <c r="D255" s="11"/>
      <c r="E255" s="11"/>
      <c r="F255" s="12">
        <f t="shared" si="6"/>
        <v>0</v>
      </c>
      <c r="G255" s="20"/>
      <c r="H255" s="20"/>
      <c r="I255" s="9"/>
      <c r="J255" s="9"/>
      <c r="K255" s="9"/>
    </row>
    <row r="256" spans="1:11" ht="29.25" thickBot="1" x14ac:dyDescent="0.25">
      <c r="A256" s="19" t="s">
        <v>47</v>
      </c>
      <c r="B256" s="10"/>
      <c r="C256" s="14">
        <v>46232</v>
      </c>
      <c r="D256" s="11"/>
      <c r="E256" s="11"/>
      <c r="F256" s="12">
        <f t="shared" si="6"/>
        <v>0</v>
      </c>
      <c r="G256" s="20"/>
      <c r="H256" s="20"/>
      <c r="I256" s="9"/>
      <c r="J256" s="9"/>
      <c r="K256" s="9"/>
    </row>
    <row r="257" spans="1:11" ht="29.25" thickBot="1" x14ac:dyDescent="0.25">
      <c r="A257" s="19" t="s">
        <v>47</v>
      </c>
      <c r="B257" s="10"/>
      <c r="C257" s="14">
        <v>46232</v>
      </c>
      <c r="D257" s="11"/>
      <c r="E257" s="11"/>
      <c r="F257" s="12">
        <f t="shared" si="6"/>
        <v>0</v>
      </c>
      <c r="G257" s="20"/>
      <c r="H257" s="20"/>
      <c r="I257" s="9"/>
      <c r="J257" s="9"/>
      <c r="K257" s="9"/>
    </row>
    <row r="258" spans="1:11" s="7" customFormat="1" ht="29.25" thickBot="1" x14ac:dyDescent="0.25">
      <c r="A258" s="19" t="s">
        <v>47</v>
      </c>
      <c r="B258" s="10"/>
      <c r="C258" s="14">
        <v>46232</v>
      </c>
      <c r="D258" s="11"/>
      <c r="E258" s="11"/>
      <c r="F258" s="12">
        <f t="shared" si="6"/>
        <v>0</v>
      </c>
      <c r="G258" s="20"/>
      <c r="H258" s="20"/>
      <c r="I258" s="9"/>
      <c r="J258" s="9"/>
      <c r="K258" s="9"/>
    </row>
    <row r="259" spans="1:11" s="7" customFormat="1" ht="29.25" thickBot="1" x14ac:dyDescent="0.25">
      <c r="A259" s="19" t="s">
        <v>47</v>
      </c>
      <c r="B259" s="10"/>
      <c r="C259" s="14">
        <v>46232</v>
      </c>
      <c r="D259" s="11"/>
      <c r="E259" s="11"/>
      <c r="F259" s="12">
        <f t="shared" si="6"/>
        <v>0</v>
      </c>
      <c r="G259" s="20"/>
      <c r="H259" s="20"/>
      <c r="I259" s="9"/>
      <c r="J259" s="9"/>
      <c r="K259" s="9"/>
    </row>
    <row r="260" spans="1:11" s="7" customFormat="1" ht="29.25" thickBot="1" x14ac:dyDescent="0.25">
      <c r="A260" s="19" t="s">
        <v>47</v>
      </c>
      <c r="B260" s="10"/>
      <c r="C260" s="14">
        <v>46232</v>
      </c>
      <c r="D260" s="11"/>
      <c r="E260" s="11"/>
      <c r="F260" s="12">
        <f t="shared" si="6"/>
        <v>0</v>
      </c>
      <c r="G260" s="20"/>
      <c r="H260" s="20"/>
      <c r="I260" s="9"/>
      <c r="J260" s="9"/>
      <c r="K260" s="9"/>
    </row>
    <row r="261" spans="1:11" s="7" customFormat="1" ht="29.25" thickBot="1" x14ac:dyDescent="0.25">
      <c r="A261" s="19" t="s">
        <v>47</v>
      </c>
      <c r="B261" s="10"/>
      <c r="C261" s="14">
        <v>46232</v>
      </c>
      <c r="D261" s="11"/>
      <c r="E261" s="11"/>
      <c r="F261" s="12">
        <f t="shared" si="6"/>
        <v>0</v>
      </c>
      <c r="G261" s="20"/>
      <c r="H261" s="20"/>
      <c r="I261" s="9"/>
      <c r="J261" s="9"/>
      <c r="K261" s="9"/>
    </row>
    <row r="262" spans="1:11" s="7" customFormat="1" ht="29.25" thickBot="1" x14ac:dyDescent="0.25">
      <c r="A262" s="19" t="s">
        <v>47</v>
      </c>
      <c r="B262" s="10"/>
      <c r="C262" s="14">
        <v>46233</v>
      </c>
      <c r="D262" s="11"/>
      <c r="E262" s="11"/>
      <c r="F262" s="12">
        <f t="shared" ref="F262:F298" si="8">+(E262-D262)*24</f>
        <v>0</v>
      </c>
      <c r="G262" s="20"/>
      <c r="H262" s="20"/>
      <c r="I262" s="9"/>
      <c r="J262" s="9"/>
      <c r="K262" s="9"/>
    </row>
    <row r="263" spans="1:11" s="7" customFormat="1" ht="29.25" thickBot="1" x14ac:dyDescent="0.25">
      <c r="A263" s="19" t="s">
        <v>47</v>
      </c>
      <c r="B263" s="10"/>
      <c r="C263" s="14">
        <v>46233</v>
      </c>
      <c r="D263" s="11"/>
      <c r="E263" s="11"/>
      <c r="F263" s="12">
        <f t="shared" si="8"/>
        <v>0</v>
      </c>
      <c r="G263" s="20"/>
      <c r="H263" s="20"/>
      <c r="I263" s="9"/>
      <c r="J263" s="9"/>
      <c r="K263" s="9"/>
    </row>
    <row r="264" spans="1:11" s="7" customFormat="1" ht="29.25" thickBot="1" x14ac:dyDescent="0.25">
      <c r="A264" s="19" t="s">
        <v>47</v>
      </c>
      <c r="B264" s="10"/>
      <c r="C264" s="14">
        <v>46233</v>
      </c>
      <c r="D264" s="11"/>
      <c r="E264" s="11"/>
      <c r="F264" s="12">
        <f t="shared" si="8"/>
        <v>0</v>
      </c>
      <c r="G264" s="20"/>
      <c r="H264" s="20"/>
      <c r="I264" s="9"/>
      <c r="J264" s="9"/>
      <c r="K264" s="9"/>
    </row>
    <row r="265" spans="1:11" s="7" customFormat="1" ht="29.25" thickBot="1" x14ac:dyDescent="0.25">
      <c r="A265" s="19" t="s">
        <v>47</v>
      </c>
      <c r="B265" s="10"/>
      <c r="C265" s="14">
        <v>46233</v>
      </c>
      <c r="D265" s="11"/>
      <c r="E265" s="11"/>
      <c r="F265" s="12">
        <f t="shared" si="8"/>
        <v>0</v>
      </c>
      <c r="G265" s="20"/>
      <c r="H265" s="20"/>
      <c r="I265" s="9"/>
      <c r="J265" s="9"/>
      <c r="K265" s="9"/>
    </row>
    <row r="266" spans="1:11" s="7" customFormat="1" ht="29.25" thickBot="1" x14ac:dyDescent="0.25">
      <c r="A266" s="19" t="s">
        <v>47</v>
      </c>
      <c r="B266" s="10"/>
      <c r="C266" s="14">
        <v>46233</v>
      </c>
      <c r="D266" s="11"/>
      <c r="E266" s="11"/>
      <c r="F266" s="12">
        <f t="shared" si="8"/>
        <v>0</v>
      </c>
      <c r="G266" s="20"/>
      <c r="H266" s="20"/>
      <c r="I266" s="9"/>
      <c r="J266" s="9"/>
      <c r="K266" s="9"/>
    </row>
    <row r="267" spans="1:11" s="7" customFormat="1" ht="29.25" thickBot="1" x14ac:dyDescent="0.25">
      <c r="A267" s="19" t="s">
        <v>47</v>
      </c>
      <c r="B267" s="10"/>
      <c r="C267" s="14">
        <v>46233</v>
      </c>
      <c r="D267" s="11"/>
      <c r="E267" s="11"/>
      <c r="F267" s="12">
        <f t="shared" si="8"/>
        <v>0</v>
      </c>
      <c r="G267" s="20"/>
      <c r="H267" s="20"/>
      <c r="I267" s="9"/>
      <c r="J267" s="9"/>
      <c r="K267" s="9"/>
    </row>
    <row r="268" spans="1:11" s="7" customFormat="1" ht="29.25" thickBot="1" x14ac:dyDescent="0.25">
      <c r="A268" s="19" t="s">
        <v>47</v>
      </c>
      <c r="B268" s="10"/>
      <c r="C268" s="14">
        <v>46233</v>
      </c>
      <c r="D268" s="11"/>
      <c r="E268" s="11"/>
      <c r="F268" s="12">
        <f t="shared" si="8"/>
        <v>0</v>
      </c>
      <c r="G268" s="20"/>
      <c r="H268" s="20"/>
      <c r="I268" s="9"/>
      <c r="J268" s="9"/>
      <c r="K268" s="9"/>
    </row>
    <row r="269" spans="1:11" s="7" customFormat="1" ht="29.25" thickBot="1" x14ac:dyDescent="0.25">
      <c r="A269" s="19" t="s">
        <v>47</v>
      </c>
      <c r="B269" s="10"/>
      <c r="C269" s="14">
        <v>46233</v>
      </c>
      <c r="D269" s="11"/>
      <c r="E269" s="11"/>
      <c r="F269" s="12">
        <f t="shared" si="8"/>
        <v>0</v>
      </c>
      <c r="G269" s="20"/>
      <c r="H269" s="20"/>
      <c r="I269" s="9"/>
      <c r="J269" s="9"/>
      <c r="K269" s="9"/>
    </row>
    <row r="270" spans="1:11" s="7" customFormat="1" ht="29.25" thickBot="1" x14ac:dyDescent="0.25">
      <c r="A270" s="19" t="s">
        <v>47</v>
      </c>
      <c r="B270" s="10"/>
      <c r="C270" s="14">
        <v>46233</v>
      </c>
      <c r="D270" s="11"/>
      <c r="E270" s="11"/>
      <c r="F270" s="12">
        <f t="shared" si="8"/>
        <v>0</v>
      </c>
      <c r="G270" s="20"/>
      <c r="H270" s="20"/>
      <c r="I270" s="9"/>
      <c r="J270" s="9"/>
      <c r="K270" s="9"/>
    </row>
    <row r="271" spans="1:11" s="7" customFormat="1" ht="29.25" thickBot="1" x14ac:dyDescent="0.25">
      <c r="A271" s="19" t="s">
        <v>47</v>
      </c>
      <c r="B271" s="10"/>
      <c r="C271" s="14">
        <v>46234</v>
      </c>
      <c r="D271" s="11"/>
      <c r="E271" s="11"/>
      <c r="F271" s="12">
        <f t="shared" si="8"/>
        <v>0</v>
      </c>
      <c r="G271" s="20"/>
      <c r="H271" s="20"/>
      <c r="I271" s="9"/>
      <c r="J271" s="9"/>
      <c r="K271" s="9"/>
    </row>
    <row r="272" spans="1:11" s="7" customFormat="1" ht="29.25" thickBot="1" x14ac:dyDescent="0.25">
      <c r="A272" s="19" t="s">
        <v>47</v>
      </c>
      <c r="B272" s="10"/>
      <c r="C272" s="14">
        <v>46234</v>
      </c>
      <c r="D272" s="11"/>
      <c r="E272" s="11"/>
      <c r="F272" s="12">
        <f t="shared" si="8"/>
        <v>0</v>
      </c>
      <c r="G272" s="20"/>
      <c r="H272" s="20"/>
      <c r="I272" s="9"/>
      <c r="J272" s="9"/>
      <c r="K272" s="9"/>
    </row>
    <row r="273" spans="1:11" s="7" customFormat="1" ht="29.25" thickBot="1" x14ac:dyDescent="0.25">
      <c r="A273" s="19" t="s">
        <v>47</v>
      </c>
      <c r="B273" s="10"/>
      <c r="C273" s="14">
        <v>46234</v>
      </c>
      <c r="D273" s="11"/>
      <c r="E273" s="11"/>
      <c r="F273" s="12">
        <f t="shared" si="8"/>
        <v>0</v>
      </c>
      <c r="G273" s="20"/>
      <c r="H273" s="20"/>
      <c r="I273" s="9"/>
      <c r="J273" s="9"/>
      <c r="K273" s="9"/>
    </row>
    <row r="274" spans="1:11" s="7" customFormat="1" ht="29.25" thickBot="1" x14ac:dyDescent="0.25">
      <c r="A274" s="19" t="s">
        <v>47</v>
      </c>
      <c r="B274" s="10"/>
      <c r="C274" s="14">
        <v>46234</v>
      </c>
      <c r="D274" s="11"/>
      <c r="E274" s="11"/>
      <c r="F274" s="12">
        <f t="shared" si="8"/>
        <v>0</v>
      </c>
      <c r="G274" s="20"/>
      <c r="H274" s="20"/>
      <c r="I274" s="9"/>
      <c r="J274" s="9"/>
      <c r="K274" s="9"/>
    </row>
    <row r="275" spans="1:11" s="7" customFormat="1" ht="29.25" thickBot="1" x14ac:dyDescent="0.25">
      <c r="A275" s="19" t="s">
        <v>47</v>
      </c>
      <c r="B275" s="10"/>
      <c r="C275" s="14">
        <v>46234</v>
      </c>
      <c r="D275" s="11"/>
      <c r="E275" s="11"/>
      <c r="F275" s="12">
        <f t="shared" si="8"/>
        <v>0</v>
      </c>
      <c r="G275" s="20"/>
      <c r="H275" s="20"/>
      <c r="I275" s="9"/>
      <c r="J275" s="9"/>
      <c r="K275" s="9"/>
    </row>
    <row r="276" spans="1:11" s="7" customFormat="1" ht="29.25" thickBot="1" x14ac:dyDescent="0.25">
      <c r="A276" s="19" t="s">
        <v>47</v>
      </c>
      <c r="B276" s="10"/>
      <c r="C276" s="14">
        <v>46234</v>
      </c>
      <c r="D276" s="11"/>
      <c r="E276" s="11"/>
      <c r="F276" s="12">
        <f t="shared" si="8"/>
        <v>0</v>
      </c>
      <c r="G276" s="20"/>
      <c r="H276" s="20"/>
      <c r="I276" s="9"/>
      <c r="J276" s="9"/>
      <c r="K276" s="9"/>
    </row>
    <row r="277" spans="1:11" s="7" customFormat="1" ht="29.25" thickBot="1" x14ac:dyDescent="0.25">
      <c r="A277" s="19" t="s">
        <v>47</v>
      </c>
      <c r="B277" s="10"/>
      <c r="C277" s="14">
        <v>46234</v>
      </c>
      <c r="D277" s="11"/>
      <c r="E277" s="11"/>
      <c r="F277" s="12">
        <f t="shared" si="8"/>
        <v>0</v>
      </c>
      <c r="G277" s="20"/>
      <c r="H277" s="20"/>
      <c r="I277" s="9"/>
      <c r="J277" s="9"/>
      <c r="K277" s="9"/>
    </row>
    <row r="278" spans="1:11" s="7" customFormat="1" ht="29.25" thickBot="1" x14ac:dyDescent="0.25">
      <c r="A278" s="19" t="s">
        <v>47</v>
      </c>
      <c r="B278" s="10"/>
      <c r="C278" s="14">
        <v>46234</v>
      </c>
      <c r="D278" s="11"/>
      <c r="E278" s="11"/>
      <c r="F278" s="12">
        <f t="shared" si="8"/>
        <v>0</v>
      </c>
      <c r="G278" s="20"/>
      <c r="H278" s="20"/>
      <c r="I278" s="9"/>
      <c r="J278" s="9"/>
      <c r="K278" s="9"/>
    </row>
    <row r="279" spans="1:11" s="7" customFormat="1" ht="29.25" thickBot="1" x14ac:dyDescent="0.25">
      <c r="A279" s="19" t="s">
        <v>47</v>
      </c>
      <c r="B279" s="10"/>
      <c r="C279" s="14">
        <v>46234</v>
      </c>
      <c r="D279" s="11"/>
      <c r="E279" s="11"/>
      <c r="F279" s="12">
        <f t="shared" si="8"/>
        <v>0</v>
      </c>
      <c r="G279" s="20"/>
      <c r="H279" s="20"/>
      <c r="I279" s="9"/>
      <c r="J279" s="9"/>
      <c r="K279" s="9"/>
    </row>
    <row r="280" spans="1:11" s="7" customFormat="1" ht="29.25" thickBot="1" x14ac:dyDescent="0.25">
      <c r="A280" s="19" t="s">
        <v>47</v>
      </c>
      <c r="B280" s="10"/>
      <c r="C280" s="14"/>
      <c r="D280" s="11"/>
      <c r="E280" s="11"/>
      <c r="F280" s="12">
        <f t="shared" si="8"/>
        <v>0</v>
      </c>
      <c r="G280" s="20"/>
      <c r="H280" s="20"/>
      <c r="I280" s="9"/>
      <c r="J280" s="9"/>
      <c r="K280" s="9"/>
    </row>
    <row r="281" spans="1:11" s="7" customFormat="1" ht="29.25" thickBot="1" x14ac:dyDescent="0.25">
      <c r="A281" s="19" t="s">
        <v>47</v>
      </c>
      <c r="B281" s="10"/>
      <c r="C281" s="14"/>
      <c r="D281" s="11"/>
      <c r="E281" s="11"/>
      <c r="F281" s="12">
        <f t="shared" si="8"/>
        <v>0</v>
      </c>
      <c r="G281" s="20"/>
      <c r="H281" s="20"/>
      <c r="I281" s="9"/>
      <c r="J281" s="9"/>
      <c r="K281" s="9"/>
    </row>
    <row r="282" spans="1:11" s="7" customFormat="1" ht="29.25" thickBot="1" x14ac:dyDescent="0.25">
      <c r="A282" s="19" t="s">
        <v>47</v>
      </c>
      <c r="B282" s="10"/>
      <c r="C282" s="14"/>
      <c r="D282" s="11"/>
      <c r="E282" s="11"/>
      <c r="F282" s="12">
        <f t="shared" si="8"/>
        <v>0</v>
      </c>
      <c r="G282" s="20"/>
      <c r="H282" s="20"/>
      <c r="I282" s="9"/>
      <c r="J282" s="9"/>
      <c r="K282" s="9"/>
    </row>
    <row r="283" spans="1:11" s="7" customFormat="1" ht="29.25" thickBot="1" x14ac:dyDescent="0.25">
      <c r="A283" s="19" t="s">
        <v>47</v>
      </c>
      <c r="B283" s="10"/>
      <c r="C283" s="14"/>
      <c r="D283" s="11"/>
      <c r="E283" s="11"/>
      <c r="F283" s="12">
        <f t="shared" si="8"/>
        <v>0</v>
      </c>
      <c r="G283" s="20"/>
      <c r="H283" s="20"/>
      <c r="I283" s="9"/>
      <c r="J283" s="9"/>
      <c r="K283" s="9"/>
    </row>
    <row r="284" spans="1:11" s="7" customFormat="1" ht="29.25" thickBot="1" x14ac:dyDescent="0.25">
      <c r="A284" s="19" t="s">
        <v>47</v>
      </c>
      <c r="B284" s="10"/>
      <c r="C284" s="14"/>
      <c r="D284" s="11"/>
      <c r="E284" s="11"/>
      <c r="F284" s="12">
        <f t="shared" si="8"/>
        <v>0</v>
      </c>
      <c r="G284" s="20"/>
      <c r="H284" s="20"/>
      <c r="I284" s="9"/>
      <c r="J284" s="9"/>
      <c r="K284" s="9"/>
    </row>
    <row r="285" spans="1:11" s="7" customFormat="1" ht="29.25" thickBot="1" x14ac:dyDescent="0.25">
      <c r="A285" s="19" t="s">
        <v>47</v>
      </c>
      <c r="B285" s="10"/>
      <c r="C285" s="14"/>
      <c r="D285" s="11"/>
      <c r="E285" s="11"/>
      <c r="F285" s="12">
        <f t="shared" si="8"/>
        <v>0</v>
      </c>
      <c r="G285" s="20"/>
      <c r="H285" s="20"/>
      <c r="I285" s="9"/>
      <c r="J285" s="9"/>
      <c r="K285" s="9"/>
    </row>
    <row r="286" spans="1:11" s="7" customFormat="1" ht="29.25" thickBot="1" x14ac:dyDescent="0.25">
      <c r="A286" s="19" t="s">
        <v>47</v>
      </c>
      <c r="B286" s="10"/>
      <c r="C286" s="14"/>
      <c r="D286" s="11"/>
      <c r="E286" s="11"/>
      <c r="F286" s="12">
        <f t="shared" si="8"/>
        <v>0</v>
      </c>
      <c r="G286" s="20"/>
      <c r="H286" s="20"/>
      <c r="I286" s="9"/>
      <c r="J286" s="9"/>
      <c r="K286" s="9"/>
    </row>
    <row r="287" spans="1:11" s="7" customFormat="1" ht="29.25" thickBot="1" x14ac:dyDescent="0.25">
      <c r="A287" s="19" t="s">
        <v>47</v>
      </c>
      <c r="B287" s="10"/>
      <c r="C287" s="14"/>
      <c r="D287" s="11"/>
      <c r="E287" s="11"/>
      <c r="F287" s="12">
        <f t="shared" si="8"/>
        <v>0</v>
      </c>
      <c r="G287" s="20"/>
      <c r="H287" s="20"/>
      <c r="I287" s="9"/>
      <c r="J287" s="9"/>
      <c r="K287" s="9"/>
    </row>
    <row r="288" spans="1:11" s="7" customFormat="1" ht="29.25" thickBot="1" x14ac:dyDescent="0.25">
      <c r="A288" s="19" t="s">
        <v>47</v>
      </c>
      <c r="B288" s="10"/>
      <c r="C288" s="14"/>
      <c r="D288" s="11"/>
      <c r="E288" s="11"/>
      <c r="F288" s="12">
        <f t="shared" si="8"/>
        <v>0</v>
      </c>
      <c r="G288" s="20"/>
      <c r="H288" s="20"/>
      <c r="I288" s="9"/>
      <c r="J288" s="9"/>
      <c r="K288" s="9"/>
    </row>
    <row r="289" spans="1:11" s="7" customFormat="1" ht="29.25" thickBot="1" x14ac:dyDescent="0.25">
      <c r="A289" s="19" t="s">
        <v>47</v>
      </c>
      <c r="B289" s="10"/>
      <c r="C289" s="14"/>
      <c r="D289" s="11"/>
      <c r="E289" s="11"/>
      <c r="F289" s="12">
        <f t="shared" si="8"/>
        <v>0</v>
      </c>
      <c r="G289" s="20"/>
      <c r="H289" s="20"/>
      <c r="I289" s="9"/>
      <c r="J289" s="9"/>
      <c r="K289" s="9"/>
    </row>
    <row r="290" spans="1:11" s="7" customFormat="1" ht="29.25" thickBot="1" x14ac:dyDescent="0.25">
      <c r="A290" s="19" t="s">
        <v>47</v>
      </c>
      <c r="B290" s="10"/>
      <c r="C290" s="14"/>
      <c r="D290" s="11"/>
      <c r="E290" s="11"/>
      <c r="F290" s="12">
        <f t="shared" si="8"/>
        <v>0</v>
      </c>
      <c r="G290" s="20"/>
      <c r="H290" s="20"/>
      <c r="I290" s="9"/>
      <c r="J290" s="9"/>
      <c r="K290" s="9"/>
    </row>
    <row r="291" spans="1:11" s="7" customFormat="1" ht="29.25" thickBot="1" x14ac:dyDescent="0.25">
      <c r="A291" s="19" t="s">
        <v>47</v>
      </c>
      <c r="B291" s="10"/>
      <c r="C291" s="14"/>
      <c r="D291" s="11"/>
      <c r="E291" s="11"/>
      <c r="F291" s="12">
        <f t="shared" si="8"/>
        <v>0</v>
      </c>
      <c r="G291" s="20"/>
      <c r="H291" s="20"/>
      <c r="I291" s="9"/>
      <c r="J291" s="9"/>
      <c r="K291" s="9"/>
    </row>
    <row r="292" spans="1:11" s="7" customFormat="1" ht="29.25" thickBot="1" x14ac:dyDescent="0.25">
      <c r="A292" s="19" t="s">
        <v>47</v>
      </c>
      <c r="B292" s="10"/>
      <c r="C292" s="14"/>
      <c r="D292" s="11"/>
      <c r="E292" s="11"/>
      <c r="F292" s="12">
        <f t="shared" si="8"/>
        <v>0</v>
      </c>
      <c r="G292" s="20"/>
      <c r="H292" s="20"/>
      <c r="I292" s="9"/>
      <c r="J292" s="9"/>
      <c r="K292" s="9"/>
    </row>
    <row r="293" spans="1:11" s="7" customFormat="1" ht="29.25" thickBot="1" x14ac:dyDescent="0.25">
      <c r="A293" s="19" t="s">
        <v>47</v>
      </c>
      <c r="B293" s="10"/>
      <c r="C293" s="14"/>
      <c r="D293" s="11"/>
      <c r="E293" s="11"/>
      <c r="F293" s="12">
        <f t="shared" si="8"/>
        <v>0</v>
      </c>
      <c r="G293" s="20"/>
      <c r="H293" s="20"/>
      <c r="I293" s="9"/>
      <c r="J293" s="9"/>
      <c r="K293" s="9"/>
    </row>
    <row r="294" spans="1:11" s="7" customFormat="1" ht="29.25" thickBot="1" x14ac:dyDescent="0.25">
      <c r="A294" s="19" t="s">
        <v>47</v>
      </c>
      <c r="B294" s="10"/>
      <c r="C294" s="14"/>
      <c r="D294" s="11"/>
      <c r="E294" s="11"/>
      <c r="F294" s="12">
        <f t="shared" si="8"/>
        <v>0</v>
      </c>
      <c r="G294" s="20"/>
      <c r="H294" s="20"/>
      <c r="I294" s="9"/>
      <c r="J294" s="9"/>
      <c r="K294" s="9"/>
    </row>
    <row r="295" spans="1:11" s="7" customFormat="1" ht="29.25" thickBot="1" x14ac:dyDescent="0.25">
      <c r="A295" s="19" t="s">
        <v>47</v>
      </c>
      <c r="B295" s="10"/>
      <c r="C295" s="14"/>
      <c r="D295" s="11"/>
      <c r="E295" s="11"/>
      <c r="F295" s="12">
        <f t="shared" si="8"/>
        <v>0</v>
      </c>
      <c r="G295" s="20"/>
      <c r="H295" s="20"/>
      <c r="I295" s="9"/>
      <c r="J295" s="9"/>
      <c r="K295" s="9"/>
    </row>
    <row r="296" spans="1:11" s="7" customFormat="1" ht="29.25" thickBot="1" x14ac:dyDescent="0.25">
      <c r="A296" s="19" t="s">
        <v>47</v>
      </c>
      <c r="B296" s="10"/>
      <c r="C296" s="14"/>
      <c r="D296" s="11"/>
      <c r="E296" s="11"/>
      <c r="F296" s="12">
        <f t="shared" si="8"/>
        <v>0</v>
      </c>
      <c r="G296" s="20"/>
      <c r="H296" s="20"/>
      <c r="I296" s="9"/>
      <c r="J296" s="9"/>
      <c r="K296" s="9"/>
    </row>
    <row r="297" spans="1:11" s="7" customFormat="1" ht="29.25" thickBot="1" x14ac:dyDescent="0.25">
      <c r="A297" s="19" t="s">
        <v>47</v>
      </c>
      <c r="B297" s="10"/>
      <c r="C297" s="14"/>
      <c r="D297" s="11"/>
      <c r="E297" s="11"/>
      <c r="F297" s="12">
        <f t="shared" si="8"/>
        <v>0</v>
      </c>
      <c r="G297" s="20"/>
      <c r="H297" s="20"/>
      <c r="I297" s="9"/>
      <c r="J297" s="9"/>
      <c r="K297" s="9"/>
    </row>
    <row r="298" spans="1:11" s="7" customFormat="1" ht="29.25" thickBot="1" x14ac:dyDescent="0.25">
      <c r="A298" s="19" t="s">
        <v>47</v>
      </c>
      <c r="B298" s="10"/>
      <c r="C298" s="14"/>
      <c r="D298" s="11"/>
      <c r="E298" s="11"/>
      <c r="F298" s="12">
        <f t="shared" si="8"/>
        <v>0</v>
      </c>
      <c r="G298" s="20"/>
      <c r="H298" s="20"/>
      <c r="I298" s="9"/>
      <c r="J298" s="9"/>
      <c r="K298" s="9"/>
    </row>
    <row r="299" spans="1:11" s="7" customFormat="1" ht="15" thickBot="1" x14ac:dyDescent="0.25">
      <c r="A299" s="19"/>
      <c r="B299" s="10"/>
      <c r="C299" s="14"/>
      <c r="D299" s="11"/>
      <c r="E299" s="11"/>
      <c r="F299" s="12"/>
      <c r="G299" s="9"/>
      <c r="H299" s="20"/>
      <c r="I299" s="9"/>
      <c r="J299" s="9"/>
      <c r="K299" s="9"/>
    </row>
    <row r="300" spans="1:11" s="7" customFormat="1" ht="15" thickBot="1" x14ac:dyDescent="0.25">
      <c r="A300" s="9"/>
      <c r="B300" s="9"/>
      <c r="C300" s="9"/>
      <c r="D300" s="9"/>
      <c r="E300" s="9"/>
      <c r="F300" s="9">
        <f>SUBTOTAL(9,$F$2:$F$299)</f>
        <v>64</v>
      </c>
      <c r="G300" s="9" t="s">
        <v>11</v>
      </c>
      <c r="H300" s="9"/>
      <c r="I300" s="9"/>
      <c r="J300" s="9"/>
      <c r="K300" s="9"/>
    </row>
    <row r="301" spans="1:11" s="7" customFormat="1" ht="15" thickBot="1" x14ac:dyDescent="0.25">
      <c r="A301" s="9"/>
      <c r="B301" s="9"/>
      <c r="C301" s="9"/>
      <c r="D301" s="9"/>
      <c r="E301" s="9"/>
      <c r="F301" s="9">
        <v>0</v>
      </c>
      <c r="G301" s="9" t="s">
        <v>19</v>
      </c>
      <c r="H301" s="9"/>
      <c r="I301" s="9"/>
      <c r="J301" s="9"/>
      <c r="K301" s="9"/>
    </row>
    <row r="302" spans="1:11" s="7" customFormat="1" ht="15" thickBot="1" x14ac:dyDescent="0.25">
      <c r="A302" s="9"/>
      <c r="B302" s="9"/>
      <c r="C302" s="9"/>
      <c r="D302" s="9"/>
      <c r="E302" s="9"/>
      <c r="F302" s="9">
        <v>0</v>
      </c>
      <c r="G302" s="9" t="s">
        <v>20</v>
      </c>
      <c r="H302" s="9"/>
      <c r="I302" s="9"/>
      <c r="J302" s="9"/>
      <c r="K302" s="9"/>
    </row>
    <row r="303" spans="1:11" s="7" customFormat="1" ht="15" thickBot="1" x14ac:dyDescent="0.25">
      <c r="A303" s="9"/>
      <c r="B303" s="9"/>
      <c r="C303" s="9"/>
      <c r="D303" s="9"/>
      <c r="E303" s="9"/>
      <c r="F303" s="9">
        <v>0</v>
      </c>
      <c r="G303" s="9" t="s">
        <v>22</v>
      </c>
      <c r="H303" s="9"/>
      <c r="I303" s="9"/>
      <c r="J303" s="9"/>
      <c r="K303" s="9"/>
    </row>
    <row r="304" spans="1:11" s="7" customFormat="1" ht="15" thickBot="1" x14ac:dyDescent="0.25">
      <c r="A304" s="9"/>
      <c r="B304" s="9"/>
      <c r="C304" s="9"/>
      <c r="D304" s="9"/>
      <c r="E304" s="9"/>
      <c r="F304" s="9">
        <v>0</v>
      </c>
      <c r="G304" s="9" t="s">
        <v>45</v>
      </c>
      <c r="H304" s="9"/>
      <c r="I304" s="9"/>
      <c r="J304" s="9"/>
      <c r="K304" s="9"/>
    </row>
    <row r="305" spans="1:11" s="7" customFormat="1" ht="15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s="7" customFormat="1" ht="15" thickBot="1" x14ac:dyDescent="0.25">
      <c r="A306" s="9"/>
      <c r="B306" s="9"/>
      <c r="C306" s="9"/>
      <c r="D306" s="9"/>
      <c r="E306" s="9"/>
      <c r="F306" s="9">
        <f>SUBTOTAL(9,F301:F304)</f>
        <v>0</v>
      </c>
      <c r="G306" s="9" t="s">
        <v>12</v>
      </c>
      <c r="H306" s="9"/>
      <c r="I306" s="9"/>
      <c r="J306" s="9"/>
      <c r="K306" s="9"/>
    </row>
    <row r="307" spans="1:11" s="7" customFormat="1" ht="15" thickBot="1" x14ac:dyDescent="0.25">
      <c r="A307" s="9"/>
      <c r="B307" s="9"/>
      <c r="C307" s="9"/>
      <c r="D307" s="9"/>
      <c r="E307" s="9"/>
      <c r="F307" s="9">
        <f>F306/8</f>
        <v>0</v>
      </c>
      <c r="G307" s="9" t="s">
        <v>13</v>
      </c>
      <c r="H307" s="9"/>
      <c r="I307" s="9"/>
      <c r="J307" s="9"/>
      <c r="K307" s="9"/>
    </row>
    <row r="308" spans="1:11" s="7" customFormat="1" ht="15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s="7" customFormat="1" ht="15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s="7" customFormat="1" ht="15" thickBot="1" x14ac:dyDescent="0.25">
      <c r="A310" s="9"/>
      <c r="B310" s="9"/>
      <c r="C310" s="9"/>
      <c r="D310" s="9"/>
      <c r="E310" s="9"/>
      <c r="F310" s="9">
        <v>0</v>
      </c>
      <c r="G310" s="9" t="s">
        <v>74</v>
      </c>
      <c r="H310" s="9"/>
      <c r="I310" s="9"/>
      <c r="J310" s="9"/>
      <c r="K310" s="9"/>
    </row>
    <row r="311" spans="1:11" s="7" customFormat="1" ht="15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s="7" customFormat="1" ht="15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s="7" customFormat="1" ht="15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s="7" customFormat="1" ht="15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s="7" customFormat="1" ht="15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s="7" customFormat="1" ht="15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s="7" customFormat="1" ht="15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s="7" customFormat="1" ht="15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s="7" customFormat="1" ht="15" thickBo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s="7" customFormat="1" ht="15" thickBo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s="7" customFormat="1" ht="15" thickBo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s="7" customFormat="1" ht="15" thickBo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s="7" customFormat="1" ht="15" thickBo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s="7" customFormat="1" ht="15" thickBo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s="7" customFormat="1" ht="15" thickBo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s="7" customFormat="1" ht="15" thickBo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s="7" customFormat="1" ht="15" thickBo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s="7" customFormat="1" ht="15" thickBo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s="7" customFormat="1" ht="15" thickBo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s="7" customFormat="1" ht="15" thickBo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s="7" customFormat="1" ht="15" thickBo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s="7" customFormat="1" ht="15" thickBo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s="7" customFormat="1" ht="15" thickBo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s="7" customFormat="1" ht="15" thickBo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s="7" customFormat="1" ht="15" thickBo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s="7" customFormat="1" ht="15" thickBo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s="7" customFormat="1" ht="15" thickBo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s="7" customFormat="1" ht="15" thickBo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s="7" customFormat="1" ht="15" thickBo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s="7" customFormat="1" ht="15" thickBo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s="7" customFormat="1" ht="15" thickBo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s="7" customFormat="1" ht="15" thickBo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s="7" customFormat="1" ht="15" thickBo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s="7" customFormat="1" ht="15" thickBo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s="7" customFormat="1" ht="15" thickBo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s="7" customFormat="1" ht="15" thickBo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s="7" customFormat="1" ht="15" thickBo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s="7" customFormat="1" ht="15" thickBo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s="7" customFormat="1" ht="15" thickBo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s="7" customFormat="1" ht="15" thickBo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s="7" customFormat="1" x14ac:dyDescent="0.2">
      <c r="B351" s="5"/>
      <c r="C351" s="5"/>
      <c r="D351" s="5"/>
      <c r="E351" s="5"/>
      <c r="F351" s="5"/>
      <c r="I351" s="5"/>
      <c r="J351" s="5"/>
    </row>
    <row r="352" spans="1:11" s="7" customFormat="1" x14ac:dyDescent="0.2">
      <c r="B352" s="5"/>
      <c r="C352" s="5"/>
      <c r="D352" s="5"/>
      <c r="E352" s="5"/>
      <c r="F352" s="5"/>
      <c r="I352" s="5"/>
      <c r="J352" s="5"/>
    </row>
    <row r="353" spans="2:10" s="7" customFormat="1" x14ac:dyDescent="0.2">
      <c r="B353" s="5"/>
      <c r="C353" s="5"/>
      <c r="D353" s="5"/>
      <c r="E353" s="5"/>
      <c r="F353" s="5"/>
      <c r="I353" s="5"/>
      <c r="J353" s="5"/>
    </row>
    <row r="354" spans="2:10" s="7" customFormat="1" x14ac:dyDescent="0.2">
      <c r="B354" s="5"/>
      <c r="C354" s="5"/>
      <c r="D354" s="5"/>
      <c r="E354" s="5"/>
      <c r="F354" s="5"/>
      <c r="I354" s="5"/>
      <c r="J354" s="5"/>
    </row>
    <row r="355" spans="2:10" s="7" customFormat="1" x14ac:dyDescent="0.2">
      <c r="B355" s="5"/>
      <c r="C355" s="5"/>
      <c r="D355" s="5"/>
      <c r="E355" s="5"/>
      <c r="F355" s="5"/>
      <c r="I355" s="5"/>
      <c r="J355" s="5"/>
    </row>
    <row r="356" spans="2:10" s="7" customFormat="1" x14ac:dyDescent="0.2">
      <c r="B356" s="5"/>
      <c r="C356" s="5"/>
      <c r="D356" s="5"/>
      <c r="E356" s="5"/>
      <c r="F356" s="5"/>
      <c r="I356" s="5"/>
      <c r="J356" s="5"/>
    </row>
    <row r="357" spans="2:10" s="7" customFormat="1" x14ac:dyDescent="0.2">
      <c r="B357" s="5"/>
      <c r="C357" s="5"/>
      <c r="D357" s="5"/>
      <c r="E357" s="5"/>
      <c r="F357" s="5"/>
      <c r="I357" s="5"/>
      <c r="J357" s="5"/>
    </row>
    <row r="358" spans="2:10" s="7" customFormat="1" x14ac:dyDescent="0.2">
      <c r="B358" s="5"/>
      <c r="C358" s="5"/>
      <c r="D358" s="5"/>
      <c r="E358" s="5"/>
      <c r="F358" s="5"/>
      <c r="I358" s="5"/>
      <c r="J358" s="5"/>
    </row>
    <row r="359" spans="2:10" s="7" customFormat="1" x14ac:dyDescent="0.2">
      <c r="B359" s="5"/>
      <c r="C359" s="5"/>
      <c r="D359" s="5"/>
      <c r="E359" s="5"/>
      <c r="F359" s="5"/>
      <c r="I359" s="5"/>
      <c r="J359" s="5"/>
    </row>
    <row r="360" spans="2:10" s="7" customFormat="1" x14ac:dyDescent="0.2">
      <c r="B360" s="5"/>
      <c r="C360" s="5"/>
      <c r="D360" s="5"/>
      <c r="E360" s="5"/>
      <c r="F360" s="5"/>
      <c r="I360" s="5"/>
      <c r="J360" s="5"/>
    </row>
    <row r="361" spans="2:10" s="7" customFormat="1" x14ac:dyDescent="0.2">
      <c r="B361" s="5"/>
      <c r="C361" s="5"/>
      <c r="D361" s="5"/>
      <c r="E361" s="5"/>
      <c r="F361" s="5"/>
      <c r="I361" s="5"/>
      <c r="J361" s="5"/>
    </row>
    <row r="362" spans="2:10" s="7" customFormat="1" x14ac:dyDescent="0.2">
      <c r="B362" s="5"/>
      <c r="C362" s="5"/>
      <c r="D362" s="5"/>
      <c r="E362" s="5"/>
      <c r="F362" s="5"/>
      <c r="I362" s="5"/>
      <c r="J362" s="5"/>
    </row>
    <row r="363" spans="2:10" s="7" customFormat="1" x14ac:dyDescent="0.2">
      <c r="B363" s="5"/>
      <c r="C363" s="5"/>
      <c r="D363" s="5"/>
      <c r="E363" s="5"/>
      <c r="F363" s="5"/>
      <c r="I363" s="5"/>
      <c r="J363" s="5"/>
    </row>
    <row r="364" spans="2:10" s="7" customFormat="1" x14ac:dyDescent="0.2">
      <c r="B364" s="5"/>
      <c r="C364" s="5"/>
      <c r="D364" s="5"/>
      <c r="E364" s="5"/>
      <c r="F364" s="5"/>
      <c r="I364" s="5"/>
      <c r="J364" s="5"/>
    </row>
    <row r="365" spans="2:10" s="7" customFormat="1" x14ac:dyDescent="0.2">
      <c r="B365" s="5"/>
      <c r="C365" s="5"/>
      <c r="D365" s="5"/>
      <c r="E365" s="5"/>
      <c r="F365" s="5"/>
      <c r="I365" s="5"/>
      <c r="J365" s="5"/>
    </row>
    <row r="366" spans="2:10" s="7" customFormat="1" x14ac:dyDescent="0.2">
      <c r="B366" s="5"/>
      <c r="C366" s="5"/>
      <c r="D366" s="5"/>
      <c r="E366" s="5"/>
      <c r="F366" s="5"/>
      <c r="I366" s="5"/>
      <c r="J366" s="5"/>
    </row>
    <row r="367" spans="2:10" s="7" customFormat="1" x14ac:dyDescent="0.2">
      <c r="B367" s="5"/>
      <c r="C367" s="5"/>
      <c r="D367" s="5"/>
      <c r="E367" s="5"/>
      <c r="F367" s="5"/>
      <c r="I367" s="5"/>
      <c r="J367" s="5"/>
    </row>
    <row r="368" spans="2:10" s="7" customFormat="1" x14ac:dyDescent="0.2">
      <c r="B368" s="5"/>
      <c r="C368" s="5"/>
      <c r="D368" s="5"/>
      <c r="E368" s="5"/>
      <c r="F368" s="5"/>
      <c r="I368" s="5"/>
      <c r="J368" s="5"/>
    </row>
    <row r="369" spans="2:10" s="7" customFormat="1" x14ac:dyDescent="0.2">
      <c r="B369" s="5"/>
      <c r="C369" s="5"/>
      <c r="D369" s="5"/>
      <c r="E369" s="5"/>
      <c r="F369" s="5"/>
      <c r="I369" s="5"/>
      <c r="J369" s="5"/>
    </row>
    <row r="370" spans="2:10" s="7" customFormat="1" x14ac:dyDescent="0.2">
      <c r="B370" s="5"/>
      <c r="C370" s="5"/>
      <c r="D370" s="5"/>
      <c r="E370" s="5"/>
      <c r="F370" s="5"/>
      <c r="I370" s="5"/>
      <c r="J370" s="5"/>
    </row>
    <row r="371" spans="2:10" s="7" customFormat="1" x14ac:dyDescent="0.2">
      <c r="B371" s="5"/>
      <c r="C371" s="5"/>
      <c r="D371" s="5"/>
      <c r="E371" s="5"/>
      <c r="F371" s="5"/>
      <c r="I371" s="5"/>
      <c r="J371" s="5"/>
    </row>
    <row r="372" spans="2:10" s="7" customFormat="1" x14ac:dyDescent="0.2">
      <c r="B372" s="5"/>
      <c r="C372" s="5"/>
      <c r="D372" s="5"/>
      <c r="E372" s="5"/>
      <c r="F372" s="5"/>
      <c r="I372" s="5"/>
      <c r="J372" s="5"/>
    </row>
    <row r="373" spans="2:10" s="7" customFormat="1" x14ac:dyDescent="0.2">
      <c r="B373" s="5"/>
      <c r="C373" s="5"/>
      <c r="D373" s="5"/>
      <c r="E373" s="5"/>
      <c r="F373" s="5"/>
      <c r="I373" s="5"/>
      <c r="J373" s="5"/>
    </row>
    <row r="374" spans="2:10" s="7" customFormat="1" x14ac:dyDescent="0.2">
      <c r="B374" s="5"/>
      <c r="C374" s="5"/>
      <c r="D374" s="5"/>
      <c r="E374" s="5"/>
      <c r="F374" s="5"/>
      <c r="I374" s="5"/>
      <c r="J374" s="5"/>
    </row>
    <row r="375" spans="2:10" s="7" customFormat="1" x14ac:dyDescent="0.2">
      <c r="B375" s="5"/>
      <c r="C375" s="5"/>
      <c r="D375" s="5"/>
      <c r="E375" s="5"/>
      <c r="F375" s="5"/>
      <c r="I375" s="5"/>
      <c r="J375" s="5"/>
    </row>
    <row r="376" spans="2:10" s="7" customFormat="1" x14ac:dyDescent="0.2">
      <c r="B376" s="5"/>
      <c r="C376" s="5"/>
      <c r="D376" s="5"/>
      <c r="E376" s="5"/>
      <c r="F376" s="5"/>
      <c r="I376" s="5"/>
      <c r="J376" s="5"/>
    </row>
    <row r="377" spans="2:10" s="7" customFormat="1" x14ac:dyDescent="0.2">
      <c r="B377" s="5"/>
      <c r="C377" s="5"/>
      <c r="D377" s="5"/>
      <c r="E377" s="5"/>
      <c r="F377" s="5"/>
      <c r="I377" s="5"/>
      <c r="J377" s="5"/>
    </row>
    <row r="378" spans="2:10" s="7" customFormat="1" x14ac:dyDescent="0.2">
      <c r="B378" s="5"/>
      <c r="C378" s="5"/>
      <c r="D378" s="5"/>
      <c r="E378" s="5"/>
      <c r="F378" s="5"/>
      <c r="I378" s="5"/>
      <c r="J378" s="5"/>
    </row>
    <row r="379" spans="2:10" s="7" customFormat="1" x14ac:dyDescent="0.2">
      <c r="B379" s="5"/>
      <c r="C379" s="5"/>
      <c r="D379" s="5"/>
      <c r="E379" s="5"/>
      <c r="F379" s="5"/>
      <c r="I379" s="5"/>
      <c r="J379" s="5"/>
    </row>
    <row r="380" spans="2:10" s="7" customFormat="1" x14ac:dyDescent="0.2">
      <c r="B380" s="5"/>
      <c r="C380" s="5"/>
      <c r="D380" s="5"/>
      <c r="E380" s="5"/>
      <c r="F380" s="5"/>
      <c r="I380" s="5"/>
      <c r="J380" s="5"/>
    </row>
    <row r="381" spans="2:10" s="7" customFormat="1" x14ac:dyDescent="0.2">
      <c r="B381" s="5"/>
      <c r="C381" s="5"/>
      <c r="D381" s="5"/>
      <c r="E381" s="5"/>
      <c r="F381" s="5"/>
      <c r="I381" s="5"/>
      <c r="J381" s="5"/>
    </row>
    <row r="382" spans="2:10" s="7" customFormat="1" x14ac:dyDescent="0.2">
      <c r="B382" s="5"/>
      <c r="C382" s="5"/>
      <c r="D382" s="5"/>
      <c r="E382" s="5"/>
      <c r="F382" s="5"/>
      <c r="I382" s="5"/>
      <c r="J382" s="5"/>
    </row>
    <row r="383" spans="2:10" s="7" customFormat="1" x14ac:dyDescent="0.2">
      <c r="B383" s="5"/>
      <c r="C383" s="5"/>
      <c r="D383" s="5"/>
      <c r="E383" s="5"/>
      <c r="F383" s="5"/>
      <c r="I383" s="5"/>
      <c r="J383" s="5"/>
    </row>
    <row r="384" spans="2:10" s="7" customFormat="1" x14ac:dyDescent="0.2">
      <c r="B384" s="5"/>
      <c r="C384" s="5"/>
      <c r="D384" s="5"/>
      <c r="E384" s="5"/>
      <c r="F384" s="5"/>
      <c r="I384" s="5"/>
      <c r="J384" s="5"/>
    </row>
    <row r="385" spans="2:10" s="7" customFormat="1" x14ac:dyDescent="0.2">
      <c r="B385" s="5"/>
      <c r="C385" s="5"/>
      <c r="D385" s="5"/>
      <c r="E385" s="5"/>
      <c r="F385" s="5"/>
      <c r="I385" s="5"/>
      <c r="J385" s="5"/>
    </row>
    <row r="386" spans="2:10" s="7" customFormat="1" x14ac:dyDescent="0.2">
      <c r="B386" s="5"/>
      <c r="C386" s="5"/>
      <c r="D386" s="5"/>
      <c r="E386" s="5"/>
      <c r="F386" s="5"/>
      <c r="I386" s="5"/>
      <c r="J386" s="5"/>
    </row>
    <row r="387" spans="2:10" s="7" customFormat="1" x14ac:dyDescent="0.2">
      <c r="B387" s="5"/>
      <c r="C387" s="5"/>
      <c r="D387" s="5"/>
      <c r="E387" s="5"/>
      <c r="F387" s="5"/>
      <c r="I387" s="5"/>
      <c r="J387" s="5"/>
    </row>
    <row r="388" spans="2:10" s="7" customFormat="1" x14ac:dyDescent="0.2">
      <c r="B388" s="5"/>
      <c r="C388" s="5"/>
      <c r="D388" s="5"/>
      <c r="E388" s="5"/>
      <c r="F388" s="5"/>
      <c r="I388" s="5"/>
      <c r="J388" s="5"/>
    </row>
    <row r="389" spans="2:10" s="7" customFormat="1" x14ac:dyDescent="0.2">
      <c r="B389" s="5"/>
      <c r="C389" s="5"/>
      <c r="D389" s="5"/>
      <c r="E389" s="5"/>
      <c r="F389" s="5"/>
      <c r="I389" s="5"/>
      <c r="J389" s="5"/>
    </row>
    <row r="390" spans="2:10" s="7" customFormat="1" x14ac:dyDescent="0.2">
      <c r="B390" s="5"/>
      <c r="C390" s="5"/>
      <c r="D390" s="5"/>
      <c r="E390" s="5"/>
      <c r="F390" s="5"/>
      <c r="I390" s="5"/>
      <c r="J390" s="5"/>
    </row>
    <row r="391" spans="2:10" s="7" customFormat="1" x14ac:dyDescent="0.2">
      <c r="B391" s="5"/>
      <c r="C391" s="5"/>
      <c r="D391" s="5"/>
      <c r="E391" s="5"/>
      <c r="F391" s="5"/>
      <c r="I391" s="5"/>
      <c r="J391" s="5"/>
    </row>
    <row r="392" spans="2:10" s="7" customFormat="1" x14ac:dyDescent="0.2">
      <c r="B392" s="5"/>
      <c r="C392" s="5"/>
      <c r="D392" s="5"/>
      <c r="E392" s="5"/>
      <c r="F392" s="5"/>
      <c r="I392" s="5"/>
      <c r="J392" s="5"/>
    </row>
    <row r="393" spans="2:10" s="7" customFormat="1" x14ac:dyDescent="0.2">
      <c r="B393" s="5"/>
      <c r="C393" s="5"/>
      <c r="D393" s="5"/>
      <c r="E393" s="5"/>
      <c r="F393" s="5"/>
      <c r="I393" s="5"/>
      <c r="J393" s="5"/>
    </row>
    <row r="394" spans="2:10" s="7" customFormat="1" x14ac:dyDescent="0.2">
      <c r="B394" s="5"/>
      <c r="C394" s="5"/>
      <c r="D394" s="5"/>
      <c r="E394" s="5"/>
      <c r="F394" s="5"/>
      <c r="I394" s="5"/>
      <c r="J394" s="5"/>
    </row>
    <row r="395" spans="2:10" s="7" customFormat="1" x14ac:dyDescent="0.2">
      <c r="B395" s="5"/>
      <c r="C395" s="5"/>
      <c r="D395" s="5"/>
      <c r="E395" s="5"/>
      <c r="F395" s="5"/>
      <c r="I395" s="5"/>
      <c r="J395" s="5"/>
    </row>
    <row r="396" spans="2:10" s="7" customFormat="1" x14ac:dyDescent="0.2">
      <c r="B396" s="5"/>
      <c r="C396" s="5"/>
      <c r="D396" s="5"/>
      <c r="E396" s="5"/>
      <c r="F396" s="5"/>
      <c r="I396" s="5"/>
      <c r="J396" s="5"/>
    </row>
    <row r="397" spans="2:10" s="7" customFormat="1" x14ac:dyDescent="0.2">
      <c r="B397" s="5"/>
      <c r="C397" s="5"/>
      <c r="D397" s="5"/>
      <c r="E397" s="5"/>
      <c r="F397" s="5"/>
      <c r="I397" s="5"/>
      <c r="J397" s="5"/>
    </row>
    <row r="398" spans="2:10" s="7" customFormat="1" x14ac:dyDescent="0.2">
      <c r="B398" s="5"/>
      <c r="C398" s="5"/>
      <c r="D398" s="5"/>
      <c r="E398" s="5"/>
      <c r="F398" s="5"/>
      <c r="I398" s="5"/>
      <c r="J398" s="5"/>
    </row>
    <row r="399" spans="2:10" s="7" customFormat="1" x14ac:dyDescent="0.2">
      <c r="B399" s="5"/>
      <c r="C399" s="5"/>
      <c r="D399" s="5"/>
      <c r="E399" s="5"/>
      <c r="F399" s="5"/>
      <c r="I399" s="5"/>
      <c r="J399" s="5"/>
    </row>
    <row r="400" spans="2:10" s="7" customFormat="1" x14ac:dyDescent="0.2">
      <c r="B400" s="5"/>
      <c r="C400" s="5"/>
      <c r="D400" s="5"/>
      <c r="E400" s="5"/>
      <c r="F400" s="5"/>
      <c r="I400" s="5"/>
      <c r="J400" s="5"/>
    </row>
    <row r="401" spans="2:10" s="7" customFormat="1" x14ac:dyDescent="0.2">
      <c r="B401" s="5"/>
      <c r="C401" s="5"/>
      <c r="D401" s="5"/>
      <c r="E401" s="5"/>
      <c r="F401" s="5"/>
      <c r="I401" s="5"/>
      <c r="J401" s="5"/>
    </row>
    <row r="402" spans="2:10" s="7" customFormat="1" x14ac:dyDescent="0.2">
      <c r="B402" s="5"/>
      <c r="C402" s="5"/>
      <c r="D402" s="5"/>
      <c r="E402" s="5"/>
      <c r="F402" s="5"/>
      <c r="I402" s="5"/>
      <c r="J402" s="5"/>
    </row>
    <row r="403" spans="2:10" s="7" customFormat="1" x14ac:dyDescent="0.2">
      <c r="B403" s="5"/>
      <c r="C403" s="5"/>
      <c r="D403" s="5"/>
      <c r="E403" s="5"/>
      <c r="F403" s="5"/>
      <c r="I403" s="5"/>
      <c r="J403" s="5"/>
    </row>
    <row r="404" spans="2:10" s="7" customFormat="1" x14ac:dyDescent="0.2">
      <c r="B404" s="5"/>
      <c r="C404" s="5"/>
      <c r="D404" s="5"/>
      <c r="E404" s="5"/>
      <c r="F404" s="5"/>
      <c r="I404" s="5"/>
      <c r="J404" s="5"/>
    </row>
    <row r="405" spans="2:10" s="7" customFormat="1" x14ac:dyDescent="0.2">
      <c r="B405" s="5"/>
      <c r="C405" s="5"/>
      <c r="D405" s="5"/>
      <c r="E405" s="5"/>
      <c r="F405" s="5"/>
      <c r="I405" s="5"/>
      <c r="J405" s="5"/>
    </row>
    <row r="406" spans="2:10" s="7" customFormat="1" x14ac:dyDescent="0.2">
      <c r="B406" s="5"/>
      <c r="C406" s="5"/>
      <c r="D406" s="5"/>
      <c r="E406" s="5"/>
      <c r="F406" s="5"/>
      <c r="I406" s="5"/>
      <c r="J406" s="5"/>
    </row>
    <row r="407" spans="2:10" s="7" customFormat="1" x14ac:dyDescent="0.2">
      <c r="B407" s="5"/>
      <c r="C407" s="5"/>
      <c r="D407" s="5"/>
      <c r="E407" s="5"/>
      <c r="F407" s="5"/>
      <c r="I407" s="5"/>
      <c r="J407" s="5"/>
    </row>
    <row r="408" spans="2:10" s="7" customFormat="1" x14ac:dyDescent="0.2">
      <c r="B408" s="5"/>
      <c r="C408" s="5"/>
      <c r="D408" s="5"/>
      <c r="E408" s="5"/>
      <c r="F408" s="5"/>
      <c r="I408" s="5"/>
      <c r="J408" s="5"/>
    </row>
    <row r="409" spans="2:10" s="7" customFormat="1" x14ac:dyDescent="0.2">
      <c r="B409" s="5"/>
      <c r="C409" s="5"/>
      <c r="D409" s="5"/>
      <c r="E409" s="5"/>
      <c r="F409" s="5"/>
      <c r="I409" s="5"/>
      <c r="J409" s="5"/>
    </row>
    <row r="410" spans="2:10" s="7" customFormat="1" x14ac:dyDescent="0.2">
      <c r="B410" s="5"/>
      <c r="C410" s="5"/>
      <c r="D410" s="5"/>
      <c r="E410" s="5"/>
      <c r="F410" s="5"/>
      <c r="I410" s="5"/>
      <c r="J410" s="5"/>
    </row>
    <row r="411" spans="2:10" s="7" customFormat="1" x14ac:dyDescent="0.2">
      <c r="B411" s="5"/>
      <c r="C411" s="5"/>
      <c r="D411" s="5"/>
      <c r="E411" s="5"/>
      <c r="F411" s="5"/>
      <c r="I411" s="5"/>
      <c r="J411" s="5"/>
    </row>
    <row r="412" spans="2:10" s="7" customFormat="1" x14ac:dyDescent="0.2">
      <c r="B412" s="5"/>
      <c r="C412" s="5"/>
      <c r="D412" s="5"/>
      <c r="E412" s="5"/>
      <c r="F412" s="5"/>
      <c r="I412" s="5"/>
      <c r="J412" s="5"/>
    </row>
    <row r="413" spans="2:10" s="7" customFormat="1" x14ac:dyDescent="0.2">
      <c r="B413" s="5"/>
      <c r="C413" s="5"/>
      <c r="D413" s="5"/>
      <c r="E413" s="5"/>
      <c r="F413" s="5"/>
      <c r="I413" s="5"/>
      <c r="J413" s="5"/>
    </row>
    <row r="414" spans="2:10" s="7" customFormat="1" x14ac:dyDescent="0.2">
      <c r="B414" s="5"/>
      <c r="C414" s="5"/>
      <c r="D414" s="5"/>
      <c r="E414" s="5"/>
      <c r="F414" s="5"/>
      <c r="I414" s="5"/>
      <c r="J414" s="5"/>
    </row>
    <row r="415" spans="2:10" s="7" customFormat="1" x14ac:dyDescent="0.2">
      <c r="B415" s="5"/>
      <c r="C415" s="5"/>
      <c r="D415" s="5"/>
      <c r="E415" s="5"/>
      <c r="F415" s="5"/>
      <c r="I415" s="5"/>
      <c r="J415" s="5"/>
    </row>
    <row r="416" spans="2:10" s="7" customFormat="1" x14ac:dyDescent="0.2">
      <c r="B416" s="5"/>
      <c r="C416" s="5"/>
      <c r="D416" s="5"/>
      <c r="E416" s="5"/>
      <c r="F416" s="5"/>
      <c r="I416" s="5"/>
      <c r="J416" s="5"/>
    </row>
    <row r="417" spans="2:10" s="7" customFormat="1" x14ac:dyDescent="0.2">
      <c r="B417" s="5"/>
      <c r="C417" s="5"/>
      <c r="D417" s="5"/>
      <c r="E417" s="5"/>
      <c r="F417" s="5"/>
      <c r="I417" s="5"/>
      <c r="J417" s="5"/>
    </row>
    <row r="418" spans="2:10" s="7" customFormat="1" x14ac:dyDescent="0.2">
      <c r="B418" s="5"/>
      <c r="C418" s="5"/>
      <c r="D418" s="5"/>
      <c r="E418" s="5"/>
      <c r="F418" s="5"/>
      <c r="I418" s="5"/>
      <c r="J418" s="5"/>
    </row>
    <row r="419" spans="2:10" s="7" customFormat="1" x14ac:dyDescent="0.2">
      <c r="B419" s="5"/>
      <c r="C419" s="5"/>
      <c r="D419" s="5"/>
      <c r="E419" s="5"/>
      <c r="F419" s="5"/>
      <c r="I419" s="5"/>
      <c r="J419" s="5"/>
    </row>
    <row r="420" spans="2:10" s="7" customFormat="1" x14ac:dyDescent="0.2">
      <c r="B420" s="5"/>
      <c r="C420" s="5"/>
      <c r="D420" s="5"/>
      <c r="E420" s="5"/>
      <c r="F420" s="5"/>
      <c r="I420" s="5"/>
      <c r="J420" s="5"/>
    </row>
    <row r="421" spans="2:10" s="7" customFormat="1" x14ac:dyDescent="0.2">
      <c r="B421" s="5"/>
      <c r="C421" s="5"/>
      <c r="D421" s="5"/>
      <c r="E421" s="5"/>
      <c r="F421" s="5"/>
      <c r="I421" s="5"/>
      <c r="J421" s="5"/>
    </row>
    <row r="422" spans="2:10" s="7" customFormat="1" x14ac:dyDescent="0.2">
      <c r="B422" s="5"/>
      <c r="C422" s="5"/>
      <c r="D422" s="5"/>
      <c r="E422" s="5"/>
      <c r="F422" s="5"/>
      <c r="I422" s="5"/>
      <c r="J422" s="5"/>
    </row>
    <row r="423" spans="2:10" s="7" customFormat="1" x14ac:dyDescent="0.2">
      <c r="B423" s="5"/>
      <c r="C423" s="5"/>
      <c r="D423" s="5"/>
      <c r="E423" s="5"/>
      <c r="F423" s="5"/>
      <c r="I423" s="5"/>
      <c r="J423" s="5"/>
    </row>
    <row r="424" spans="2:10" s="7" customFormat="1" x14ac:dyDescent="0.2">
      <c r="B424" s="5"/>
      <c r="C424" s="5"/>
      <c r="D424" s="5"/>
      <c r="E424" s="5"/>
      <c r="F424" s="5"/>
      <c r="I424" s="5"/>
      <c r="J424" s="5"/>
    </row>
    <row r="425" spans="2:10" s="7" customFormat="1" x14ac:dyDescent="0.2">
      <c r="B425" s="5"/>
      <c r="C425" s="5"/>
      <c r="D425" s="5"/>
      <c r="E425" s="5"/>
      <c r="F425" s="5"/>
      <c r="I425" s="5"/>
      <c r="J425" s="5"/>
    </row>
    <row r="426" spans="2:10" s="7" customFormat="1" x14ac:dyDescent="0.2">
      <c r="B426" s="5"/>
      <c r="C426" s="5"/>
      <c r="D426" s="5"/>
      <c r="E426" s="5"/>
      <c r="F426" s="5"/>
      <c r="I426" s="5"/>
      <c r="J426" s="5"/>
    </row>
    <row r="427" spans="2:10" s="7" customFormat="1" x14ac:dyDescent="0.2">
      <c r="B427" s="5"/>
      <c r="C427" s="5"/>
      <c r="D427" s="5"/>
      <c r="E427" s="5"/>
      <c r="F427" s="5"/>
      <c r="I427" s="5"/>
      <c r="J427" s="5"/>
    </row>
    <row r="428" spans="2:10" s="7" customFormat="1" x14ac:dyDescent="0.2">
      <c r="B428" s="5"/>
      <c r="C428" s="5"/>
      <c r="D428" s="5"/>
      <c r="E428" s="5"/>
      <c r="F428" s="5"/>
      <c r="I428" s="5"/>
      <c r="J428" s="5"/>
    </row>
    <row r="429" spans="2:10" s="7" customFormat="1" x14ac:dyDescent="0.2">
      <c r="B429" s="5"/>
      <c r="C429" s="5"/>
      <c r="D429" s="5"/>
      <c r="E429" s="5"/>
      <c r="F429" s="5"/>
      <c r="I429" s="5"/>
      <c r="J429" s="5"/>
    </row>
    <row r="430" spans="2:10" s="7" customFormat="1" x14ac:dyDescent="0.2">
      <c r="B430" s="5"/>
      <c r="C430" s="5"/>
      <c r="D430" s="5"/>
      <c r="E430" s="5"/>
      <c r="F430" s="5"/>
      <c r="I430" s="5"/>
      <c r="J430" s="5"/>
    </row>
    <row r="431" spans="2:10" s="7" customFormat="1" x14ac:dyDescent="0.2">
      <c r="B431" s="5"/>
      <c r="C431" s="5"/>
      <c r="D431" s="5"/>
      <c r="E431" s="5"/>
      <c r="F431" s="5"/>
      <c r="I431" s="5"/>
      <c r="J431" s="5"/>
    </row>
    <row r="432" spans="2:10" s="7" customFormat="1" x14ac:dyDescent="0.2">
      <c r="B432" s="5"/>
      <c r="C432" s="5"/>
      <c r="D432" s="5"/>
      <c r="E432" s="5"/>
      <c r="F432" s="5"/>
      <c r="I432" s="5"/>
      <c r="J432" s="5"/>
    </row>
    <row r="433" spans="2:10" s="7" customFormat="1" x14ac:dyDescent="0.2">
      <c r="B433" s="5"/>
      <c r="C433" s="5"/>
      <c r="D433" s="5"/>
      <c r="E433" s="5"/>
      <c r="F433" s="5"/>
      <c r="I433" s="5"/>
      <c r="J433" s="5"/>
    </row>
    <row r="434" spans="2:10" s="7" customFormat="1" x14ac:dyDescent="0.2">
      <c r="B434" s="5"/>
      <c r="C434" s="5"/>
      <c r="D434" s="5"/>
      <c r="E434" s="5"/>
      <c r="F434" s="5"/>
      <c r="I434" s="5"/>
      <c r="J434" s="5"/>
    </row>
    <row r="435" spans="2:10" s="7" customFormat="1" x14ac:dyDescent="0.2">
      <c r="B435" s="5"/>
      <c r="C435" s="5"/>
      <c r="D435" s="5"/>
      <c r="E435" s="5"/>
      <c r="F435" s="5"/>
      <c r="I435" s="5"/>
      <c r="J435" s="5"/>
    </row>
    <row r="436" spans="2:10" s="7" customFormat="1" x14ac:dyDescent="0.2">
      <c r="B436" s="5"/>
      <c r="C436" s="5"/>
      <c r="D436" s="5"/>
      <c r="E436" s="5"/>
      <c r="F436" s="5"/>
      <c r="I436" s="5"/>
      <c r="J436" s="5"/>
    </row>
    <row r="437" spans="2:10" s="7" customFormat="1" x14ac:dyDescent="0.2">
      <c r="B437" s="5"/>
      <c r="C437" s="5"/>
      <c r="D437" s="5"/>
      <c r="E437" s="5"/>
      <c r="F437" s="5"/>
      <c r="I437" s="5"/>
      <c r="J437" s="5"/>
    </row>
    <row r="438" spans="2:10" s="7" customFormat="1" x14ac:dyDescent="0.2">
      <c r="B438" s="5"/>
      <c r="C438" s="5"/>
      <c r="D438" s="5"/>
      <c r="E438" s="5"/>
      <c r="F438" s="5"/>
      <c r="I438" s="5"/>
      <c r="J438" s="5"/>
    </row>
    <row r="439" spans="2:10" s="7" customFormat="1" x14ac:dyDescent="0.2">
      <c r="B439" s="5"/>
      <c r="C439" s="5"/>
      <c r="D439" s="5"/>
      <c r="E439" s="5"/>
      <c r="F439" s="5"/>
      <c r="I439" s="5"/>
      <c r="J439" s="5"/>
    </row>
    <row r="440" spans="2:10" s="7" customFormat="1" x14ac:dyDescent="0.2">
      <c r="B440" s="5"/>
      <c r="C440" s="5"/>
      <c r="D440" s="5"/>
      <c r="E440" s="5"/>
      <c r="F440" s="5"/>
      <c r="I440" s="5"/>
      <c r="J440" s="5"/>
    </row>
    <row r="441" spans="2:10" s="7" customFormat="1" x14ac:dyDescent="0.2">
      <c r="B441" s="5"/>
      <c r="C441" s="5"/>
      <c r="D441" s="5"/>
      <c r="E441" s="5"/>
      <c r="F441" s="5"/>
      <c r="I441" s="5"/>
      <c r="J441" s="5"/>
    </row>
    <row r="442" spans="2:10" s="7" customFormat="1" x14ac:dyDescent="0.2">
      <c r="B442" s="5"/>
      <c r="C442" s="5"/>
      <c r="D442" s="5"/>
      <c r="E442" s="5"/>
      <c r="F442" s="5"/>
      <c r="I442" s="5"/>
      <c r="J442" s="5"/>
    </row>
    <row r="443" spans="2:10" s="7" customFormat="1" x14ac:dyDescent="0.2">
      <c r="B443" s="5"/>
      <c r="C443" s="5"/>
      <c r="D443" s="5"/>
      <c r="E443" s="5"/>
      <c r="F443" s="5"/>
      <c r="I443" s="5"/>
      <c r="J443" s="5"/>
    </row>
    <row r="444" spans="2:10" s="7" customFormat="1" x14ac:dyDescent="0.2">
      <c r="B444" s="5"/>
      <c r="C444" s="5"/>
      <c r="D444" s="5"/>
      <c r="E444" s="5"/>
      <c r="F444" s="5"/>
      <c r="I444" s="5"/>
      <c r="J444" s="5"/>
    </row>
    <row r="445" spans="2:10" s="7" customFormat="1" x14ac:dyDescent="0.2">
      <c r="B445" s="5"/>
      <c r="C445" s="5"/>
      <c r="D445" s="5"/>
      <c r="E445" s="5"/>
      <c r="F445" s="5"/>
      <c r="I445" s="5"/>
      <c r="J445" s="5"/>
    </row>
    <row r="446" spans="2:10" s="7" customFormat="1" x14ac:dyDescent="0.2">
      <c r="B446" s="5"/>
      <c r="C446" s="5"/>
      <c r="D446" s="5"/>
      <c r="E446" s="5"/>
      <c r="F446" s="5"/>
      <c r="I446" s="5"/>
      <c r="J446" s="5"/>
    </row>
    <row r="447" spans="2:10" s="7" customFormat="1" x14ac:dyDescent="0.2">
      <c r="B447" s="5"/>
      <c r="C447" s="5"/>
      <c r="D447" s="5"/>
      <c r="E447" s="5"/>
      <c r="F447" s="5"/>
      <c r="I447" s="5"/>
      <c r="J447" s="5"/>
    </row>
    <row r="448" spans="2:10" s="7" customFormat="1" x14ac:dyDescent="0.2">
      <c r="B448" s="5"/>
      <c r="C448" s="5"/>
      <c r="D448" s="5"/>
      <c r="E448" s="5"/>
      <c r="F448" s="5"/>
      <c r="I448" s="5"/>
      <c r="J448" s="5"/>
    </row>
    <row r="449" spans="2:10" s="7" customFormat="1" x14ac:dyDescent="0.2">
      <c r="B449" s="5"/>
      <c r="C449" s="5"/>
      <c r="D449" s="5"/>
      <c r="E449" s="5"/>
      <c r="F449" s="5"/>
      <c r="I449" s="5"/>
      <c r="J449" s="5"/>
    </row>
  </sheetData>
  <autoFilter ref="A1:M246" xr:uid="{DAD00364-664A-470B-8B0C-3CB3FB80AFDB}"/>
  <dataValidations count="1">
    <dataValidation type="time" allowBlank="1" showInputMessage="1" showErrorMessage="1" sqref="D28:E38 F31:F37 D39:F91 F94:F100 D92:E101 D102:F154 F157:F163 D155:E164 D165:F216 D227:F299 F219:F225 D217:E226" xr:uid="{A97F25FC-16A4-41EC-86CF-82A27CE400F7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280DC48-609F-42B5-8329-1DBEBDC2308F}">
          <x14:formula1>
            <xm:f>Metadata!$F$2:$F$15</xm:f>
          </x14:formula1>
          <xm:sqref>I2:I299</xm:sqref>
        </x14:dataValidation>
        <x14:dataValidation type="list" allowBlank="1" showInputMessage="1" showErrorMessage="1" xr:uid="{8D9ABE95-A61C-4A37-B9C7-787BF07E1D50}">
          <x14:formula1>
            <xm:f>Metadata!$C$3:$C$14</xm:f>
          </x14:formula1>
          <xm:sqref>B2:B299</xm:sqref>
        </x14:dataValidation>
        <x14:dataValidation type="list" allowBlank="1" showInputMessage="1" showErrorMessage="1" xr:uid="{2BD54BEF-CCC5-407B-A76B-0C0EB546FCA8}">
          <x14:formula1>
            <xm:f>Metadata!$C$2:$C$15</xm:f>
          </x14:formula1>
          <xm:sqref>H2:H299</xm:sqref>
        </x14:dataValidation>
        <x14:dataValidation type="list" allowBlank="1" showInputMessage="1" showErrorMessage="1" xr:uid="{2198206A-E3E8-4AD9-BA13-5C6EFE6E9B22}">
          <x14:formula1>
            <xm:f>Metadata!$A$2:$A$15</xm:f>
          </x14:formula1>
          <xm:sqref>G2:G298</xm:sqref>
        </x14:dataValidation>
        <x14:dataValidation type="list" allowBlank="1" showInputMessage="1" showErrorMessage="1" xr:uid="{2DCA6A86-7950-4A1B-91AD-46BB8DE690A0}">
          <x14:formula1>
            <xm:f>Metadata!$H$2:$H$5</xm:f>
          </x14:formula1>
          <xm:sqref>A2:A299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6329-BC7F-49D8-B06D-B1627E448B58}">
  <sheetPr codeName="Tabelle8">
    <pageSetUpPr fitToPage="1"/>
  </sheetPr>
  <dimension ref="A1:K449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11" sqref="A11"/>
      <selection pane="bottomRight" activeCell="D2" sqref="D2"/>
    </sheetView>
  </sheetViews>
  <sheetFormatPr baseColWidth="10" defaultColWidth="11.42578125" defaultRowHeight="14.25" x14ac:dyDescent="0.2"/>
  <cols>
    <col min="1" max="1" width="21.28515625" style="7" hidden="1" customWidth="1"/>
    <col min="2" max="2" width="15.8554687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7.710937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2" width="11.42578125" style="5"/>
    <col min="13" max="13" width="15.42578125" style="5" customWidth="1"/>
    <col min="14" max="16384" width="11.42578125" style="5"/>
  </cols>
  <sheetData>
    <row r="1" spans="1:11" s="18" customFormat="1" ht="60.75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1" s="13" customFormat="1" ht="29.25" thickBot="1" x14ac:dyDescent="0.3">
      <c r="A2" s="19" t="s">
        <v>47</v>
      </c>
      <c r="B2" s="10" t="s">
        <v>1</v>
      </c>
      <c r="C2" s="14">
        <v>46235</v>
      </c>
      <c r="D2" s="11">
        <v>0.35416666666666669</v>
      </c>
      <c r="E2" s="11">
        <v>0.6875</v>
      </c>
      <c r="F2" s="12">
        <f>+(E2-D2)*24</f>
        <v>8</v>
      </c>
      <c r="G2" s="20" t="s">
        <v>21</v>
      </c>
      <c r="H2" s="20" t="s">
        <v>30</v>
      </c>
      <c r="I2" s="9"/>
      <c r="J2" s="9" t="s">
        <v>71</v>
      </c>
      <c r="K2" s="9"/>
    </row>
    <row r="3" spans="1:11" s="13" customFormat="1" ht="29.25" thickBot="1" x14ac:dyDescent="0.3">
      <c r="A3" s="19" t="s">
        <v>47</v>
      </c>
      <c r="B3" s="10" t="s">
        <v>1</v>
      </c>
      <c r="C3" s="14">
        <v>46235</v>
      </c>
      <c r="D3" s="11"/>
      <c r="E3" s="11"/>
      <c r="F3" s="12"/>
      <c r="G3" s="20"/>
      <c r="H3" s="20"/>
      <c r="I3" s="9"/>
      <c r="J3" s="9"/>
      <c r="K3" s="9"/>
    </row>
    <row r="4" spans="1:11" s="13" customFormat="1" ht="29.25" thickBot="1" x14ac:dyDescent="0.3">
      <c r="A4" s="19" t="s">
        <v>47</v>
      </c>
      <c r="B4" s="10" t="s">
        <v>1</v>
      </c>
      <c r="C4" s="14">
        <v>46235</v>
      </c>
      <c r="D4" s="11"/>
      <c r="E4" s="11"/>
      <c r="F4" s="12">
        <f t="shared" ref="F4:F10" si="0">+(E4-D4)*24</f>
        <v>0</v>
      </c>
      <c r="G4" s="20"/>
      <c r="H4" s="20"/>
      <c r="I4" s="9"/>
      <c r="J4" s="9"/>
      <c r="K4" s="9"/>
    </row>
    <row r="5" spans="1:11" s="13" customFormat="1" ht="29.25" thickBot="1" x14ac:dyDescent="0.3">
      <c r="A5" s="19" t="s">
        <v>47</v>
      </c>
      <c r="B5" s="10" t="s">
        <v>1</v>
      </c>
      <c r="C5" s="14">
        <v>46235</v>
      </c>
      <c r="D5" s="11"/>
      <c r="E5" s="11"/>
      <c r="F5" s="12">
        <f t="shared" si="0"/>
        <v>0</v>
      </c>
      <c r="G5" s="20"/>
      <c r="H5" s="20"/>
      <c r="I5" s="9"/>
      <c r="J5" s="9"/>
      <c r="K5" s="9"/>
    </row>
    <row r="6" spans="1:11" s="13" customFormat="1" ht="29.25" thickBot="1" x14ac:dyDescent="0.3">
      <c r="A6" s="19" t="s">
        <v>47</v>
      </c>
      <c r="B6" s="10" t="s">
        <v>1</v>
      </c>
      <c r="C6" s="14">
        <v>46235</v>
      </c>
      <c r="D6" s="11"/>
      <c r="E6" s="11"/>
      <c r="F6" s="12">
        <f t="shared" si="0"/>
        <v>0</v>
      </c>
      <c r="G6" s="20"/>
      <c r="H6" s="20"/>
      <c r="I6" s="9"/>
      <c r="J6" s="9"/>
      <c r="K6" s="9"/>
    </row>
    <row r="7" spans="1:11" s="13" customFormat="1" ht="29.25" thickBot="1" x14ac:dyDescent="0.3">
      <c r="A7" s="19" t="s">
        <v>47</v>
      </c>
      <c r="B7" s="10" t="s">
        <v>1</v>
      </c>
      <c r="C7" s="14">
        <v>46235</v>
      </c>
      <c r="D7" s="11"/>
      <c r="E7" s="11"/>
      <c r="F7" s="12">
        <f t="shared" si="0"/>
        <v>0</v>
      </c>
      <c r="G7" s="20"/>
      <c r="H7" s="20"/>
      <c r="I7" s="9"/>
      <c r="J7" s="9"/>
      <c r="K7" s="9"/>
    </row>
    <row r="8" spans="1:11" s="13" customFormat="1" ht="13.9" customHeight="1" thickBot="1" x14ac:dyDescent="0.3">
      <c r="A8" s="19" t="s">
        <v>47</v>
      </c>
      <c r="B8" s="10" t="s">
        <v>1</v>
      </c>
      <c r="C8" s="14">
        <v>46235</v>
      </c>
      <c r="D8" s="11"/>
      <c r="E8" s="11"/>
      <c r="F8" s="12">
        <f t="shared" si="0"/>
        <v>0</v>
      </c>
      <c r="G8" s="20"/>
      <c r="H8" s="20"/>
      <c r="I8" s="9"/>
      <c r="J8" s="9"/>
      <c r="K8" s="9"/>
    </row>
    <row r="9" spans="1:11" s="13" customFormat="1" ht="29.25" thickBot="1" x14ac:dyDescent="0.3">
      <c r="A9" s="19" t="s">
        <v>47</v>
      </c>
      <c r="B9" s="10"/>
      <c r="C9" s="14">
        <v>46235</v>
      </c>
      <c r="D9" s="11"/>
      <c r="E9" s="11"/>
      <c r="F9" s="12">
        <f t="shared" si="0"/>
        <v>0</v>
      </c>
      <c r="G9" s="20"/>
      <c r="H9" s="20"/>
      <c r="I9" s="9"/>
      <c r="J9" s="9"/>
      <c r="K9" s="9"/>
    </row>
    <row r="10" spans="1:11" s="13" customFormat="1" ht="29.25" thickBot="1" x14ac:dyDescent="0.3">
      <c r="A10" s="19" t="s">
        <v>47</v>
      </c>
      <c r="B10" s="10" t="s">
        <v>1</v>
      </c>
      <c r="C10" s="14">
        <v>46235</v>
      </c>
      <c r="D10" s="11"/>
      <c r="E10" s="11"/>
      <c r="F10" s="12">
        <f t="shared" si="0"/>
        <v>0</v>
      </c>
      <c r="G10" s="20"/>
      <c r="H10" s="20"/>
      <c r="I10" s="9"/>
      <c r="J10" s="9"/>
      <c r="K10" s="9"/>
    </row>
    <row r="11" spans="1:11" s="13" customFormat="1" ht="29.25" thickBot="1" x14ac:dyDescent="0.3">
      <c r="A11" s="19" t="s">
        <v>47</v>
      </c>
      <c r="B11" s="10" t="s">
        <v>1</v>
      </c>
      <c r="C11" s="14">
        <v>46236</v>
      </c>
      <c r="D11" s="11">
        <v>0.35416666666666669</v>
      </c>
      <c r="E11" s="11">
        <v>0.6875</v>
      </c>
      <c r="F11" s="12">
        <f>+(E11-D11)*24</f>
        <v>8</v>
      </c>
      <c r="G11" s="20" t="s">
        <v>21</v>
      </c>
      <c r="H11" s="20" t="s">
        <v>30</v>
      </c>
      <c r="I11" s="9"/>
      <c r="J11" s="9" t="s">
        <v>71</v>
      </c>
      <c r="K11" s="9"/>
    </row>
    <row r="12" spans="1:11" s="13" customFormat="1" ht="29.25" thickBot="1" x14ac:dyDescent="0.3">
      <c r="A12" s="19" t="s">
        <v>47</v>
      </c>
      <c r="B12" s="10" t="s">
        <v>1</v>
      </c>
      <c r="C12" s="14">
        <v>46236</v>
      </c>
      <c r="D12" s="11"/>
      <c r="E12" s="11"/>
      <c r="F12" s="12">
        <f t="shared" ref="F12:F64" si="1">+(E12-D12)*24</f>
        <v>0</v>
      </c>
      <c r="G12" s="20"/>
      <c r="H12" s="20"/>
      <c r="I12" s="9"/>
      <c r="J12" s="9"/>
      <c r="K12" s="9"/>
    </row>
    <row r="13" spans="1:11" s="13" customFormat="1" ht="29.25" thickBot="1" x14ac:dyDescent="0.3">
      <c r="A13" s="19" t="s">
        <v>47</v>
      </c>
      <c r="B13" s="10" t="s">
        <v>1</v>
      </c>
      <c r="C13" s="14">
        <v>46236</v>
      </c>
      <c r="D13" s="11"/>
      <c r="E13" s="11"/>
      <c r="F13" s="12">
        <f t="shared" si="1"/>
        <v>0</v>
      </c>
      <c r="G13" s="20"/>
      <c r="H13" s="20"/>
      <c r="I13" s="9"/>
      <c r="J13" s="9"/>
      <c r="K13" s="9"/>
    </row>
    <row r="14" spans="1:11" s="13" customFormat="1" ht="29.25" thickBot="1" x14ac:dyDescent="0.3">
      <c r="A14" s="19" t="s">
        <v>47</v>
      </c>
      <c r="B14" s="10" t="s">
        <v>1</v>
      </c>
      <c r="C14" s="14">
        <v>46236</v>
      </c>
      <c r="D14" s="11"/>
      <c r="E14" s="11"/>
      <c r="F14" s="12">
        <f t="shared" si="1"/>
        <v>0</v>
      </c>
      <c r="G14" s="20"/>
      <c r="H14" s="20"/>
      <c r="I14" s="9"/>
      <c r="J14" s="9"/>
      <c r="K14" s="9"/>
    </row>
    <row r="15" spans="1:11" s="13" customFormat="1" ht="29.25" thickBot="1" x14ac:dyDescent="0.3">
      <c r="A15" s="19" t="s">
        <v>47</v>
      </c>
      <c r="B15" s="10" t="s">
        <v>1</v>
      </c>
      <c r="C15" s="14">
        <v>46236</v>
      </c>
      <c r="D15" s="11"/>
      <c r="E15" s="11"/>
      <c r="F15" s="12">
        <f t="shared" si="1"/>
        <v>0</v>
      </c>
      <c r="G15" s="20"/>
      <c r="H15" s="20"/>
      <c r="I15" s="9"/>
      <c r="J15" s="9"/>
      <c r="K15" s="9"/>
    </row>
    <row r="16" spans="1:11" s="13" customFormat="1" ht="29.25" thickBot="1" x14ac:dyDescent="0.3">
      <c r="A16" s="19" t="s">
        <v>47</v>
      </c>
      <c r="B16" s="10" t="s">
        <v>1</v>
      </c>
      <c r="C16" s="14">
        <v>46236</v>
      </c>
      <c r="D16" s="11"/>
      <c r="E16" s="11"/>
      <c r="F16" s="12">
        <f t="shared" si="1"/>
        <v>0</v>
      </c>
      <c r="G16" s="20"/>
      <c r="H16" s="20"/>
      <c r="I16" s="9"/>
      <c r="J16" s="9"/>
      <c r="K16" s="9"/>
    </row>
    <row r="17" spans="1:11" s="13" customFormat="1" ht="29.25" thickBot="1" x14ac:dyDescent="0.3">
      <c r="A17" s="19" t="s">
        <v>47</v>
      </c>
      <c r="B17" s="10" t="s">
        <v>1</v>
      </c>
      <c r="C17" s="14">
        <v>46236</v>
      </c>
      <c r="D17" s="11"/>
      <c r="E17" s="11"/>
      <c r="F17" s="12">
        <f t="shared" si="1"/>
        <v>0</v>
      </c>
      <c r="G17" s="20"/>
      <c r="H17" s="20"/>
      <c r="I17" s="9"/>
      <c r="J17" s="9"/>
      <c r="K17" s="9"/>
    </row>
    <row r="18" spans="1:11" s="13" customFormat="1" ht="15.75" customHeight="1" thickBot="1" x14ac:dyDescent="0.3">
      <c r="A18" s="19" t="s">
        <v>47</v>
      </c>
      <c r="B18" s="10" t="s">
        <v>1</v>
      </c>
      <c r="C18" s="14">
        <v>46236</v>
      </c>
      <c r="D18" s="11"/>
      <c r="E18" s="11"/>
      <c r="F18" s="12">
        <f t="shared" si="1"/>
        <v>0</v>
      </c>
      <c r="G18" s="20"/>
      <c r="H18" s="20"/>
      <c r="I18" s="9"/>
      <c r="J18" s="9"/>
      <c r="K18" s="9"/>
    </row>
    <row r="19" spans="1:11" s="13" customFormat="1" ht="29.25" thickBot="1" x14ac:dyDescent="0.3">
      <c r="A19" s="19" t="s">
        <v>47</v>
      </c>
      <c r="B19" s="10" t="s">
        <v>1</v>
      </c>
      <c r="C19" s="14">
        <v>46236</v>
      </c>
      <c r="D19" s="11"/>
      <c r="E19" s="11"/>
      <c r="F19" s="12">
        <f t="shared" si="1"/>
        <v>0</v>
      </c>
      <c r="G19" s="20"/>
      <c r="H19" s="20"/>
      <c r="I19" s="9"/>
      <c r="J19" s="9"/>
      <c r="K19" s="9"/>
    </row>
    <row r="20" spans="1:11" s="13" customFormat="1" ht="29.25" thickBot="1" x14ac:dyDescent="0.3">
      <c r="A20" s="19" t="s">
        <v>47</v>
      </c>
      <c r="B20" s="10" t="s">
        <v>1</v>
      </c>
      <c r="C20" s="14">
        <v>46237</v>
      </c>
      <c r="D20" s="11"/>
      <c r="E20" s="11"/>
      <c r="F20" s="12">
        <f t="shared" si="1"/>
        <v>0</v>
      </c>
      <c r="G20" s="20"/>
      <c r="H20" s="20"/>
      <c r="I20" s="9"/>
      <c r="J20" s="9"/>
      <c r="K20" s="9"/>
    </row>
    <row r="21" spans="1:11" s="13" customFormat="1" ht="29.25" thickBot="1" x14ac:dyDescent="0.3">
      <c r="A21" s="19" t="s">
        <v>47</v>
      </c>
      <c r="B21" s="10" t="s">
        <v>1</v>
      </c>
      <c r="C21" s="14">
        <v>46237</v>
      </c>
      <c r="D21" s="11"/>
      <c r="E21" s="11"/>
      <c r="F21" s="12">
        <f t="shared" si="1"/>
        <v>0</v>
      </c>
      <c r="G21" s="20"/>
      <c r="H21" s="20"/>
      <c r="I21" s="9"/>
      <c r="J21" s="9"/>
      <c r="K21" s="9"/>
    </row>
    <row r="22" spans="1:11" s="13" customFormat="1" ht="29.25" thickBot="1" x14ac:dyDescent="0.3">
      <c r="A22" s="19" t="s">
        <v>47</v>
      </c>
      <c r="B22" s="10" t="s">
        <v>1</v>
      </c>
      <c r="C22" s="14">
        <v>46237</v>
      </c>
      <c r="D22" s="11"/>
      <c r="E22" s="11"/>
      <c r="F22" s="12">
        <f t="shared" si="1"/>
        <v>0</v>
      </c>
      <c r="G22" s="20"/>
      <c r="H22" s="20"/>
      <c r="I22" s="9"/>
      <c r="J22" s="9"/>
      <c r="K22" s="9"/>
    </row>
    <row r="23" spans="1:11" s="13" customFormat="1" ht="29.25" thickBot="1" x14ac:dyDescent="0.3">
      <c r="A23" s="19" t="s">
        <v>47</v>
      </c>
      <c r="B23" s="10" t="s">
        <v>1</v>
      </c>
      <c r="C23" s="14">
        <v>46237</v>
      </c>
      <c r="D23" s="11"/>
      <c r="E23" s="11"/>
      <c r="F23" s="12">
        <f t="shared" si="1"/>
        <v>0</v>
      </c>
      <c r="G23" s="20"/>
      <c r="H23" s="20"/>
      <c r="I23" s="9"/>
      <c r="J23" s="9"/>
      <c r="K23" s="9"/>
    </row>
    <row r="24" spans="1:11" s="13" customFormat="1" ht="29.25" thickBot="1" x14ac:dyDescent="0.3">
      <c r="A24" s="19" t="s">
        <v>47</v>
      </c>
      <c r="B24" s="10" t="s">
        <v>1</v>
      </c>
      <c r="C24" s="14">
        <v>46237</v>
      </c>
      <c r="D24" s="11"/>
      <c r="E24" s="11"/>
      <c r="F24" s="12">
        <f t="shared" si="1"/>
        <v>0</v>
      </c>
      <c r="G24" s="20"/>
      <c r="H24" s="20"/>
      <c r="I24" s="9"/>
      <c r="J24" s="9"/>
      <c r="K24" s="9"/>
    </row>
    <row r="25" spans="1:11" s="13" customFormat="1" ht="29.25" thickBot="1" x14ac:dyDescent="0.3">
      <c r="A25" s="19" t="s">
        <v>47</v>
      </c>
      <c r="B25" s="10" t="s">
        <v>1</v>
      </c>
      <c r="C25" s="14">
        <v>46237</v>
      </c>
      <c r="D25" s="11"/>
      <c r="E25" s="11"/>
      <c r="F25" s="12">
        <f t="shared" si="1"/>
        <v>0</v>
      </c>
      <c r="G25" s="20"/>
      <c r="H25" s="20"/>
      <c r="I25" s="9"/>
      <c r="J25" s="9"/>
      <c r="K25" s="9"/>
    </row>
    <row r="26" spans="1:11" s="13" customFormat="1" ht="29.25" thickBot="1" x14ac:dyDescent="0.3">
      <c r="A26" s="19" t="s">
        <v>47</v>
      </c>
      <c r="B26" s="10" t="s">
        <v>1</v>
      </c>
      <c r="C26" s="14">
        <v>46237</v>
      </c>
      <c r="D26" s="11"/>
      <c r="E26" s="11"/>
      <c r="F26" s="12">
        <f t="shared" si="1"/>
        <v>0</v>
      </c>
      <c r="G26" s="20"/>
      <c r="H26" s="20"/>
      <c r="I26" s="9"/>
      <c r="J26" s="9"/>
      <c r="K26" s="9"/>
    </row>
    <row r="27" spans="1:11" s="13" customFormat="1" ht="29.25" thickBot="1" x14ac:dyDescent="0.3">
      <c r="A27" s="19" t="s">
        <v>47</v>
      </c>
      <c r="B27" s="10" t="s">
        <v>1</v>
      </c>
      <c r="C27" s="14">
        <v>46237</v>
      </c>
      <c r="D27" s="11"/>
      <c r="E27" s="11"/>
      <c r="F27" s="12">
        <f t="shared" si="1"/>
        <v>0</v>
      </c>
      <c r="G27" s="20"/>
      <c r="H27" s="20"/>
      <c r="I27" s="9"/>
      <c r="J27" s="9"/>
      <c r="K27" s="9"/>
    </row>
    <row r="28" spans="1:11" s="13" customFormat="1" ht="29.25" thickBot="1" x14ac:dyDescent="0.3">
      <c r="A28" s="19" t="s">
        <v>47</v>
      </c>
      <c r="B28" s="10" t="s">
        <v>1</v>
      </c>
      <c r="C28" s="14">
        <v>46237</v>
      </c>
      <c r="D28" s="11"/>
      <c r="E28" s="11"/>
      <c r="F28" s="12">
        <f t="shared" si="1"/>
        <v>0</v>
      </c>
      <c r="G28" s="20"/>
      <c r="H28" s="20"/>
      <c r="I28" s="9"/>
      <c r="J28" s="9"/>
      <c r="K28" s="9"/>
    </row>
    <row r="29" spans="1:11" s="13" customFormat="1" ht="29.25" thickBot="1" x14ac:dyDescent="0.3">
      <c r="A29" s="19" t="s">
        <v>47</v>
      </c>
      <c r="B29" s="10" t="s">
        <v>1</v>
      </c>
      <c r="C29" s="14">
        <v>46238</v>
      </c>
      <c r="D29" s="11"/>
      <c r="E29" s="11"/>
      <c r="F29" s="12">
        <f t="shared" si="1"/>
        <v>0</v>
      </c>
      <c r="G29" s="20"/>
      <c r="H29" s="20"/>
      <c r="I29" s="9"/>
      <c r="J29" s="9"/>
      <c r="K29" s="9"/>
    </row>
    <row r="30" spans="1:11" s="13" customFormat="1" ht="29.25" thickBot="1" x14ac:dyDescent="0.3">
      <c r="A30" s="19" t="s">
        <v>47</v>
      </c>
      <c r="B30" s="10" t="s">
        <v>1</v>
      </c>
      <c r="C30" s="14">
        <v>46238</v>
      </c>
      <c r="D30" s="11"/>
      <c r="E30" s="11"/>
      <c r="F30" s="12">
        <f t="shared" si="1"/>
        <v>0</v>
      </c>
      <c r="G30" s="20"/>
      <c r="H30" s="20"/>
      <c r="I30" s="9"/>
      <c r="J30" s="9"/>
      <c r="K30" s="9"/>
    </row>
    <row r="31" spans="1:11" s="13" customFormat="1" ht="29.25" thickBot="1" x14ac:dyDescent="0.3">
      <c r="A31" s="19" t="s">
        <v>47</v>
      </c>
      <c r="B31" s="10" t="s">
        <v>1</v>
      </c>
      <c r="C31" s="14">
        <v>46238</v>
      </c>
      <c r="D31" s="11"/>
      <c r="E31" s="11"/>
      <c r="F31" s="12">
        <f t="shared" si="1"/>
        <v>0</v>
      </c>
      <c r="G31" s="20"/>
      <c r="H31" s="20"/>
      <c r="I31" s="9"/>
      <c r="J31" s="9"/>
      <c r="K31" s="9"/>
    </row>
    <row r="32" spans="1:11" s="13" customFormat="1" ht="29.25" thickBot="1" x14ac:dyDescent="0.3">
      <c r="A32" s="19" t="s">
        <v>47</v>
      </c>
      <c r="B32" s="10" t="s">
        <v>1</v>
      </c>
      <c r="C32" s="14">
        <v>46238</v>
      </c>
      <c r="D32" s="11"/>
      <c r="E32" s="11"/>
      <c r="F32" s="12">
        <f t="shared" si="1"/>
        <v>0</v>
      </c>
      <c r="G32" s="20"/>
      <c r="H32" s="20"/>
      <c r="I32" s="9"/>
      <c r="J32" s="9"/>
      <c r="K32" s="9"/>
    </row>
    <row r="33" spans="1:11" s="13" customFormat="1" ht="29.25" thickBot="1" x14ac:dyDescent="0.3">
      <c r="A33" s="19" t="s">
        <v>47</v>
      </c>
      <c r="B33" s="10" t="s">
        <v>1</v>
      </c>
      <c r="C33" s="14">
        <v>46238</v>
      </c>
      <c r="D33" s="11"/>
      <c r="E33" s="11"/>
      <c r="F33" s="12">
        <f t="shared" si="1"/>
        <v>0</v>
      </c>
      <c r="G33" s="20"/>
      <c r="H33" s="20"/>
      <c r="I33" s="9"/>
      <c r="J33" s="9"/>
      <c r="K33" s="9"/>
    </row>
    <row r="34" spans="1:11" s="13" customFormat="1" ht="29.25" thickBot="1" x14ac:dyDescent="0.3">
      <c r="A34" s="19" t="s">
        <v>47</v>
      </c>
      <c r="B34" s="10" t="s">
        <v>1</v>
      </c>
      <c r="C34" s="14">
        <v>46238</v>
      </c>
      <c r="D34" s="11"/>
      <c r="E34" s="11"/>
      <c r="F34" s="12">
        <f t="shared" si="1"/>
        <v>0</v>
      </c>
      <c r="G34" s="20"/>
      <c r="H34" s="20"/>
      <c r="I34" s="9"/>
      <c r="J34" s="9"/>
      <c r="K34" s="9"/>
    </row>
    <row r="35" spans="1:11" s="13" customFormat="1" ht="29.25" thickBot="1" x14ac:dyDescent="0.3">
      <c r="A35" s="19" t="s">
        <v>47</v>
      </c>
      <c r="B35" s="10" t="s">
        <v>1</v>
      </c>
      <c r="C35" s="14">
        <v>46238</v>
      </c>
      <c r="D35" s="11"/>
      <c r="E35" s="11"/>
      <c r="F35" s="12">
        <f t="shared" si="1"/>
        <v>0</v>
      </c>
      <c r="G35" s="20"/>
      <c r="H35" s="20"/>
      <c r="I35" s="9"/>
      <c r="J35" s="9"/>
      <c r="K35" s="9"/>
    </row>
    <row r="36" spans="1:11" s="13" customFormat="1" ht="29.25" thickBot="1" x14ac:dyDescent="0.3">
      <c r="A36" s="19" t="s">
        <v>47</v>
      </c>
      <c r="B36" s="10" t="s">
        <v>1</v>
      </c>
      <c r="C36" s="14">
        <v>46238</v>
      </c>
      <c r="D36" s="11"/>
      <c r="E36" s="11"/>
      <c r="F36" s="12">
        <f t="shared" si="1"/>
        <v>0</v>
      </c>
      <c r="G36" s="20"/>
      <c r="H36" s="20"/>
      <c r="I36" s="9"/>
      <c r="J36" s="9"/>
      <c r="K36" s="9"/>
    </row>
    <row r="37" spans="1:11" s="13" customFormat="1" ht="29.25" thickBot="1" x14ac:dyDescent="0.3">
      <c r="A37" s="19" t="s">
        <v>47</v>
      </c>
      <c r="B37" s="10" t="s">
        <v>1</v>
      </c>
      <c r="C37" s="14">
        <v>46238</v>
      </c>
      <c r="D37" s="11"/>
      <c r="E37" s="11"/>
      <c r="F37" s="12">
        <f t="shared" si="1"/>
        <v>0</v>
      </c>
      <c r="G37" s="20"/>
      <c r="H37" s="20"/>
      <c r="I37" s="9"/>
      <c r="J37" s="9"/>
      <c r="K37" s="9"/>
    </row>
    <row r="38" spans="1:11" s="13" customFormat="1" ht="29.25" thickBot="1" x14ac:dyDescent="0.3">
      <c r="A38" s="19" t="s">
        <v>47</v>
      </c>
      <c r="B38" s="10" t="s">
        <v>1</v>
      </c>
      <c r="C38" s="14">
        <v>46239</v>
      </c>
      <c r="D38" s="11"/>
      <c r="E38" s="11"/>
      <c r="F38" s="12">
        <f t="shared" si="1"/>
        <v>0</v>
      </c>
      <c r="G38" s="20"/>
      <c r="H38" s="20"/>
      <c r="I38" s="9"/>
      <c r="J38" s="9"/>
      <c r="K38" s="9"/>
    </row>
    <row r="39" spans="1:11" s="13" customFormat="1" ht="29.25" thickBot="1" x14ac:dyDescent="0.3">
      <c r="A39" s="19" t="s">
        <v>47</v>
      </c>
      <c r="B39" s="10" t="s">
        <v>1</v>
      </c>
      <c r="C39" s="14">
        <v>46239</v>
      </c>
      <c r="D39" s="11"/>
      <c r="E39" s="11"/>
      <c r="F39" s="12">
        <f t="shared" si="1"/>
        <v>0</v>
      </c>
      <c r="G39" s="20"/>
      <c r="H39" s="20"/>
      <c r="I39" s="9"/>
      <c r="J39" s="9"/>
      <c r="K39" s="9"/>
    </row>
    <row r="40" spans="1:11" s="13" customFormat="1" ht="29.25" thickBot="1" x14ac:dyDescent="0.3">
      <c r="A40" s="19" t="s">
        <v>47</v>
      </c>
      <c r="B40" s="10" t="s">
        <v>1</v>
      </c>
      <c r="C40" s="14">
        <v>46239</v>
      </c>
      <c r="D40" s="11"/>
      <c r="E40" s="11"/>
      <c r="F40" s="12">
        <f t="shared" si="1"/>
        <v>0</v>
      </c>
      <c r="G40" s="20"/>
      <c r="H40" s="20"/>
      <c r="I40" s="9"/>
      <c r="J40" s="9"/>
      <c r="K40" s="9"/>
    </row>
    <row r="41" spans="1:11" s="13" customFormat="1" ht="29.25" thickBot="1" x14ac:dyDescent="0.3">
      <c r="A41" s="19" t="s">
        <v>47</v>
      </c>
      <c r="B41" s="10" t="s">
        <v>1</v>
      </c>
      <c r="C41" s="14">
        <v>46239</v>
      </c>
      <c r="D41" s="11"/>
      <c r="E41" s="11"/>
      <c r="F41" s="12">
        <f t="shared" si="1"/>
        <v>0</v>
      </c>
      <c r="G41" s="20"/>
      <c r="H41" s="20"/>
      <c r="I41" s="9"/>
      <c r="J41" s="9"/>
      <c r="K41" s="9"/>
    </row>
    <row r="42" spans="1:11" s="13" customFormat="1" ht="29.25" thickBot="1" x14ac:dyDescent="0.3">
      <c r="A42" s="19" t="s">
        <v>47</v>
      </c>
      <c r="B42" s="10" t="s">
        <v>1</v>
      </c>
      <c r="C42" s="14">
        <v>46239</v>
      </c>
      <c r="D42" s="11"/>
      <c r="E42" s="11"/>
      <c r="F42" s="12">
        <f t="shared" si="1"/>
        <v>0</v>
      </c>
      <c r="G42" s="20"/>
      <c r="H42" s="20"/>
      <c r="I42" s="9"/>
      <c r="J42" s="9"/>
      <c r="K42" s="9"/>
    </row>
    <row r="43" spans="1:11" s="13" customFormat="1" ht="29.25" thickBot="1" x14ac:dyDescent="0.3">
      <c r="A43" s="19" t="s">
        <v>47</v>
      </c>
      <c r="B43" s="10" t="s">
        <v>1</v>
      </c>
      <c r="C43" s="14">
        <v>46239</v>
      </c>
      <c r="D43" s="11"/>
      <c r="E43" s="11"/>
      <c r="F43" s="12">
        <f t="shared" si="1"/>
        <v>0</v>
      </c>
      <c r="G43" s="20"/>
      <c r="H43" s="20"/>
      <c r="I43" s="9"/>
      <c r="J43" s="9"/>
      <c r="K43" s="9"/>
    </row>
    <row r="44" spans="1:11" s="13" customFormat="1" ht="29.25" thickBot="1" x14ac:dyDescent="0.3">
      <c r="A44" s="19" t="s">
        <v>47</v>
      </c>
      <c r="B44" s="10" t="s">
        <v>1</v>
      </c>
      <c r="C44" s="14">
        <v>46239</v>
      </c>
      <c r="D44" s="11"/>
      <c r="E44" s="11"/>
      <c r="F44" s="12">
        <f t="shared" si="1"/>
        <v>0</v>
      </c>
      <c r="G44" s="20"/>
      <c r="H44" s="20"/>
      <c r="I44" s="9"/>
      <c r="J44" s="9"/>
      <c r="K44" s="9"/>
    </row>
    <row r="45" spans="1:11" s="13" customFormat="1" ht="29.25" thickBot="1" x14ac:dyDescent="0.3">
      <c r="A45" s="19" t="s">
        <v>47</v>
      </c>
      <c r="B45" s="10" t="s">
        <v>1</v>
      </c>
      <c r="C45" s="14">
        <v>46239</v>
      </c>
      <c r="D45" s="11"/>
      <c r="E45" s="11"/>
      <c r="F45" s="12">
        <f t="shared" si="1"/>
        <v>0</v>
      </c>
      <c r="G45" s="20"/>
      <c r="H45" s="20"/>
      <c r="I45" s="9"/>
      <c r="J45" s="9"/>
      <c r="K45" s="9"/>
    </row>
    <row r="46" spans="1:11" s="13" customFormat="1" ht="29.25" thickBot="1" x14ac:dyDescent="0.3">
      <c r="A46" s="19" t="s">
        <v>47</v>
      </c>
      <c r="B46" s="10" t="s">
        <v>1</v>
      </c>
      <c r="C46" s="14">
        <v>46239</v>
      </c>
      <c r="D46" s="11"/>
      <c r="E46" s="11"/>
      <c r="F46" s="12">
        <f t="shared" si="1"/>
        <v>0</v>
      </c>
      <c r="G46" s="20"/>
      <c r="H46" s="20"/>
      <c r="I46" s="9"/>
      <c r="J46" s="9"/>
      <c r="K46" s="9"/>
    </row>
    <row r="47" spans="1:11" s="13" customFormat="1" ht="29.25" thickBot="1" x14ac:dyDescent="0.3">
      <c r="A47" s="19" t="s">
        <v>47</v>
      </c>
      <c r="B47" s="10" t="s">
        <v>1</v>
      </c>
      <c r="C47" s="14">
        <v>46240</v>
      </c>
      <c r="D47" s="11"/>
      <c r="E47" s="11"/>
      <c r="F47" s="12">
        <f t="shared" si="1"/>
        <v>0</v>
      </c>
      <c r="G47" s="20"/>
      <c r="H47" s="20"/>
      <c r="I47" s="9"/>
      <c r="J47" s="9"/>
      <c r="K47" s="9"/>
    </row>
    <row r="48" spans="1:11" s="13" customFormat="1" ht="29.25" thickBot="1" x14ac:dyDescent="0.3">
      <c r="A48" s="19" t="s">
        <v>47</v>
      </c>
      <c r="B48" s="10" t="s">
        <v>1</v>
      </c>
      <c r="C48" s="14">
        <v>46240</v>
      </c>
      <c r="D48" s="11"/>
      <c r="E48" s="11"/>
      <c r="F48" s="12">
        <f t="shared" si="1"/>
        <v>0</v>
      </c>
      <c r="G48" s="20"/>
      <c r="H48" s="20"/>
      <c r="I48" s="9"/>
      <c r="J48" s="9"/>
      <c r="K48" s="9"/>
    </row>
    <row r="49" spans="1:11" s="13" customFormat="1" ht="13.9" customHeight="1" thickBot="1" x14ac:dyDescent="0.3">
      <c r="A49" s="19" t="s">
        <v>47</v>
      </c>
      <c r="B49" s="10" t="s">
        <v>1</v>
      </c>
      <c r="C49" s="14">
        <v>46240</v>
      </c>
      <c r="D49" s="11"/>
      <c r="E49" s="11"/>
      <c r="F49" s="12">
        <f t="shared" si="1"/>
        <v>0</v>
      </c>
      <c r="G49" s="20"/>
      <c r="H49" s="20"/>
      <c r="I49" s="9"/>
      <c r="J49" s="9"/>
      <c r="K49" s="9"/>
    </row>
    <row r="50" spans="1:11" s="13" customFormat="1" ht="29.25" thickBot="1" x14ac:dyDescent="0.3">
      <c r="A50" s="19" t="s">
        <v>47</v>
      </c>
      <c r="B50" s="10" t="s">
        <v>1</v>
      </c>
      <c r="C50" s="14">
        <v>46240</v>
      </c>
      <c r="D50" s="11"/>
      <c r="E50" s="11"/>
      <c r="F50" s="12">
        <f t="shared" si="1"/>
        <v>0</v>
      </c>
      <c r="G50" s="20"/>
      <c r="H50" s="20"/>
      <c r="I50" s="9"/>
      <c r="J50" s="9"/>
      <c r="K50" s="9"/>
    </row>
    <row r="51" spans="1:11" s="13" customFormat="1" ht="29.25" thickBot="1" x14ac:dyDescent="0.3">
      <c r="A51" s="19" t="s">
        <v>47</v>
      </c>
      <c r="B51" s="10" t="s">
        <v>1</v>
      </c>
      <c r="C51" s="14">
        <v>46240</v>
      </c>
      <c r="D51" s="11"/>
      <c r="E51" s="11"/>
      <c r="F51" s="12">
        <f t="shared" si="1"/>
        <v>0</v>
      </c>
      <c r="G51" s="20"/>
      <c r="H51" s="20"/>
      <c r="I51" s="9"/>
      <c r="J51" s="9"/>
      <c r="K51" s="9"/>
    </row>
    <row r="52" spans="1:11" s="13" customFormat="1" ht="29.25" thickBot="1" x14ac:dyDescent="0.3">
      <c r="A52" s="19" t="s">
        <v>47</v>
      </c>
      <c r="B52" s="10" t="s">
        <v>1</v>
      </c>
      <c r="C52" s="14">
        <v>46240</v>
      </c>
      <c r="D52" s="11"/>
      <c r="E52" s="11"/>
      <c r="F52" s="12">
        <f t="shared" si="1"/>
        <v>0</v>
      </c>
      <c r="G52" s="20"/>
      <c r="H52" s="20"/>
      <c r="I52" s="9"/>
      <c r="J52" s="9"/>
      <c r="K52" s="9"/>
    </row>
    <row r="53" spans="1:11" s="13" customFormat="1" ht="29.25" thickBot="1" x14ac:dyDescent="0.3">
      <c r="A53" s="19" t="s">
        <v>47</v>
      </c>
      <c r="B53" s="10"/>
      <c r="C53" s="14">
        <v>46240</v>
      </c>
      <c r="D53" s="11"/>
      <c r="E53" s="11"/>
      <c r="F53" s="12">
        <f t="shared" si="1"/>
        <v>0</v>
      </c>
      <c r="G53" s="20"/>
      <c r="H53" s="20"/>
      <c r="I53" s="9"/>
      <c r="J53" s="9"/>
      <c r="K53" s="9"/>
    </row>
    <row r="54" spans="1:11" s="13" customFormat="1" ht="29.25" thickBot="1" x14ac:dyDescent="0.3">
      <c r="A54" s="19" t="s">
        <v>47</v>
      </c>
      <c r="B54" s="10"/>
      <c r="C54" s="14">
        <v>46240</v>
      </c>
      <c r="D54" s="11"/>
      <c r="E54" s="11"/>
      <c r="F54" s="12">
        <f t="shared" si="1"/>
        <v>0</v>
      </c>
      <c r="G54" s="20"/>
      <c r="H54" s="20"/>
      <c r="I54" s="9"/>
      <c r="J54" s="9"/>
      <c r="K54" s="9"/>
    </row>
    <row r="55" spans="1:11" s="13" customFormat="1" ht="29.25" thickBot="1" x14ac:dyDescent="0.3">
      <c r="A55" s="19" t="s">
        <v>47</v>
      </c>
      <c r="B55" s="10"/>
      <c r="C55" s="14">
        <v>46240</v>
      </c>
      <c r="D55" s="11"/>
      <c r="E55" s="11"/>
      <c r="F55" s="12">
        <f t="shared" si="1"/>
        <v>0</v>
      </c>
      <c r="G55" s="20"/>
      <c r="H55" s="20"/>
      <c r="I55" s="9"/>
      <c r="J55" s="9"/>
      <c r="K55" s="9"/>
    </row>
    <row r="56" spans="1:11" s="13" customFormat="1" ht="29.25" thickBot="1" x14ac:dyDescent="0.3">
      <c r="A56" s="19" t="s">
        <v>47</v>
      </c>
      <c r="B56" s="10"/>
      <c r="C56" s="14">
        <v>46241</v>
      </c>
      <c r="D56" s="11"/>
      <c r="E56" s="11"/>
      <c r="F56" s="12">
        <f t="shared" si="1"/>
        <v>0</v>
      </c>
      <c r="G56" s="20"/>
      <c r="H56" s="20"/>
      <c r="I56" s="9"/>
      <c r="J56" s="9"/>
      <c r="K56" s="9"/>
    </row>
    <row r="57" spans="1:11" s="13" customFormat="1" ht="29.25" thickBot="1" x14ac:dyDescent="0.3">
      <c r="A57" s="19" t="s">
        <v>47</v>
      </c>
      <c r="B57" s="10"/>
      <c r="C57" s="14">
        <v>46241</v>
      </c>
      <c r="D57" s="11"/>
      <c r="E57" s="11"/>
      <c r="F57" s="12">
        <f t="shared" si="1"/>
        <v>0</v>
      </c>
      <c r="G57" s="20"/>
      <c r="H57" s="20"/>
      <c r="I57" s="9"/>
      <c r="J57" s="9"/>
      <c r="K57" s="9"/>
    </row>
    <row r="58" spans="1:11" s="13" customFormat="1" ht="29.25" thickBot="1" x14ac:dyDescent="0.3">
      <c r="A58" s="19" t="s">
        <v>47</v>
      </c>
      <c r="B58" s="10"/>
      <c r="C58" s="14">
        <v>46241</v>
      </c>
      <c r="D58" s="11"/>
      <c r="E58" s="11"/>
      <c r="F58" s="12">
        <f t="shared" si="1"/>
        <v>0</v>
      </c>
      <c r="G58" s="20"/>
      <c r="H58" s="20"/>
      <c r="I58" s="9"/>
      <c r="J58" s="9"/>
      <c r="K58" s="9"/>
    </row>
    <row r="59" spans="1:11" s="13" customFormat="1" ht="29.25" thickBot="1" x14ac:dyDescent="0.3">
      <c r="A59" s="19" t="s">
        <v>47</v>
      </c>
      <c r="B59" s="10"/>
      <c r="C59" s="14">
        <v>46241</v>
      </c>
      <c r="D59" s="11"/>
      <c r="E59" s="11"/>
      <c r="F59" s="12">
        <f t="shared" si="1"/>
        <v>0</v>
      </c>
      <c r="G59" s="20"/>
      <c r="H59" s="20"/>
      <c r="I59" s="9"/>
      <c r="J59" s="9"/>
      <c r="K59" s="9"/>
    </row>
    <row r="60" spans="1:11" s="13" customFormat="1" ht="29.25" thickBot="1" x14ac:dyDescent="0.3">
      <c r="A60" s="19" t="s">
        <v>47</v>
      </c>
      <c r="B60" s="10"/>
      <c r="C60" s="14">
        <v>46241</v>
      </c>
      <c r="D60" s="11"/>
      <c r="E60" s="11"/>
      <c r="F60" s="12">
        <f t="shared" si="1"/>
        <v>0</v>
      </c>
      <c r="G60" s="20"/>
      <c r="H60" s="20"/>
      <c r="I60" s="9"/>
      <c r="J60" s="9"/>
      <c r="K60" s="9"/>
    </row>
    <row r="61" spans="1:11" s="13" customFormat="1" ht="29.25" thickBot="1" x14ac:dyDescent="0.3">
      <c r="A61" s="19" t="s">
        <v>47</v>
      </c>
      <c r="B61" s="10"/>
      <c r="C61" s="14">
        <v>46241</v>
      </c>
      <c r="D61" s="11"/>
      <c r="E61" s="11"/>
      <c r="F61" s="12">
        <f t="shared" si="1"/>
        <v>0</v>
      </c>
      <c r="G61" s="20"/>
      <c r="H61" s="20"/>
      <c r="I61" s="9"/>
      <c r="J61" s="9"/>
      <c r="K61" s="9"/>
    </row>
    <row r="62" spans="1:11" s="13" customFormat="1" ht="29.25" thickBot="1" x14ac:dyDescent="0.3">
      <c r="A62" s="19" t="s">
        <v>47</v>
      </c>
      <c r="B62" s="10"/>
      <c r="C62" s="14">
        <v>46241</v>
      </c>
      <c r="D62" s="11"/>
      <c r="E62" s="11"/>
      <c r="F62" s="12">
        <f t="shared" si="1"/>
        <v>0</v>
      </c>
      <c r="G62" s="20"/>
      <c r="H62" s="20"/>
      <c r="I62" s="9"/>
      <c r="J62" s="9"/>
      <c r="K62" s="9"/>
    </row>
    <row r="63" spans="1:11" s="13" customFormat="1" ht="29.25" thickBot="1" x14ac:dyDescent="0.3">
      <c r="A63" s="19" t="s">
        <v>47</v>
      </c>
      <c r="B63" s="10"/>
      <c r="C63" s="14">
        <v>46241</v>
      </c>
      <c r="D63" s="11"/>
      <c r="E63" s="11"/>
      <c r="F63" s="12">
        <f t="shared" si="1"/>
        <v>0</v>
      </c>
      <c r="G63" s="20"/>
      <c r="H63" s="20"/>
      <c r="I63" s="9"/>
      <c r="J63" s="9"/>
      <c r="K63" s="9"/>
    </row>
    <row r="64" spans="1:11" s="13" customFormat="1" ht="29.25" thickBot="1" x14ac:dyDescent="0.3">
      <c r="A64" s="19" t="s">
        <v>47</v>
      </c>
      <c r="B64" s="10"/>
      <c r="C64" s="14">
        <v>46241</v>
      </c>
      <c r="D64" s="11"/>
      <c r="E64" s="11"/>
      <c r="F64" s="12">
        <f t="shared" si="1"/>
        <v>0</v>
      </c>
      <c r="G64" s="20"/>
      <c r="H64" s="20"/>
      <c r="I64" s="9"/>
      <c r="J64" s="9"/>
      <c r="K64" s="9"/>
    </row>
    <row r="65" spans="1:11" s="13" customFormat="1" ht="29.25" thickBot="1" x14ac:dyDescent="0.3">
      <c r="A65" s="19" t="s">
        <v>47</v>
      </c>
      <c r="B65" s="10"/>
      <c r="C65" s="14">
        <v>46242</v>
      </c>
      <c r="D65" s="11">
        <v>0.35416666666666669</v>
      </c>
      <c r="E65" s="11">
        <v>0.6875</v>
      </c>
      <c r="F65" s="12">
        <f>+(E65-D65)*24</f>
        <v>8</v>
      </c>
      <c r="G65" s="20" t="s">
        <v>21</v>
      </c>
      <c r="H65" s="20" t="s">
        <v>30</v>
      </c>
      <c r="I65" s="9"/>
      <c r="J65" s="9" t="s">
        <v>71</v>
      </c>
      <c r="K65" s="9"/>
    </row>
    <row r="66" spans="1:11" s="13" customFormat="1" ht="29.25" thickBot="1" x14ac:dyDescent="0.3">
      <c r="A66" s="19" t="s">
        <v>47</v>
      </c>
      <c r="B66" s="10"/>
      <c r="C66" s="14">
        <v>46242</v>
      </c>
      <c r="D66" s="11"/>
      <c r="E66" s="11"/>
      <c r="F66" s="12"/>
      <c r="G66" s="20"/>
      <c r="H66" s="20"/>
      <c r="I66" s="9"/>
      <c r="J66" s="9"/>
      <c r="K66" s="9"/>
    </row>
    <row r="67" spans="1:11" s="13" customFormat="1" ht="29.25" thickBot="1" x14ac:dyDescent="0.3">
      <c r="A67" s="19" t="s">
        <v>47</v>
      </c>
      <c r="B67" s="10"/>
      <c r="C67" s="14">
        <v>46242</v>
      </c>
      <c r="D67" s="11"/>
      <c r="E67" s="11"/>
      <c r="F67" s="12">
        <f t="shared" ref="F67:F73" si="2">+(E67-D67)*24</f>
        <v>0</v>
      </c>
      <c r="G67" s="20"/>
      <c r="H67" s="20"/>
      <c r="I67" s="9"/>
      <c r="J67" s="9"/>
      <c r="K67" s="9"/>
    </row>
    <row r="68" spans="1:11" s="13" customFormat="1" ht="29.25" thickBot="1" x14ac:dyDescent="0.3">
      <c r="A68" s="19" t="s">
        <v>47</v>
      </c>
      <c r="B68" s="10"/>
      <c r="C68" s="14">
        <v>46242</v>
      </c>
      <c r="D68" s="11"/>
      <c r="E68" s="11"/>
      <c r="F68" s="12">
        <f t="shared" si="2"/>
        <v>0</v>
      </c>
      <c r="G68" s="20"/>
      <c r="H68" s="20"/>
      <c r="I68" s="9"/>
      <c r="J68" s="9"/>
      <c r="K68" s="9"/>
    </row>
    <row r="69" spans="1:11" s="13" customFormat="1" ht="29.25" thickBot="1" x14ac:dyDescent="0.3">
      <c r="A69" s="19" t="s">
        <v>47</v>
      </c>
      <c r="B69" s="10"/>
      <c r="C69" s="14">
        <v>46242</v>
      </c>
      <c r="D69" s="11"/>
      <c r="E69" s="11"/>
      <c r="F69" s="12">
        <f t="shared" si="2"/>
        <v>0</v>
      </c>
      <c r="G69" s="20"/>
      <c r="H69" s="20"/>
      <c r="I69" s="9"/>
      <c r="J69" s="9"/>
      <c r="K69" s="9"/>
    </row>
    <row r="70" spans="1:11" s="13" customFormat="1" ht="29.25" thickBot="1" x14ac:dyDescent="0.3">
      <c r="A70" s="19" t="s">
        <v>47</v>
      </c>
      <c r="B70" s="10"/>
      <c r="C70" s="14">
        <v>46242</v>
      </c>
      <c r="D70" s="11"/>
      <c r="E70" s="11"/>
      <c r="F70" s="12">
        <f t="shared" si="2"/>
        <v>0</v>
      </c>
      <c r="G70" s="20"/>
      <c r="H70" s="20"/>
      <c r="I70" s="9"/>
      <c r="J70" s="9"/>
      <c r="K70" s="9"/>
    </row>
    <row r="71" spans="1:11" s="13" customFormat="1" ht="29.25" thickBot="1" x14ac:dyDescent="0.3">
      <c r="A71" s="19" t="s">
        <v>47</v>
      </c>
      <c r="B71" s="10"/>
      <c r="C71" s="14">
        <v>46242</v>
      </c>
      <c r="D71" s="11"/>
      <c r="E71" s="11"/>
      <c r="F71" s="12">
        <f t="shared" si="2"/>
        <v>0</v>
      </c>
      <c r="G71" s="20"/>
      <c r="H71" s="20"/>
      <c r="I71" s="9"/>
      <c r="J71" s="9"/>
      <c r="K71" s="9"/>
    </row>
    <row r="72" spans="1:11" s="13" customFormat="1" ht="29.25" thickBot="1" x14ac:dyDescent="0.3">
      <c r="A72" s="19" t="s">
        <v>47</v>
      </c>
      <c r="B72" s="10"/>
      <c r="C72" s="14">
        <v>46242</v>
      </c>
      <c r="D72" s="11"/>
      <c r="E72" s="11"/>
      <c r="F72" s="12">
        <f t="shared" si="2"/>
        <v>0</v>
      </c>
      <c r="G72" s="20"/>
      <c r="H72" s="20"/>
      <c r="I72" s="9"/>
      <c r="J72" s="9"/>
      <c r="K72" s="9"/>
    </row>
    <row r="73" spans="1:11" s="13" customFormat="1" ht="29.25" thickBot="1" x14ac:dyDescent="0.3">
      <c r="A73" s="19" t="s">
        <v>47</v>
      </c>
      <c r="B73" s="10"/>
      <c r="C73" s="14">
        <v>46242</v>
      </c>
      <c r="D73" s="11"/>
      <c r="E73" s="11"/>
      <c r="F73" s="12">
        <f t="shared" si="2"/>
        <v>0</v>
      </c>
      <c r="G73" s="20"/>
      <c r="H73" s="20"/>
      <c r="I73" s="9"/>
      <c r="J73" s="9"/>
      <c r="K73" s="9"/>
    </row>
    <row r="74" spans="1:11" s="13" customFormat="1" ht="29.25" thickBot="1" x14ac:dyDescent="0.3">
      <c r="A74" s="19" t="s">
        <v>47</v>
      </c>
      <c r="B74" s="10"/>
      <c r="C74" s="14">
        <v>46243</v>
      </c>
      <c r="D74" s="11">
        <v>0.35416666666666669</v>
      </c>
      <c r="E74" s="11">
        <v>0.6875</v>
      </c>
      <c r="F74" s="12">
        <f>+(E74-D74)*24</f>
        <v>8</v>
      </c>
      <c r="G74" s="20" t="s">
        <v>21</v>
      </c>
      <c r="H74" s="20" t="s">
        <v>30</v>
      </c>
      <c r="I74" s="9"/>
      <c r="J74" s="9" t="s">
        <v>71</v>
      </c>
      <c r="K74" s="9"/>
    </row>
    <row r="75" spans="1:11" s="13" customFormat="1" ht="29.25" thickBot="1" x14ac:dyDescent="0.3">
      <c r="A75" s="19" t="s">
        <v>47</v>
      </c>
      <c r="B75" s="10"/>
      <c r="C75" s="14">
        <v>46243</v>
      </c>
      <c r="D75" s="11"/>
      <c r="E75" s="11"/>
      <c r="F75" s="12">
        <f t="shared" ref="F75:F127" si="3">+(E75-D75)*24</f>
        <v>0</v>
      </c>
      <c r="G75" s="20"/>
      <c r="H75" s="20"/>
      <c r="I75" s="9"/>
      <c r="J75" s="9"/>
      <c r="K75" s="9"/>
    </row>
    <row r="76" spans="1:11" s="13" customFormat="1" ht="29.25" thickBot="1" x14ac:dyDescent="0.3">
      <c r="A76" s="19" t="s">
        <v>47</v>
      </c>
      <c r="B76" s="10"/>
      <c r="C76" s="14">
        <v>46243</v>
      </c>
      <c r="D76" s="11"/>
      <c r="E76" s="11"/>
      <c r="F76" s="12">
        <f t="shared" si="3"/>
        <v>0</v>
      </c>
      <c r="G76" s="20"/>
      <c r="H76" s="20"/>
      <c r="I76" s="9"/>
      <c r="J76" s="9"/>
      <c r="K76" s="9"/>
    </row>
    <row r="77" spans="1:11" s="13" customFormat="1" ht="29.25" thickBot="1" x14ac:dyDescent="0.3">
      <c r="A77" s="19" t="s">
        <v>47</v>
      </c>
      <c r="B77" s="10"/>
      <c r="C77" s="14">
        <v>46243</v>
      </c>
      <c r="D77" s="11"/>
      <c r="E77" s="11"/>
      <c r="F77" s="12">
        <f t="shared" si="3"/>
        <v>0</v>
      </c>
      <c r="G77" s="20"/>
      <c r="H77" s="20"/>
      <c r="I77" s="9"/>
      <c r="J77" s="9"/>
      <c r="K77" s="9"/>
    </row>
    <row r="78" spans="1:11" s="13" customFormat="1" ht="29.25" thickBot="1" x14ac:dyDescent="0.3">
      <c r="A78" s="19" t="s">
        <v>47</v>
      </c>
      <c r="B78" s="10"/>
      <c r="C78" s="14">
        <v>46243</v>
      </c>
      <c r="D78" s="11"/>
      <c r="E78" s="11"/>
      <c r="F78" s="12">
        <f t="shared" si="3"/>
        <v>0</v>
      </c>
      <c r="G78" s="20"/>
      <c r="H78" s="20"/>
      <c r="I78" s="9"/>
      <c r="J78" s="9"/>
      <c r="K78" s="9"/>
    </row>
    <row r="79" spans="1:11" s="13" customFormat="1" ht="29.25" thickBot="1" x14ac:dyDescent="0.3">
      <c r="A79" s="19" t="s">
        <v>47</v>
      </c>
      <c r="B79" s="10"/>
      <c r="C79" s="14">
        <v>46243</v>
      </c>
      <c r="D79" s="11"/>
      <c r="E79" s="11"/>
      <c r="F79" s="12">
        <f t="shared" si="3"/>
        <v>0</v>
      </c>
      <c r="G79" s="20"/>
      <c r="H79" s="20"/>
      <c r="I79" s="9"/>
      <c r="J79" s="9"/>
      <c r="K79" s="9"/>
    </row>
    <row r="80" spans="1:11" s="13" customFormat="1" ht="29.25" thickBot="1" x14ac:dyDescent="0.3">
      <c r="A80" s="19" t="s">
        <v>47</v>
      </c>
      <c r="B80" s="10"/>
      <c r="C80" s="14">
        <v>46243</v>
      </c>
      <c r="D80" s="11"/>
      <c r="E80" s="11"/>
      <c r="F80" s="12">
        <f t="shared" si="3"/>
        <v>0</v>
      </c>
      <c r="G80" s="20"/>
      <c r="H80" s="20"/>
      <c r="I80" s="9"/>
      <c r="J80" s="9"/>
      <c r="K80" s="9"/>
    </row>
    <row r="81" spans="1:11" s="13" customFormat="1" ht="29.25" thickBot="1" x14ac:dyDescent="0.3">
      <c r="A81" s="19" t="s">
        <v>47</v>
      </c>
      <c r="B81" s="10"/>
      <c r="C81" s="14">
        <v>46243</v>
      </c>
      <c r="D81" s="11"/>
      <c r="E81" s="11"/>
      <c r="F81" s="12">
        <f t="shared" si="3"/>
        <v>0</v>
      </c>
      <c r="G81" s="20"/>
      <c r="H81" s="20"/>
      <c r="I81" s="9"/>
      <c r="J81" s="9"/>
      <c r="K81" s="9"/>
    </row>
    <row r="82" spans="1:11" s="13" customFormat="1" ht="29.25" thickBot="1" x14ac:dyDescent="0.3">
      <c r="A82" s="19" t="s">
        <v>47</v>
      </c>
      <c r="B82" s="10"/>
      <c r="C82" s="14">
        <v>46243</v>
      </c>
      <c r="D82" s="11"/>
      <c r="E82" s="11"/>
      <c r="F82" s="12">
        <f t="shared" si="3"/>
        <v>0</v>
      </c>
      <c r="G82" s="20"/>
      <c r="H82" s="20"/>
      <c r="I82" s="9"/>
      <c r="J82" s="9"/>
      <c r="K82" s="9"/>
    </row>
    <row r="83" spans="1:11" s="13" customFormat="1" ht="29.25" thickBot="1" x14ac:dyDescent="0.3">
      <c r="A83" s="19" t="s">
        <v>47</v>
      </c>
      <c r="B83" s="10"/>
      <c r="C83" s="14">
        <v>46244</v>
      </c>
      <c r="D83" s="11"/>
      <c r="E83" s="11"/>
      <c r="F83" s="12">
        <f t="shared" si="3"/>
        <v>0</v>
      </c>
      <c r="G83" s="20"/>
      <c r="H83" s="20"/>
      <c r="I83" s="9"/>
      <c r="J83" s="9"/>
      <c r="K83" s="9"/>
    </row>
    <row r="84" spans="1:11" s="13" customFormat="1" ht="29.25" thickBot="1" x14ac:dyDescent="0.3">
      <c r="A84" s="19" t="s">
        <v>47</v>
      </c>
      <c r="B84" s="10"/>
      <c r="C84" s="14">
        <v>46244</v>
      </c>
      <c r="D84" s="11"/>
      <c r="E84" s="11"/>
      <c r="F84" s="12">
        <f t="shared" si="3"/>
        <v>0</v>
      </c>
      <c r="G84" s="20"/>
      <c r="H84" s="20"/>
      <c r="I84" s="9"/>
      <c r="J84" s="9"/>
      <c r="K84" s="9"/>
    </row>
    <row r="85" spans="1:11" s="13" customFormat="1" ht="29.25" thickBot="1" x14ac:dyDescent="0.3">
      <c r="A85" s="19" t="s">
        <v>47</v>
      </c>
      <c r="B85" s="10"/>
      <c r="C85" s="14">
        <v>46244</v>
      </c>
      <c r="D85" s="11"/>
      <c r="E85" s="11"/>
      <c r="F85" s="12">
        <f t="shared" si="3"/>
        <v>0</v>
      </c>
      <c r="G85" s="20"/>
      <c r="H85" s="20"/>
      <c r="I85" s="9"/>
      <c r="J85" s="9"/>
      <c r="K85" s="9"/>
    </row>
    <row r="86" spans="1:11" s="13" customFormat="1" ht="29.25" thickBot="1" x14ac:dyDescent="0.3">
      <c r="A86" s="19" t="s">
        <v>47</v>
      </c>
      <c r="B86" s="10"/>
      <c r="C86" s="14">
        <v>46244</v>
      </c>
      <c r="D86" s="11"/>
      <c r="E86" s="11"/>
      <c r="F86" s="12">
        <f t="shared" si="3"/>
        <v>0</v>
      </c>
      <c r="G86" s="20"/>
      <c r="H86" s="20"/>
      <c r="I86" s="9"/>
      <c r="J86" s="9"/>
      <c r="K86" s="9"/>
    </row>
    <row r="87" spans="1:11" s="13" customFormat="1" ht="29.25" thickBot="1" x14ac:dyDescent="0.3">
      <c r="A87" s="19" t="s">
        <v>47</v>
      </c>
      <c r="B87" s="10"/>
      <c r="C87" s="14">
        <v>46244</v>
      </c>
      <c r="D87" s="11"/>
      <c r="E87" s="11"/>
      <c r="F87" s="12">
        <f t="shared" si="3"/>
        <v>0</v>
      </c>
      <c r="G87" s="20"/>
      <c r="H87" s="20"/>
      <c r="I87" s="9"/>
      <c r="J87" s="9"/>
      <c r="K87" s="9"/>
    </row>
    <row r="88" spans="1:11" s="13" customFormat="1" ht="29.25" thickBot="1" x14ac:dyDescent="0.3">
      <c r="A88" s="19" t="s">
        <v>47</v>
      </c>
      <c r="B88" s="10"/>
      <c r="C88" s="14">
        <v>46244</v>
      </c>
      <c r="D88" s="11"/>
      <c r="E88" s="11"/>
      <c r="F88" s="12">
        <f t="shared" si="3"/>
        <v>0</v>
      </c>
      <c r="G88" s="20"/>
      <c r="H88" s="20"/>
      <c r="I88" s="9"/>
      <c r="J88" s="9"/>
      <c r="K88" s="9"/>
    </row>
    <row r="89" spans="1:11" s="13" customFormat="1" ht="29.25" thickBot="1" x14ac:dyDescent="0.3">
      <c r="A89" s="19" t="s">
        <v>47</v>
      </c>
      <c r="B89" s="10"/>
      <c r="C89" s="14">
        <v>46244</v>
      </c>
      <c r="D89" s="11"/>
      <c r="E89" s="11"/>
      <c r="F89" s="12">
        <f t="shared" si="3"/>
        <v>0</v>
      </c>
      <c r="G89" s="20"/>
      <c r="H89" s="20"/>
      <c r="I89" s="9"/>
      <c r="J89" s="9"/>
      <c r="K89" s="9"/>
    </row>
    <row r="90" spans="1:11" s="13" customFormat="1" ht="29.25" thickBot="1" x14ac:dyDescent="0.3">
      <c r="A90" s="19" t="s">
        <v>47</v>
      </c>
      <c r="B90" s="10"/>
      <c r="C90" s="14">
        <v>46244</v>
      </c>
      <c r="D90" s="11"/>
      <c r="E90" s="11"/>
      <c r="F90" s="12">
        <f t="shared" si="3"/>
        <v>0</v>
      </c>
      <c r="G90" s="20"/>
      <c r="H90" s="20"/>
      <c r="I90" s="9"/>
      <c r="J90" s="9"/>
      <c r="K90" s="9"/>
    </row>
    <row r="91" spans="1:11" s="13" customFormat="1" ht="29.25" thickBot="1" x14ac:dyDescent="0.3">
      <c r="A91" s="19" t="s">
        <v>47</v>
      </c>
      <c r="B91" s="10"/>
      <c r="C91" s="14">
        <v>46244</v>
      </c>
      <c r="D91" s="11"/>
      <c r="E91" s="11"/>
      <c r="F91" s="12">
        <f t="shared" si="3"/>
        <v>0</v>
      </c>
      <c r="G91" s="20"/>
      <c r="H91" s="20"/>
      <c r="I91" s="9"/>
      <c r="J91" s="9"/>
      <c r="K91" s="9"/>
    </row>
    <row r="92" spans="1:11" s="13" customFormat="1" ht="29.25" thickBot="1" x14ac:dyDescent="0.3">
      <c r="A92" s="19" t="s">
        <v>47</v>
      </c>
      <c r="B92" s="10"/>
      <c r="C92" s="14">
        <v>46245</v>
      </c>
      <c r="D92" s="11"/>
      <c r="E92" s="11"/>
      <c r="F92" s="12">
        <f t="shared" si="3"/>
        <v>0</v>
      </c>
      <c r="G92" s="20"/>
      <c r="H92" s="20"/>
      <c r="I92" s="9"/>
      <c r="J92" s="9"/>
      <c r="K92" s="9"/>
    </row>
    <row r="93" spans="1:11" s="13" customFormat="1" ht="29.25" thickBot="1" x14ac:dyDescent="0.3">
      <c r="A93" s="19" t="s">
        <v>47</v>
      </c>
      <c r="B93" s="10"/>
      <c r="C93" s="14">
        <v>46245</v>
      </c>
      <c r="D93" s="11"/>
      <c r="E93" s="11"/>
      <c r="F93" s="12">
        <f t="shared" si="3"/>
        <v>0</v>
      </c>
      <c r="G93" s="20"/>
      <c r="H93" s="20"/>
      <c r="I93" s="9"/>
      <c r="J93" s="9"/>
      <c r="K93" s="9"/>
    </row>
    <row r="94" spans="1:11" s="13" customFormat="1" ht="29.25" thickBot="1" x14ac:dyDescent="0.3">
      <c r="A94" s="19" t="s">
        <v>47</v>
      </c>
      <c r="B94" s="10"/>
      <c r="C94" s="14">
        <v>46245</v>
      </c>
      <c r="D94" s="11"/>
      <c r="E94" s="11"/>
      <c r="F94" s="12">
        <f t="shared" si="3"/>
        <v>0</v>
      </c>
      <c r="G94" s="20"/>
      <c r="H94" s="20"/>
      <c r="I94" s="9"/>
      <c r="J94" s="9"/>
      <c r="K94" s="9"/>
    </row>
    <row r="95" spans="1:11" s="13" customFormat="1" ht="29.25" thickBot="1" x14ac:dyDescent="0.3">
      <c r="A95" s="19" t="s">
        <v>47</v>
      </c>
      <c r="B95" s="10"/>
      <c r="C95" s="14">
        <v>46245</v>
      </c>
      <c r="D95" s="11"/>
      <c r="E95" s="11"/>
      <c r="F95" s="12">
        <f t="shared" si="3"/>
        <v>0</v>
      </c>
      <c r="G95" s="20"/>
      <c r="H95" s="20"/>
      <c r="I95" s="9"/>
      <c r="J95" s="9"/>
      <c r="K95" s="9"/>
    </row>
    <row r="96" spans="1:11" s="13" customFormat="1" ht="29.25" thickBot="1" x14ac:dyDescent="0.3">
      <c r="A96" s="19" t="s">
        <v>47</v>
      </c>
      <c r="B96" s="10"/>
      <c r="C96" s="14">
        <v>46245</v>
      </c>
      <c r="D96" s="11"/>
      <c r="E96" s="11"/>
      <c r="F96" s="12">
        <f t="shared" si="3"/>
        <v>0</v>
      </c>
      <c r="G96" s="20"/>
      <c r="H96" s="20"/>
      <c r="I96" s="9"/>
      <c r="J96" s="9"/>
      <c r="K96" s="9"/>
    </row>
    <row r="97" spans="1:11" s="13" customFormat="1" ht="29.25" thickBot="1" x14ac:dyDescent="0.3">
      <c r="A97" s="19" t="s">
        <v>47</v>
      </c>
      <c r="B97" s="10"/>
      <c r="C97" s="14">
        <v>46245</v>
      </c>
      <c r="D97" s="11"/>
      <c r="E97" s="11"/>
      <c r="F97" s="12">
        <f t="shared" si="3"/>
        <v>0</v>
      </c>
      <c r="G97" s="20"/>
      <c r="H97" s="20"/>
      <c r="I97" s="9"/>
      <c r="J97" s="9"/>
      <c r="K97" s="9"/>
    </row>
    <row r="98" spans="1:11" s="13" customFormat="1" ht="29.25" thickBot="1" x14ac:dyDescent="0.3">
      <c r="A98" s="19" t="s">
        <v>47</v>
      </c>
      <c r="B98" s="10"/>
      <c r="C98" s="14">
        <v>46245</v>
      </c>
      <c r="D98" s="11"/>
      <c r="E98" s="11"/>
      <c r="F98" s="12">
        <f t="shared" si="3"/>
        <v>0</v>
      </c>
      <c r="G98" s="20"/>
      <c r="H98" s="20"/>
      <c r="I98" s="9"/>
      <c r="J98" s="9"/>
      <c r="K98" s="9"/>
    </row>
    <row r="99" spans="1:11" s="13" customFormat="1" ht="29.25" thickBot="1" x14ac:dyDescent="0.3">
      <c r="A99" s="19" t="s">
        <v>47</v>
      </c>
      <c r="B99" s="10"/>
      <c r="C99" s="14">
        <v>46245</v>
      </c>
      <c r="D99" s="11"/>
      <c r="E99" s="11"/>
      <c r="F99" s="12">
        <f t="shared" si="3"/>
        <v>0</v>
      </c>
      <c r="G99" s="20"/>
      <c r="H99" s="20"/>
      <c r="I99" s="9"/>
      <c r="J99" s="9"/>
      <c r="K99" s="9"/>
    </row>
    <row r="100" spans="1:11" s="13" customFormat="1" ht="29.25" thickBot="1" x14ac:dyDescent="0.3">
      <c r="A100" s="19" t="s">
        <v>47</v>
      </c>
      <c r="B100" s="10"/>
      <c r="C100" s="14">
        <v>46245</v>
      </c>
      <c r="D100" s="11"/>
      <c r="E100" s="11"/>
      <c r="F100" s="12">
        <f t="shared" si="3"/>
        <v>0</v>
      </c>
      <c r="G100" s="20"/>
      <c r="H100" s="20"/>
      <c r="I100" s="9"/>
      <c r="J100" s="9"/>
      <c r="K100" s="9"/>
    </row>
    <row r="101" spans="1:11" s="13" customFormat="1" ht="29.25" thickBot="1" x14ac:dyDescent="0.3">
      <c r="A101" s="19" t="s">
        <v>47</v>
      </c>
      <c r="B101" s="10"/>
      <c r="C101" s="14">
        <v>46246</v>
      </c>
      <c r="D101" s="11"/>
      <c r="E101" s="11"/>
      <c r="F101" s="12">
        <f t="shared" si="3"/>
        <v>0</v>
      </c>
      <c r="G101" s="20"/>
      <c r="H101" s="20"/>
      <c r="I101" s="9"/>
      <c r="J101" s="9"/>
      <c r="K101" s="9"/>
    </row>
    <row r="102" spans="1:11" s="13" customFormat="1" ht="29.25" thickBot="1" x14ac:dyDescent="0.3">
      <c r="A102" s="19" t="s">
        <v>47</v>
      </c>
      <c r="B102" s="10"/>
      <c r="C102" s="14">
        <v>46246</v>
      </c>
      <c r="D102" s="11"/>
      <c r="E102" s="11"/>
      <c r="F102" s="12">
        <f t="shared" si="3"/>
        <v>0</v>
      </c>
      <c r="G102" s="20"/>
      <c r="H102" s="20"/>
      <c r="I102" s="9"/>
      <c r="J102" s="9"/>
      <c r="K102" s="9"/>
    </row>
    <row r="103" spans="1:11" s="13" customFormat="1" ht="29.25" thickBot="1" x14ac:dyDescent="0.3">
      <c r="A103" s="19" t="s">
        <v>47</v>
      </c>
      <c r="B103" s="10"/>
      <c r="C103" s="14">
        <v>46246</v>
      </c>
      <c r="D103" s="11"/>
      <c r="E103" s="11"/>
      <c r="F103" s="12">
        <f t="shared" si="3"/>
        <v>0</v>
      </c>
      <c r="G103" s="20"/>
      <c r="H103" s="20"/>
      <c r="I103" s="9"/>
      <c r="J103" s="9"/>
      <c r="K103" s="9"/>
    </row>
    <row r="104" spans="1:11" s="13" customFormat="1" ht="29.25" thickBot="1" x14ac:dyDescent="0.3">
      <c r="A104" s="19" t="s">
        <v>47</v>
      </c>
      <c r="B104" s="10"/>
      <c r="C104" s="14">
        <v>46246</v>
      </c>
      <c r="D104" s="11"/>
      <c r="E104" s="11"/>
      <c r="F104" s="12">
        <f t="shared" si="3"/>
        <v>0</v>
      </c>
      <c r="G104" s="20"/>
      <c r="H104" s="20"/>
      <c r="I104" s="9"/>
      <c r="J104" s="9"/>
      <c r="K104" s="9"/>
    </row>
    <row r="105" spans="1:11" s="13" customFormat="1" ht="29.25" thickBot="1" x14ac:dyDescent="0.3">
      <c r="A105" s="19" t="s">
        <v>47</v>
      </c>
      <c r="B105" s="10"/>
      <c r="C105" s="14">
        <v>46246</v>
      </c>
      <c r="D105" s="11"/>
      <c r="E105" s="11"/>
      <c r="F105" s="12">
        <f t="shared" si="3"/>
        <v>0</v>
      </c>
      <c r="G105" s="20"/>
      <c r="H105" s="20"/>
      <c r="I105" s="9"/>
      <c r="J105" s="9"/>
      <c r="K105" s="9"/>
    </row>
    <row r="106" spans="1:11" s="13" customFormat="1" ht="29.25" thickBot="1" x14ac:dyDescent="0.3">
      <c r="A106" s="19" t="s">
        <v>47</v>
      </c>
      <c r="B106" s="10"/>
      <c r="C106" s="14">
        <v>46246</v>
      </c>
      <c r="D106" s="11"/>
      <c r="E106" s="11"/>
      <c r="F106" s="12">
        <f t="shared" si="3"/>
        <v>0</v>
      </c>
      <c r="G106" s="20"/>
      <c r="H106" s="20"/>
      <c r="I106" s="9"/>
      <c r="J106" s="9"/>
      <c r="K106" s="9"/>
    </row>
    <row r="107" spans="1:11" s="13" customFormat="1" ht="29.25" thickBot="1" x14ac:dyDescent="0.3">
      <c r="A107" s="19" t="s">
        <v>47</v>
      </c>
      <c r="B107" s="10"/>
      <c r="C107" s="14">
        <v>46246</v>
      </c>
      <c r="D107" s="11"/>
      <c r="E107" s="11"/>
      <c r="F107" s="12">
        <f t="shared" si="3"/>
        <v>0</v>
      </c>
      <c r="G107" s="20"/>
      <c r="H107" s="20"/>
      <c r="I107" s="9"/>
      <c r="J107" s="9"/>
      <c r="K107" s="9"/>
    </row>
    <row r="108" spans="1:11" s="13" customFormat="1" ht="29.25" thickBot="1" x14ac:dyDescent="0.3">
      <c r="A108" s="19" t="s">
        <v>47</v>
      </c>
      <c r="B108" s="10"/>
      <c r="C108" s="14">
        <v>46246</v>
      </c>
      <c r="D108" s="11"/>
      <c r="E108" s="11"/>
      <c r="F108" s="12">
        <f t="shared" si="3"/>
        <v>0</v>
      </c>
      <c r="G108" s="20"/>
      <c r="H108" s="20"/>
      <c r="I108" s="9"/>
      <c r="J108" s="9"/>
      <c r="K108" s="9"/>
    </row>
    <row r="109" spans="1:11" s="13" customFormat="1" ht="29.25" thickBot="1" x14ac:dyDescent="0.3">
      <c r="A109" s="19" t="s">
        <v>47</v>
      </c>
      <c r="B109" s="10"/>
      <c r="C109" s="14">
        <v>46246</v>
      </c>
      <c r="D109" s="11"/>
      <c r="E109" s="11"/>
      <c r="F109" s="12">
        <f t="shared" si="3"/>
        <v>0</v>
      </c>
      <c r="G109" s="20"/>
      <c r="H109" s="20"/>
      <c r="I109" s="9"/>
      <c r="J109" s="9"/>
      <c r="K109" s="9"/>
    </row>
    <row r="110" spans="1:11" s="13" customFormat="1" ht="29.25" thickBot="1" x14ac:dyDescent="0.3">
      <c r="A110" s="19" t="s">
        <v>47</v>
      </c>
      <c r="B110" s="10"/>
      <c r="C110" s="14">
        <v>46247</v>
      </c>
      <c r="D110" s="11"/>
      <c r="E110" s="11"/>
      <c r="F110" s="12">
        <f t="shared" si="3"/>
        <v>0</v>
      </c>
      <c r="G110" s="20"/>
      <c r="H110" s="20"/>
      <c r="I110" s="9"/>
      <c r="J110" s="9"/>
      <c r="K110" s="9"/>
    </row>
    <row r="111" spans="1:11" s="13" customFormat="1" ht="29.25" thickBot="1" x14ac:dyDescent="0.3">
      <c r="A111" s="19" t="s">
        <v>47</v>
      </c>
      <c r="B111" s="10"/>
      <c r="C111" s="14">
        <v>46247</v>
      </c>
      <c r="D111" s="11"/>
      <c r="E111" s="11"/>
      <c r="F111" s="12">
        <f t="shared" si="3"/>
        <v>0</v>
      </c>
      <c r="G111" s="20"/>
      <c r="H111" s="20"/>
      <c r="I111" s="9"/>
      <c r="J111" s="9"/>
      <c r="K111" s="9"/>
    </row>
    <row r="112" spans="1:11" s="13" customFormat="1" ht="29.25" thickBot="1" x14ac:dyDescent="0.3">
      <c r="A112" s="19" t="s">
        <v>47</v>
      </c>
      <c r="B112" s="10"/>
      <c r="C112" s="14">
        <v>46247</v>
      </c>
      <c r="D112" s="11"/>
      <c r="E112" s="11"/>
      <c r="F112" s="12">
        <f t="shared" si="3"/>
        <v>0</v>
      </c>
      <c r="G112" s="20"/>
      <c r="H112" s="20"/>
      <c r="I112" s="9"/>
      <c r="J112" s="9"/>
      <c r="K112" s="9"/>
    </row>
    <row r="113" spans="1:11" s="13" customFormat="1" ht="29.25" thickBot="1" x14ac:dyDescent="0.3">
      <c r="A113" s="19" t="s">
        <v>47</v>
      </c>
      <c r="B113" s="10"/>
      <c r="C113" s="14">
        <v>46247</v>
      </c>
      <c r="D113" s="11"/>
      <c r="E113" s="11"/>
      <c r="F113" s="12">
        <f t="shared" si="3"/>
        <v>0</v>
      </c>
      <c r="G113" s="20"/>
      <c r="H113" s="20"/>
      <c r="I113" s="9"/>
      <c r="J113" s="9"/>
      <c r="K113" s="9"/>
    </row>
    <row r="114" spans="1:11" s="13" customFormat="1" ht="29.25" thickBot="1" x14ac:dyDescent="0.3">
      <c r="A114" s="19" t="s">
        <v>47</v>
      </c>
      <c r="B114" s="10"/>
      <c r="C114" s="14">
        <v>46247</v>
      </c>
      <c r="D114" s="11"/>
      <c r="E114" s="11"/>
      <c r="F114" s="12">
        <f t="shared" si="3"/>
        <v>0</v>
      </c>
      <c r="G114" s="20"/>
      <c r="H114" s="20"/>
      <c r="I114" s="9"/>
      <c r="J114" s="9"/>
      <c r="K114" s="9"/>
    </row>
    <row r="115" spans="1:11" s="13" customFormat="1" ht="29.25" thickBot="1" x14ac:dyDescent="0.3">
      <c r="A115" s="19" t="s">
        <v>47</v>
      </c>
      <c r="B115" s="10"/>
      <c r="C115" s="14">
        <v>46247</v>
      </c>
      <c r="D115" s="11"/>
      <c r="E115" s="11"/>
      <c r="F115" s="12">
        <f t="shared" si="3"/>
        <v>0</v>
      </c>
      <c r="G115" s="20"/>
      <c r="H115" s="20"/>
      <c r="I115" s="9"/>
      <c r="J115" s="9"/>
      <c r="K115" s="9"/>
    </row>
    <row r="116" spans="1:11" s="13" customFormat="1" ht="29.25" thickBot="1" x14ac:dyDescent="0.3">
      <c r="A116" s="19" t="s">
        <v>47</v>
      </c>
      <c r="B116" s="10"/>
      <c r="C116" s="14">
        <v>46247</v>
      </c>
      <c r="D116" s="11"/>
      <c r="E116" s="11"/>
      <c r="F116" s="12">
        <f t="shared" si="3"/>
        <v>0</v>
      </c>
      <c r="G116" s="20"/>
      <c r="H116" s="20"/>
      <c r="I116" s="9"/>
      <c r="J116" s="9"/>
      <c r="K116" s="9"/>
    </row>
    <row r="117" spans="1:11" s="13" customFormat="1" ht="29.25" thickBot="1" x14ac:dyDescent="0.3">
      <c r="A117" s="19" t="s">
        <v>47</v>
      </c>
      <c r="B117" s="10"/>
      <c r="C117" s="14">
        <v>46247</v>
      </c>
      <c r="D117" s="11"/>
      <c r="E117" s="11"/>
      <c r="F117" s="12">
        <f t="shared" si="3"/>
        <v>0</v>
      </c>
      <c r="G117" s="20"/>
      <c r="H117" s="20"/>
      <c r="I117" s="9"/>
      <c r="J117" s="9"/>
      <c r="K117" s="9"/>
    </row>
    <row r="118" spans="1:11" s="13" customFormat="1" ht="29.25" thickBot="1" x14ac:dyDescent="0.3">
      <c r="A118" s="19" t="s">
        <v>47</v>
      </c>
      <c r="B118" s="10"/>
      <c r="C118" s="14">
        <v>46247</v>
      </c>
      <c r="D118" s="11"/>
      <c r="E118" s="11"/>
      <c r="F118" s="12">
        <f t="shared" si="3"/>
        <v>0</v>
      </c>
      <c r="G118" s="20"/>
      <c r="H118" s="20"/>
      <c r="I118" s="9"/>
      <c r="J118" s="9"/>
      <c r="K118" s="9"/>
    </row>
    <row r="119" spans="1:11" s="13" customFormat="1" ht="29.25" thickBot="1" x14ac:dyDescent="0.3">
      <c r="A119" s="19" t="s">
        <v>47</v>
      </c>
      <c r="B119" s="10"/>
      <c r="C119" s="14">
        <v>46248</v>
      </c>
      <c r="D119" s="11"/>
      <c r="E119" s="11"/>
      <c r="F119" s="12">
        <f t="shared" si="3"/>
        <v>0</v>
      </c>
      <c r="G119" s="20"/>
      <c r="H119" s="20"/>
      <c r="I119" s="9"/>
      <c r="J119" s="9"/>
      <c r="K119" s="9"/>
    </row>
    <row r="120" spans="1:11" s="13" customFormat="1" ht="29.25" thickBot="1" x14ac:dyDescent="0.3">
      <c r="A120" s="19" t="s">
        <v>47</v>
      </c>
      <c r="B120" s="10"/>
      <c r="C120" s="14">
        <v>46248</v>
      </c>
      <c r="D120" s="11"/>
      <c r="E120" s="11"/>
      <c r="F120" s="12">
        <f t="shared" si="3"/>
        <v>0</v>
      </c>
      <c r="G120" s="20"/>
      <c r="H120" s="20"/>
      <c r="I120" s="9"/>
      <c r="J120" s="9"/>
      <c r="K120" s="9"/>
    </row>
    <row r="121" spans="1:11" s="13" customFormat="1" ht="29.25" thickBot="1" x14ac:dyDescent="0.3">
      <c r="A121" s="19" t="s">
        <v>47</v>
      </c>
      <c r="B121" s="10"/>
      <c r="C121" s="14">
        <v>46248</v>
      </c>
      <c r="D121" s="11"/>
      <c r="E121" s="11"/>
      <c r="F121" s="12">
        <f t="shared" si="3"/>
        <v>0</v>
      </c>
      <c r="G121" s="20"/>
      <c r="H121" s="20"/>
      <c r="I121" s="9"/>
      <c r="J121" s="9"/>
      <c r="K121" s="9"/>
    </row>
    <row r="122" spans="1:11" s="13" customFormat="1" ht="29.25" thickBot="1" x14ac:dyDescent="0.3">
      <c r="A122" s="19" t="s">
        <v>47</v>
      </c>
      <c r="B122" s="10"/>
      <c r="C122" s="14">
        <v>46248</v>
      </c>
      <c r="D122" s="11"/>
      <c r="E122" s="11"/>
      <c r="F122" s="12">
        <f t="shared" si="3"/>
        <v>0</v>
      </c>
      <c r="G122" s="20"/>
      <c r="H122" s="20"/>
      <c r="I122" s="9"/>
      <c r="J122" s="9"/>
      <c r="K122" s="9"/>
    </row>
    <row r="123" spans="1:11" s="13" customFormat="1" ht="29.25" thickBot="1" x14ac:dyDescent="0.3">
      <c r="A123" s="19" t="s">
        <v>47</v>
      </c>
      <c r="B123" s="10"/>
      <c r="C123" s="14">
        <v>46248</v>
      </c>
      <c r="D123" s="11"/>
      <c r="E123" s="11"/>
      <c r="F123" s="12">
        <f t="shared" si="3"/>
        <v>0</v>
      </c>
      <c r="G123" s="20"/>
      <c r="H123" s="20"/>
      <c r="I123" s="9"/>
      <c r="J123" s="9"/>
      <c r="K123" s="9"/>
    </row>
    <row r="124" spans="1:11" s="13" customFormat="1" ht="29.25" thickBot="1" x14ac:dyDescent="0.3">
      <c r="A124" s="19" t="s">
        <v>47</v>
      </c>
      <c r="B124" s="10"/>
      <c r="C124" s="14">
        <v>46248</v>
      </c>
      <c r="D124" s="11"/>
      <c r="E124" s="11"/>
      <c r="F124" s="12">
        <f t="shared" si="3"/>
        <v>0</v>
      </c>
      <c r="G124" s="20"/>
      <c r="H124" s="20"/>
      <c r="I124" s="9"/>
      <c r="J124" s="9"/>
      <c r="K124" s="9"/>
    </row>
    <row r="125" spans="1:11" s="13" customFormat="1" ht="29.25" thickBot="1" x14ac:dyDescent="0.3">
      <c r="A125" s="19" t="s">
        <v>47</v>
      </c>
      <c r="B125" s="10"/>
      <c r="C125" s="14">
        <v>46248</v>
      </c>
      <c r="D125" s="11"/>
      <c r="E125" s="11"/>
      <c r="F125" s="12">
        <f t="shared" si="3"/>
        <v>0</v>
      </c>
      <c r="G125" s="20"/>
      <c r="H125" s="20"/>
      <c r="I125" s="9"/>
      <c r="J125" s="9"/>
      <c r="K125" s="9"/>
    </row>
    <row r="126" spans="1:11" s="13" customFormat="1" ht="29.25" thickBot="1" x14ac:dyDescent="0.3">
      <c r="A126" s="19" t="s">
        <v>47</v>
      </c>
      <c r="B126" s="10"/>
      <c r="C126" s="14">
        <v>46248</v>
      </c>
      <c r="D126" s="11"/>
      <c r="E126" s="11"/>
      <c r="F126" s="12">
        <f t="shared" si="3"/>
        <v>0</v>
      </c>
      <c r="G126" s="20"/>
      <c r="H126" s="20"/>
      <c r="I126" s="9"/>
      <c r="J126" s="9"/>
      <c r="K126" s="9"/>
    </row>
    <row r="127" spans="1:11" s="13" customFormat="1" ht="29.25" thickBot="1" x14ac:dyDescent="0.3">
      <c r="A127" s="19" t="s">
        <v>47</v>
      </c>
      <c r="B127" s="10"/>
      <c r="C127" s="14">
        <v>46248</v>
      </c>
      <c r="D127" s="11"/>
      <c r="E127" s="11"/>
      <c r="F127" s="12">
        <f t="shared" si="3"/>
        <v>0</v>
      </c>
      <c r="G127" s="20"/>
      <c r="H127" s="20"/>
      <c r="I127" s="9"/>
      <c r="J127" s="9"/>
      <c r="K127" s="9"/>
    </row>
    <row r="128" spans="1:11" s="13" customFormat="1" ht="29.25" thickBot="1" x14ac:dyDescent="0.3">
      <c r="A128" s="19" t="s">
        <v>47</v>
      </c>
      <c r="B128" s="10"/>
      <c r="C128" s="14">
        <v>46249</v>
      </c>
      <c r="D128" s="11">
        <v>0.35416666666666669</v>
      </c>
      <c r="E128" s="11">
        <v>0.6875</v>
      </c>
      <c r="F128" s="12">
        <f>+(E128-D128)*24</f>
        <v>8</v>
      </c>
      <c r="G128" s="20" t="s">
        <v>21</v>
      </c>
      <c r="H128" s="20" t="s">
        <v>30</v>
      </c>
      <c r="I128" s="9"/>
      <c r="J128" s="9" t="s">
        <v>71</v>
      </c>
      <c r="K128" s="9"/>
    </row>
    <row r="129" spans="1:11" s="13" customFormat="1" ht="29.25" thickBot="1" x14ac:dyDescent="0.3">
      <c r="A129" s="19" t="s">
        <v>47</v>
      </c>
      <c r="B129" s="10"/>
      <c r="C129" s="14">
        <v>46249</v>
      </c>
      <c r="D129" s="11"/>
      <c r="E129" s="11"/>
      <c r="F129" s="12"/>
      <c r="G129" s="20"/>
      <c r="H129" s="20"/>
      <c r="I129" s="9"/>
      <c r="J129" s="9"/>
      <c r="K129" s="9"/>
    </row>
    <row r="130" spans="1:11" s="13" customFormat="1" ht="29.25" thickBot="1" x14ac:dyDescent="0.3">
      <c r="A130" s="19" t="s">
        <v>47</v>
      </c>
      <c r="B130" s="10"/>
      <c r="C130" s="14">
        <v>46249</v>
      </c>
      <c r="D130" s="11"/>
      <c r="E130" s="11"/>
      <c r="F130" s="12">
        <f t="shared" ref="F130:F136" si="4">+(E130-D130)*24</f>
        <v>0</v>
      </c>
      <c r="G130" s="20"/>
      <c r="H130" s="20"/>
      <c r="I130" s="9"/>
      <c r="J130" s="9"/>
      <c r="K130" s="9"/>
    </row>
    <row r="131" spans="1:11" s="13" customFormat="1" ht="29.25" thickBot="1" x14ac:dyDescent="0.3">
      <c r="A131" s="19" t="s">
        <v>47</v>
      </c>
      <c r="B131" s="10"/>
      <c r="C131" s="14">
        <v>46249</v>
      </c>
      <c r="D131" s="11"/>
      <c r="E131" s="11"/>
      <c r="F131" s="12">
        <f t="shared" si="4"/>
        <v>0</v>
      </c>
      <c r="G131" s="20"/>
      <c r="H131" s="20"/>
      <c r="I131" s="9"/>
      <c r="J131" s="9"/>
      <c r="K131" s="9"/>
    </row>
    <row r="132" spans="1:11" s="13" customFormat="1" ht="29.25" thickBot="1" x14ac:dyDescent="0.3">
      <c r="A132" s="19" t="s">
        <v>47</v>
      </c>
      <c r="B132" s="10"/>
      <c r="C132" s="14">
        <v>46249</v>
      </c>
      <c r="D132" s="11"/>
      <c r="E132" s="11"/>
      <c r="F132" s="12">
        <f t="shared" si="4"/>
        <v>0</v>
      </c>
      <c r="G132" s="20"/>
      <c r="H132" s="20"/>
      <c r="I132" s="9"/>
      <c r="J132" s="9"/>
      <c r="K132" s="9"/>
    </row>
    <row r="133" spans="1:11" s="13" customFormat="1" ht="29.25" thickBot="1" x14ac:dyDescent="0.3">
      <c r="A133" s="19" t="s">
        <v>47</v>
      </c>
      <c r="B133" s="10"/>
      <c r="C133" s="14">
        <v>46249</v>
      </c>
      <c r="D133" s="11"/>
      <c r="E133" s="11"/>
      <c r="F133" s="12">
        <f t="shared" si="4"/>
        <v>0</v>
      </c>
      <c r="G133" s="20"/>
      <c r="H133" s="20"/>
      <c r="I133" s="9"/>
      <c r="J133" s="9"/>
      <c r="K133" s="9"/>
    </row>
    <row r="134" spans="1:11" s="13" customFormat="1" ht="29.25" thickBot="1" x14ac:dyDescent="0.3">
      <c r="A134" s="19" t="s">
        <v>47</v>
      </c>
      <c r="B134" s="10"/>
      <c r="C134" s="14">
        <v>46249</v>
      </c>
      <c r="D134" s="11"/>
      <c r="E134" s="11"/>
      <c r="F134" s="12">
        <f t="shared" si="4"/>
        <v>0</v>
      </c>
      <c r="G134" s="20"/>
      <c r="H134" s="20"/>
      <c r="I134" s="9"/>
      <c r="J134" s="9"/>
      <c r="K134" s="9"/>
    </row>
    <row r="135" spans="1:11" s="13" customFormat="1" ht="29.25" thickBot="1" x14ac:dyDescent="0.3">
      <c r="A135" s="19" t="s">
        <v>47</v>
      </c>
      <c r="B135" s="10"/>
      <c r="C135" s="14">
        <v>46249</v>
      </c>
      <c r="D135" s="11"/>
      <c r="E135" s="11"/>
      <c r="F135" s="12">
        <f t="shared" si="4"/>
        <v>0</v>
      </c>
      <c r="G135" s="20"/>
      <c r="H135" s="20"/>
      <c r="I135" s="9"/>
      <c r="J135" s="9"/>
      <c r="K135" s="9"/>
    </row>
    <row r="136" spans="1:11" s="13" customFormat="1" ht="29.25" thickBot="1" x14ac:dyDescent="0.3">
      <c r="A136" s="19" t="s">
        <v>47</v>
      </c>
      <c r="B136" s="10"/>
      <c r="C136" s="14">
        <v>46249</v>
      </c>
      <c r="D136" s="11"/>
      <c r="E136" s="11"/>
      <c r="F136" s="12">
        <f t="shared" si="4"/>
        <v>0</v>
      </c>
      <c r="G136" s="20"/>
      <c r="H136" s="20"/>
      <c r="I136" s="9"/>
      <c r="J136" s="9"/>
      <c r="K136" s="9"/>
    </row>
    <row r="137" spans="1:11" s="13" customFormat="1" ht="29.25" thickBot="1" x14ac:dyDescent="0.3">
      <c r="A137" s="19" t="s">
        <v>47</v>
      </c>
      <c r="B137" s="10"/>
      <c r="C137" s="14">
        <v>46250</v>
      </c>
      <c r="D137" s="11">
        <v>0.35416666666666669</v>
      </c>
      <c r="E137" s="11">
        <v>0.6875</v>
      </c>
      <c r="F137" s="12">
        <f>+(E137-D137)*24</f>
        <v>8</v>
      </c>
      <c r="G137" s="20" t="s">
        <v>21</v>
      </c>
      <c r="H137" s="20" t="s">
        <v>30</v>
      </c>
      <c r="I137" s="9"/>
      <c r="J137" s="9" t="s">
        <v>71</v>
      </c>
      <c r="K137" s="9"/>
    </row>
    <row r="138" spans="1:11" s="13" customFormat="1" ht="29.25" thickBot="1" x14ac:dyDescent="0.3">
      <c r="A138" s="19" t="s">
        <v>47</v>
      </c>
      <c r="B138" s="10"/>
      <c r="C138" s="14">
        <v>46250</v>
      </c>
      <c r="D138" s="11"/>
      <c r="E138" s="11"/>
      <c r="F138" s="12">
        <f t="shared" ref="F138:F191" si="5">+(E138-D138)*24</f>
        <v>0</v>
      </c>
      <c r="G138" s="20"/>
      <c r="H138" s="20"/>
      <c r="I138" s="9"/>
      <c r="J138" s="9"/>
      <c r="K138" s="9"/>
    </row>
    <row r="139" spans="1:11" s="13" customFormat="1" ht="29.25" thickBot="1" x14ac:dyDescent="0.3">
      <c r="A139" s="19" t="s">
        <v>47</v>
      </c>
      <c r="B139" s="10"/>
      <c r="C139" s="14">
        <v>46250</v>
      </c>
      <c r="D139" s="11"/>
      <c r="E139" s="11"/>
      <c r="F139" s="12">
        <f t="shared" si="5"/>
        <v>0</v>
      </c>
      <c r="G139" s="20"/>
      <c r="H139" s="20"/>
      <c r="I139" s="9"/>
      <c r="J139" s="9"/>
      <c r="K139" s="9"/>
    </row>
    <row r="140" spans="1:11" s="13" customFormat="1" ht="29.25" thickBot="1" x14ac:dyDescent="0.3">
      <c r="A140" s="19" t="s">
        <v>47</v>
      </c>
      <c r="B140" s="10"/>
      <c r="C140" s="14">
        <v>46250</v>
      </c>
      <c r="D140" s="11"/>
      <c r="E140" s="11"/>
      <c r="F140" s="12">
        <f t="shared" si="5"/>
        <v>0</v>
      </c>
      <c r="G140" s="20"/>
      <c r="H140" s="20"/>
      <c r="I140" s="9"/>
      <c r="J140" s="9"/>
      <c r="K140" s="9"/>
    </row>
    <row r="141" spans="1:11" s="13" customFormat="1" ht="29.25" thickBot="1" x14ac:dyDescent="0.3">
      <c r="A141" s="19" t="s">
        <v>47</v>
      </c>
      <c r="B141" s="10"/>
      <c r="C141" s="14">
        <v>46250</v>
      </c>
      <c r="D141" s="11"/>
      <c r="E141" s="11"/>
      <c r="F141" s="12">
        <f t="shared" si="5"/>
        <v>0</v>
      </c>
      <c r="G141" s="20"/>
      <c r="H141" s="20"/>
      <c r="I141" s="9"/>
      <c r="J141" s="9"/>
      <c r="K141" s="9"/>
    </row>
    <row r="142" spans="1:11" s="13" customFormat="1" ht="29.25" thickBot="1" x14ac:dyDescent="0.3">
      <c r="A142" s="19" t="s">
        <v>47</v>
      </c>
      <c r="B142" s="10"/>
      <c r="C142" s="14">
        <v>46250</v>
      </c>
      <c r="D142" s="11"/>
      <c r="E142" s="11"/>
      <c r="F142" s="12">
        <f t="shared" si="5"/>
        <v>0</v>
      </c>
      <c r="G142" s="20"/>
      <c r="H142" s="20"/>
      <c r="I142" s="9"/>
      <c r="J142" s="9"/>
      <c r="K142" s="9"/>
    </row>
    <row r="143" spans="1:11" s="13" customFormat="1" ht="29.25" thickBot="1" x14ac:dyDescent="0.3">
      <c r="A143" s="19" t="s">
        <v>47</v>
      </c>
      <c r="B143" s="10"/>
      <c r="C143" s="14">
        <v>46250</v>
      </c>
      <c r="D143" s="11"/>
      <c r="E143" s="11"/>
      <c r="F143" s="12">
        <f t="shared" si="5"/>
        <v>0</v>
      </c>
      <c r="G143" s="20"/>
      <c r="H143" s="20"/>
      <c r="I143" s="9"/>
      <c r="J143" s="9"/>
      <c r="K143" s="9"/>
    </row>
    <row r="144" spans="1:11" s="13" customFormat="1" ht="29.25" thickBot="1" x14ac:dyDescent="0.3">
      <c r="A144" s="19" t="s">
        <v>47</v>
      </c>
      <c r="B144" s="10"/>
      <c r="C144" s="14">
        <v>46250</v>
      </c>
      <c r="D144" s="11"/>
      <c r="E144" s="11"/>
      <c r="F144" s="12">
        <f t="shared" si="5"/>
        <v>0</v>
      </c>
      <c r="G144" s="20"/>
      <c r="H144" s="20"/>
      <c r="I144" s="9"/>
      <c r="J144" s="9"/>
      <c r="K144" s="9"/>
    </row>
    <row r="145" spans="1:11" s="13" customFormat="1" ht="29.25" thickBot="1" x14ac:dyDescent="0.3">
      <c r="A145" s="19" t="s">
        <v>47</v>
      </c>
      <c r="B145" s="10"/>
      <c r="C145" s="14">
        <v>46250</v>
      </c>
      <c r="D145" s="11"/>
      <c r="E145" s="11"/>
      <c r="F145" s="12">
        <f t="shared" si="5"/>
        <v>0</v>
      </c>
      <c r="G145" s="20"/>
      <c r="H145" s="20"/>
      <c r="I145" s="9"/>
      <c r="J145" s="9"/>
      <c r="K145" s="9"/>
    </row>
    <row r="146" spans="1:11" s="13" customFormat="1" ht="29.25" thickBot="1" x14ac:dyDescent="0.3">
      <c r="A146" s="19" t="s">
        <v>47</v>
      </c>
      <c r="B146" s="10"/>
      <c r="C146" s="14">
        <v>46251</v>
      </c>
      <c r="D146" s="11"/>
      <c r="E146" s="11"/>
      <c r="F146" s="12">
        <f t="shared" si="5"/>
        <v>0</v>
      </c>
      <c r="G146" s="20"/>
      <c r="H146" s="20"/>
      <c r="I146" s="9"/>
      <c r="J146" s="9"/>
      <c r="K146" s="9"/>
    </row>
    <row r="147" spans="1:11" s="13" customFormat="1" ht="29.25" thickBot="1" x14ac:dyDescent="0.3">
      <c r="A147" s="19" t="s">
        <v>47</v>
      </c>
      <c r="B147" s="10"/>
      <c r="C147" s="14">
        <v>46251</v>
      </c>
      <c r="D147" s="11"/>
      <c r="E147" s="11"/>
      <c r="F147" s="12">
        <f t="shared" si="5"/>
        <v>0</v>
      </c>
      <c r="G147" s="20"/>
      <c r="H147" s="20"/>
      <c r="I147" s="9"/>
      <c r="J147" s="9"/>
      <c r="K147" s="9"/>
    </row>
    <row r="148" spans="1:11" s="13" customFormat="1" ht="29.25" thickBot="1" x14ac:dyDescent="0.3">
      <c r="A148" s="19" t="s">
        <v>47</v>
      </c>
      <c r="B148" s="10"/>
      <c r="C148" s="14">
        <v>46251</v>
      </c>
      <c r="D148" s="11"/>
      <c r="E148" s="11"/>
      <c r="F148" s="12">
        <f t="shared" si="5"/>
        <v>0</v>
      </c>
      <c r="G148" s="20"/>
      <c r="H148" s="20"/>
      <c r="I148" s="9"/>
      <c r="J148" s="9"/>
      <c r="K148" s="9"/>
    </row>
    <row r="149" spans="1:11" s="13" customFormat="1" ht="29.25" thickBot="1" x14ac:dyDescent="0.3">
      <c r="A149" s="19" t="s">
        <v>47</v>
      </c>
      <c r="B149" s="10"/>
      <c r="C149" s="14">
        <v>46251</v>
      </c>
      <c r="D149" s="11"/>
      <c r="E149" s="11"/>
      <c r="F149" s="12">
        <f t="shared" si="5"/>
        <v>0</v>
      </c>
      <c r="G149" s="20"/>
      <c r="H149" s="20"/>
      <c r="I149" s="9"/>
      <c r="J149" s="9"/>
      <c r="K149" s="9"/>
    </row>
    <row r="150" spans="1:11" s="13" customFormat="1" ht="29.25" thickBot="1" x14ac:dyDescent="0.3">
      <c r="A150" s="19" t="s">
        <v>47</v>
      </c>
      <c r="B150" s="10"/>
      <c r="C150" s="14">
        <v>46251</v>
      </c>
      <c r="D150" s="11"/>
      <c r="E150" s="11"/>
      <c r="F150" s="12">
        <f t="shared" si="5"/>
        <v>0</v>
      </c>
      <c r="G150" s="20"/>
      <c r="H150" s="20"/>
      <c r="I150" s="9"/>
      <c r="J150" s="9"/>
      <c r="K150" s="9"/>
    </row>
    <row r="151" spans="1:11" s="13" customFormat="1" ht="29.25" thickBot="1" x14ac:dyDescent="0.3">
      <c r="A151" s="19" t="s">
        <v>47</v>
      </c>
      <c r="B151" s="10"/>
      <c r="C151" s="14">
        <v>46251</v>
      </c>
      <c r="D151" s="11"/>
      <c r="E151" s="11"/>
      <c r="F151" s="12">
        <f t="shared" si="5"/>
        <v>0</v>
      </c>
      <c r="G151" s="20"/>
      <c r="H151" s="20"/>
      <c r="I151" s="9"/>
      <c r="J151" s="9"/>
      <c r="K151" s="9"/>
    </row>
    <row r="152" spans="1:11" s="13" customFormat="1" ht="29.25" thickBot="1" x14ac:dyDescent="0.3">
      <c r="A152" s="19" t="s">
        <v>47</v>
      </c>
      <c r="B152" s="10"/>
      <c r="C152" s="14">
        <v>46251</v>
      </c>
      <c r="D152" s="11"/>
      <c r="E152" s="11"/>
      <c r="F152" s="12">
        <f t="shared" si="5"/>
        <v>0</v>
      </c>
      <c r="G152" s="20"/>
      <c r="H152" s="20"/>
      <c r="I152" s="9"/>
      <c r="J152" s="9"/>
      <c r="K152" s="9"/>
    </row>
    <row r="153" spans="1:11" s="13" customFormat="1" ht="29.25" thickBot="1" x14ac:dyDescent="0.3">
      <c r="A153" s="19" t="s">
        <v>47</v>
      </c>
      <c r="B153" s="10"/>
      <c r="C153" s="14">
        <v>46251</v>
      </c>
      <c r="D153" s="11"/>
      <c r="E153" s="11"/>
      <c r="F153" s="12">
        <f t="shared" si="5"/>
        <v>0</v>
      </c>
      <c r="G153" s="20"/>
      <c r="H153" s="20"/>
      <c r="I153" s="9"/>
      <c r="J153" s="9"/>
      <c r="K153" s="9"/>
    </row>
    <row r="154" spans="1:11" s="13" customFormat="1" ht="29.25" thickBot="1" x14ac:dyDescent="0.3">
      <c r="A154" s="19" t="s">
        <v>47</v>
      </c>
      <c r="B154" s="10"/>
      <c r="C154" s="14">
        <v>46251</v>
      </c>
      <c r="D154" s="11"/>
      <c r="E154" s="11"/>
      <c r="F154" s="12">
        <f t="shared" si="5"/>
        <v>0</v>
      </c>
      <c r="G154" s="20"/>
      <c r="H154" s="20"/>
      <c r="I154" s="9"/>
      <c r="J154" s="9"/>
      <c r="K154" s="9"/>
    </row>
    <row r="155" spans="1:11" s="13" customFormat="1" ht="29.25" thickBot="1" x14ac:dyDescent="0.3">
      <c r="A155" s="19" t="s">
        <v>47</v>
      </c>
      <c r="B155" s="10"/>
      <c r="C155" s="14">
        <v>46252</v>
      </c>
      <c r="D155" s="11"/>
      <c r="E155" s="11"/>
      <c r="F155" s="12">
        <f t="shared" si="5"/>
        <v>0</v>
      </c>
      <c r="G155" s="20"/>
      <c r="H155" s="20"/>
      <c r="I155" s="9"/>
      <c r="J155" s="9"/>
      <c r="K155" s="9"/>
    </row>
    <row r="156" spans="1:11" s="13" customFormat="1" ht="29.25" thickBot="1" x14ac:dyDescent="0.3">
      <c r="A156" s="19" t="s">
        <v>47</v>
      </c>
      <c r="B156" s="10"/>
      <c r="C156" s="14">
        <v>46252</v>
      </c>
      <c r="D156" s="11"/>
      <c r="E156" s="11"/>
      <c r="F156" s="12">
        <f t="shared" si="5"/>
        <v>0</v>
      </c>
      <c r="G156" s="20"/>
      <c r="H156" s="20"/>
      <c r="I156" s="9"/>
      <c r="J156" s="9"/>
      <c r="K156" s="9"/>
    </row>
    <row r="157" spans="1:11" s="13" customFormat="1" ht="29.25" thickBot="1" x14ac:dyDescent="0.3">
      <c r="A157" s="19" t="s">
        <v>47</v>
      </c>
      <c r="B157" s="10"/>
      <c r="C157" s="14">
        <v>46252</v>
      </c>
      <c r="D157" s="11"/>
      <c r="E157" s="11"/>
      <c r="F157" s="12">
        <f t="shared" si="5"/>
        <v>0</v>
      </c>
      <c r="G157" s="20"/>
      <c r="H157" s="20"/>
      <c r="I157" s="9"/>
      <c r="J157" s="9"/>
      <c r="K157" s="9"/>
    </row>
    <row r="158" spans="1:11" s="13" customFormat="1" ht="29.25" thickBot="1" x14ac:dyDescent="0.3">
      <c r="A158" s="19" t="s">
        <v>47</v>
      </c>
      <c r="B158" s="10"/>
      <c r="C158" s="14">
        <v>46252</v>
      </c>
      <c r="D158" s="11"/>
      <c r="E158" s="11"/>
      <c r="F158" s="12">
        <f t="shared" si="5"/>
        <v>0</v>
      </c>
      <c r="G158" s="20"/>
      <c r="H158" s="20"/>
      <c r="I158" s="9"/>
      <c r="J158" s="9"/>
      <c r="K158" s="9"/>
    </row>
    <row r="159" spans="1:11" s="13" customFormat="1" ht="29.25" thickBot="1" x14ac:dyDescent="0.3">
      <c r="A159" s="19" t="s">
        <v>47</v>
      </c>
      <c r="B159" s="10"/>
      <c r="C159" s="14">
        <v>46252</v>
      </c>
      <c r="D159" s="11"/>
      <c r="E159" s="11"/>
      <c r="F159" s="12">
        <f t="shared" si="5"/>
        <v>0</v>
      </c>
      <c r="G159" s="20"/>
      <c r="H159" s="20"/>
      <c r="I159" s="9"/>
      <c r="J159" s="9"/>
      <c r="K159" s="9"/>
    </row>
    <row r="160" spans="1:11" s="13" customFormat="1" ht="29.25" thickBot="1" x14ac:dyDescent="0.3">
      <c r="A160" s="19" t="s">
        <v>47</v>
      </c>
      <c r="B160" s="10"/>
      <c r="C160" s="14">
        <v>46252</v>
      </c>
      <c r="D160" s="11"/>
      <c r="E160" s="11"/>
      <c r="F160" s="12">
        <f t="shared" si="5"/>
        <v>0</v>
      </c>
      <c r="G160" s="20"/>
      <c r="H160" s="20"/>
      <c r="I160" s="9"/>
      <c r="J160" s="9"/>
      <c r="K160" s="9"/>
    </row>
    <row r="161" spans="1:11" s="13" customFormat="1" ht="29.25" thickBot="1" x14ac:dyDescent="0.3">
      <c r="A161" s="19" t="s">
        <v>47</v>
      </c>
      <c r="B161" s="10"/>
      <c r="C161" s="14">
        <v>46252</v>
      </c>
      <c r="D161" s="11"/>
      <c r="E161" s="11"/>
      <c r="F161" s="12">
        <f t="shared" si="5"/>
        <v>0</v>
      </c>
      <c r="G161" s="20"/>
      <c r="H161" s="20"/>
      <c r="I161" s="9"/>
      <c r="J161" s="9"/>
      <c r="K161" s="9"/>
    </row>
    <row r="162" spans="1:11" s="13" customFormat="1" ht="29.25" thickBot="1" x14ac:dyDescent="0.3">
      <c r="A162" s="19" t="s">
        <v>47</v>
      </c>
      <c r="B162" s="10"/>
      <c r="C162" s="14">
        <v>46252</v>
      </c>
      <c r="D162" s="11"/>
      <c r="E162" s="11"/>
      <c r="F162" s="12">
        <f t="shared" si="5"/>
        <v>0</v>
      </c>
      <c r="G162" s="20"/>
      <c r="H162" s="20"/>
      <c r="I162" s="9"/>
      <c r="J162" s="9"/>
      <c r="K162" s="9"/>
    </row>
    <row r="163" spans="1:11" s="13" customFormat="1" ht="29.25" thickBot="1" x14ac:dyDescent="0.3">
      <c r="A163" s="19" t="s">
        <v>47</v>
      </c>
      <c r="B163" s="10"/>
      <c r="C163" s="14">
        <v>46252</v>
      </c>
      <c r="D163" s="11"/>
      <c r="E163" s="11"/>
      <c r="F163" s="12">
        <f t="shared" si="5"/>
        <v>0</v>
      </c>
      <c r="G163" s="20"/>
      <c r="H163" s="20"/>
      <c r="I163" s="9"/>
      <c r="J163" s="9"/>
      <c r="K163" s="9"/>
    </row>
    <row r="164" spans="1:11" s="13" customFormat="1" ht="29.25" thickBot="1" x14ac:dyDescent="0.3">
      <c r="A164" s="19" t="s">
        <v>47</v>
      </c>
      <c r="B164" s="10"/>
      <c r="C164" s="14">
        <v>46253</v>
      </c>
      <c r="D164" s="11"/>
      <c r="E164" s="11"/>
      <c r="F164" s="12">
        <f t="shared" si="5"/>
        <v>0</v>
      </c>
      <c r="G164" s="20"/>
      <c r="H164" s="20"/>
      <c r="I164" s="9"/>
      <c r="J164" s="9"/>
      <c r="K164" s="9"/>
    </row>
    <row r="165" spans="1:11" s="13" customFormat="1" ht="29.25" thickBot="1" x14ac:dyDescent="0.3">
      <c r="A165" s="19" t="s">
        <v>47</v>
      </c>
      <c r="B165" s="10"/>
      <c r="C165" s="14">
        <v>46253</v>
      </c>
      <c r="D165" s="11"/>
      <c r="E165" s="11"/>
      <c r="F165" s="12">
        <f t="shared" si="5"/>
        <v>0</v>
      </c>
      <c r="G165" s="20"/>
      <c r="H165" s="20"/>
      <c r="I165" s="9"/>
      <c r="J165" s="9"/>
      <c r="K165" s="9"/>
    </row>
    <row r="166" spans="1:11" s="13" customFormat="1" ht="29.25" thickBot="1" x14ac:dyDescent="0.3">
      <c r="A166" s="19" t="s">
        <v>47</v>
      </c>
      <c r="B166" s="10"/>
      <c r="C166" s="14">
        <v>46253</v>
      </c>
      <c r="D166" s="11"/>
      <c r="E166" s="11"/>
      <c r="F166" s="12">
        <f t="shared" si="5"/>
        <v>0</v>
      </c>
      <c r="G166" s="20"/>
      <c r="H166" s="20"/>
      <c r="I166" s="9"/>
      <c r="J166" s="9"/>
      <c r="K166" s="9"/>
    </row>
    <row r="167" spans="1:11" s="13" customFormat="1" ht="29.25" thickBot="1" x14ac:dyDescent="0.3">
      <c r="A167" s="19" t="s">
        <v>47</v>
      </c>
      <c r="B167" s="10"/>
      <c r="C167" s="14">
        <v>46253</v>
      </c>
      <c r="D167" s="11"/>
      <c r="E167" s="11"/>
      <c r="F167" s="12">
        <f t="shared" si="5"/>
        <v>0</v>
      </c>
      <c r="G167" s="20"/>
      <c r="H167" s="20"/>
      <c r="I167" s="9"/>
      <c r="J167" s="9"/>
      <c r="K167" s="9"/>
    </row>
    <row r="168" spans="1:11" s="13" customFormat="1" ht="29.25" thickBot="1" x14ac:dyDescent="0.3">
      <c r="A168" s="19" t="s">
        <v>47</v>
      </c>
      <c r="B168" s="10"/>
      <c r="C168" s="14">
        <v>46253</v>
      </c>
      <c r="D168" s="11"/>
      <c r="E168" s="11"/>
      <c r="F168" s="12">
        <f t="shared" si="5"/>
        <v>0</v>
      </c>
      <c r="G168" s="20"/>
      <c r="H168" s="20"/>
      <c r="I168" s="9"/>
      <c r="J168" s="9"/>
      <c r="K168" s="9"/>
    </row>
    <row r="169" spans="1:11" s="13" customFormat="1" ht="29.25" thickBot="1" x14ac:dyDescent="0.3">
      <c r="A169" s="19" t="s">
        <v>47</v>
      </c>
      <c r="B169" s="10"/>
      <c r="C169" s="14">
        <v>46253</v>
      </c>
      <c r="D169" s="11"/>
      <c r="E169" s="11"/>
      <c r="F169" s="12">
        <f t="shared" si="5"/>
        <v>0</v>
      </c>
      <c r="G169" s="20"/>
      <c r="H169" s="20"/>
      <c r="I169" s="9"/>
      <c r="J169" s="9"/>
      <c r="K169" s="9"/>
    </row>
    <row r="170" spans="1:11" s="13" customFormat="1" ht="29.25" thickBot="1" x14ac:dyDescent="0.3">
      <c r="A170" s="19" t="s">
        <v>47</v>
      </c>
      <c r="B170" s="10"/>
      <c r="C170" s="14">
        <v>46253</v>
      </c>
      <c r="D170" s="11"/>
      <c r="E170" s="11"/>
      <c r="F170" s="12">
        <f t="shared" si="5"/>
        <v>0</v>
      </c>
      <c r="G170" s="20"/>
      <c r="H170" s="20"/>
      <c r="I170" s="9"/>
      <c r="J170" s="9"/>
      <c r="K170" s="9"/>
    </row>
    <row r="171" spans="1:11" s="13" customFormat="1" ht="29.25" thickBot="1" x14ac:dyDescent="0.3">
      <c r="A171" s="19" t="s">
        <v>47</v>
      </c>
      <c r="B171" s="10"/>
      <c r="C171" s="14">
        <v>46253</v>
      </c>
      <c r="D171" s="11"/>
      <c r="E171" s="11"/>
      <c r="F171" s="12">
        <f t="shared" si="5"/>
        <v>0</v>
      </c>
      <c r="G171" s="20"/>
      <c r="H171" s="20"/>
      <c r="I171" s="9"/>
      <c r="J171" s="9"/>
      <c r="K171" s="9"/>
    </row>
    <row r="172" spans="1:11" s="13" customFormat="1" ht="29.25" thickBot="1" x14ac:dyDescent="0.3">
      <c r="A172" s="19" t="s">
        <v>47</v>
      </c>
      <c r="B172" s="10"/>
      <c r="C172" s="14">
        <v>46253</v>
      </c>
      <c r="D172" s="11"/>
      <c r="E172" s="11"/>
      <c r="F172" s="12">
        <f t="shared" si="5"/>
        <v>0</v>
      </c>
      <c r="G172" s="20"/>
      <c r="H172" s="20"/>
      <c r="I172" s="9"/>
      <c r="J172" s="9"/>
      <c r="K172" s="9"/>
    </row>
    <row r="173" spans="1:11" s="13" customFormat="1" ht="29.25" thickBot="1" x14ac:dyDescent="0.3">
      <c r="A173" s="19" t="s">
        <v>47</v>
      </c>
      <c r="B173" s="10"/>
      <c r="C173" s="14">
        <v>46254</v>
      </c>
      <c r="D173" s="11"/>
      <c r="E173" s="11"/>
      <c r="F173" s="12">
        <f t="shared" si="5"/>
        <v>0</v>
      </c>
      <c r="G173" s="20"/>
      <c r="H173" s="20"/>
      <c r="I173" s="9"/>
      <c r="J173" s="9"/>
      <c r="K173" s="9"/>
    </row>
    <row r="174" spans="1:11" s="13" customFormat="1" ht="29.25" thickBot="1" x14ac:dyDescent="0.3">
      <c r="A174" s="19" t="s">
        <v>47</v>
      </c>
      <c r="B174" s="10"/>
      <c r="C174" s="14">
        <v>46254</v>
      </c>
      <c r="D174" s="11"/>
      <c r="E174" s="11"/>
      <c r="F174" s="12">
        <f t="shared" si="5"/>
        <v>0</v>
      </c>
      <c r="G174" s="20"/>
      <c r="H174" s="20"/>
      <c r="I174" s="9"/>
      <c r="J174" s="9"/>
      <c r="K174" s="9"/>
    </row>
    <row r="175" spans="1:11" s="13" customFormat="1" ht="29.25" thickBot="1" x14ac:dyDescent="0.3">
      <c r="A175" s="19" t="s">
        <v>47</v>
      </c>
      <c r="B175" s="10"/>
      <c r="C175" s="14">
        <v>46254</v>
      </c>
      <c r="D175" s="11"/>
      <c r="E175" s="11"/>
      <c r="F175" s="12">
        <f t="shared" si="5"/>
        <v>0</v>
      </c>
      <c r="G175" s="20"/>
      <c r="H175" s="20"/>
      <c r="I175" s="9"/>
      <c r="J175" s="9"/>
      <c r="K175" s="9"/>
    </row>
    <row r="176" spans="1:11" s="13" customFormat="1" ht="29.25" thickBot="1" x14ac:dyDescent="0.3">
      <c r="A176" s="19" t="s">
        <v>47</v>
      </c>
      <c r="B176" s="10"/>
      <c r="C176" s="14">
        <v>46254</v>
      </c>
      <c r="D176" s="11"/>
      <c r="E176" s="11"/>
      <c r="F176" s="12">
        <f t="shared" si="5"/>
        <v>0</v>
      </c>
      <c r="G176" s="20"/>
      <c r="H176" s="20"/>
      <c r="I176" s="9"/>
      <c r="J176" s="9"/>
      <c r="K176" s="9"/>
    </row>
    <row r="177" spans="1:11" s="13" customFormat="1" ht="29.25" thickBot="1" x14ac:dyDescent="0.3">
      <c r="A177" s="19" t="s">
        <v>47</v>
      </c>
      <c r="B177" s="10"/>
      <c r="C177" s="14">
        <v>46254</v>
      </c>
      <c r="D177" s="11"/>
      <c r="E177" s="11"/>
      <c r="F177" s="12">
        <f t="shared" si="5"/>
        <v>0</v>
      </c>
      <c r="G177" s="20"/>
      <c r="H177" s="20"/>
      <c r="I177" s="9"/>
      <c r="J177" s="9"/>
      <c r="K177" s="9"/>
    </row>
    <row r="178" spans="1:11" s="13" customFormat="1" ht="29.25" thickBot="1" x14ac:dyDescent="0.3">
      <c r="A178" s="19" t="s">
        <v>47</v>
      </c>
      <c r="B178" s="10"/>
      <c r="C178" s="14">
        <v>46254</v>
      </c>
      <c r="D178" s="11"/>
      <c r="E178" s="11"/>
      <c r="F178" s="12">
        <f t="shared" si="5"/>
        <v>0</v>
      </c>
      <c r="G178" s="20"/>
      <c r="H178" s="20"/>
      <c r="I178" s="9"/>
      <c r="J178" s="9"/>
      <c r="K178" s="9"/>
    </row>
    <row r="179" spans="1:11" s="13" customFormat="1" ht="29.25" thickBot="1" x14ac:dyDescent="0.3">
      <c r="A179" s="19" t="s">
        <v>47</v>
      </c>
      <c r="B179" s="10"/>
      <c r="C179" s="14">
        <v>46254</v>
      </c>
      <c r="D179" s="11"/>
      <c r="E179" s="11"/>
      <c r="F179" s="12">
        <f t="shared" si="5"/>
        <v>0</v>
      </c>
      <c r="G179" s="20"/>
      <c r="H179" s="20"/>
      <c r="I179" s="9"/>
      <c r="J179" s="9"/>
      <c r="K179" s="9"/>
    </row>
    <row r="180" spans="1:11" s="13" customFormat="1" ht="29.25" thickBot="1" x14ac:dyDescent="0.3">
      <c r="A180" s="19" t="s">
        <v>47</v>
      </c>
      <c r="B180" s="10"/>
      <c r="C180" s="14">
        <v>46254</v>
      </c>
      <c r="D180" s="11"/>
      <c r="E180" s="11"/>
      <c r="F180" s="12">
        <f t="shared" si="5"/>
        <v>0</v>
      </c>
      <c r="G180" s="20"/>
      <c r="H180" s="20"/>
      <c r="I180" s="9"/>
      <c r="J180" s="9"/>
      <c r="K180" s="9"/>
    </row>
    <row r="181" spans="1:11" s="13" customFormat="1" ht="29.25" thickBot="1" x14ac:dyDescent="0.3">
      <c r="A181" s="19" t="s">
        <v>47</v>
      </c>
      <c r="B181" s="10"/>
      <c r="C181" s="14">
        <v>46254</v>
      </c>
      <c r="D181" s="11"/>
      <c r="E181" s="11"/>
      <c r="F181" s="12">
        <f t="shared" si="5"/>
        <v>0</v>
      </c>
      <c r="G181" s="20"/>
      <c r="H181" s="20"/>
      <c r="I181" s="9"/>
      <c r="J181" s="9"/>
      <c r="K181" s="9"/>
    </row>
    <row r="182" spans="1:11" s="13" customFormat="1" ht="29.25" thickBot="1" x14ac:dyDescent="0.3">
      <c r="A182" s="19" t="s">
        <v>47</v>
      </c>
      <c r="B182" s="10"/>
      <c r="C182" s="14">
        <v>46255</v>
      </c>
      <c r="D182" s="11"/>
      <c r="E182" s="11"/>
      <c r="F182" s="12">
        <f t="shared" si="5"/>
        <v>0</v>
      </c>
      <c r="G182" s="20"/>
      <c r="H182" s="20"/>
      <c r="I182" s="9"/>
      <c r="J182" s="9"/>
      <c r="K182" s="9"/>
    </row>
    <row r="183" spans="1:11" s="13" customFormat="1" ht="29.25" thickBot="1" x14ac:dyDescent="0.3">
      <c r="A183" s="19" t="s">
        <v>47</v>
      </c>
      <c r="B183" s="10"/>
      <c r="C183" s="14">
        <v>46255</v>
      </c>
      <c r="D183" s="11"/>
      <c r="E183" s="11"/>
      <c r="F183" s="12">
        <f t="shared" si="5"/>
        <v>0</v>
      </c>
      <c r="G183" s="20"/>
      <c r="H183" s="20"/>
      <c r="I183" s="9"/>
      <c r="J183" s="9"/>
      <c r="K183" s="9"/>
    </row>
    <row r="184" spans="1:11" s="13" customFormat="1" ht="29.25" thickBot="1" x14ac:dyDescent="0.3">
      <c r="A184" s="19" t="s">
        <v>47</v>
      </c>
      <c r="B184" s="10"/>
      <c r="C184" s="14">
        <v>46255</v>
      </c>
      <c r="D184" s="11"/>
      <c r="E184" s="11"/>
      <c r="F184" s="12">
        <f t="shared" si="5"/>
        <v>0</v>
      </c>
      <c r="G184" s="20"/>
      <c r="H184" s="20"/>
      <c r="I184" s="9"/>
      <c r="J184" s="9"/>
      <c r="K184" s="9"/>
    </row>
    <row r="185" spans="1:11" s="13" customFormat="1" ht="29.25" thickBot="1" x14ac:dyDescent="0.3">
      <c r="A185" s="19" t="s">
        <v>47</v>
      </c>
      <c r="B185" s="10"/>
      <c r="C185" s="14">
        <v>46255</v>
      </c>
      <c r="D185" s="11"/>
      <c r="E185" s="11"/>
      <c r="F185" s="12">
        <f t="shared" si="5"/>
        <v>0</v>
      </c>
      <c r="G185" s="20"/>
      <c r="H185" s="20"/>
      <c r="I185" s="9"/>
      <c r="J185" s="9"/>
      <c r="K185" s="9"/>
    </row>
    <row r="186" spans="1:11" s="13" customFormat="1" ht="29.25" thickBot="1" x14ac:dyDescent="0.3">
      <c r="A186" s="19" t="s">
        <v>47</v>
      </c>
      <c r="B186" s="10"/>
      <c r="C186" s="14">
        <v>46255</v>
      </c>
      <c r="D186" s="11"/>
      <c r="E186" s="11"/>
      <c r="F186" s="12">
        <f t="shared" si="5"/>
        <v>0</v>
      </c>
      <c r="G186" s="20"/>
      <c r="H186" s="20"/>
      <c r="I186" s="9"/>
      <c r="J186" s="9"/>
      <c r="K186" s="9"/>
    </row>
    <row r="187" spans="1:11" s="13" customFormat="1" ht="29.25" thickBot="1" x14ac:dyDescent="0.3">
      <c r="A187" s="19" t="s">
        <v>47</v>
      </c>
      <c r="B187" s="10"/>
      <c r="C187" s="14">
        <v>46255</v>
      </c>
      <c r="D187" s="11"/>
      <c r="E187" s="11"/>
      <c r="F187" s="12">
        <f t="shared" si="5"/>
        <v>0</v>
      </c>
      <c r="G187" s="20"/>
      <c r="H187" s="20"/>
      <c r="I187" s="9"/>
      <c r="J187" s="9"/>
      <c r="K187" s="9"/>
    </row>
    <row r="188" spans="1:11" s="13" customFormat="1" ht="29.25" thickBot="1" x14ac:dyDescent="0.3">
      <c r="A188" s="19" t="s">
        <v>47</v>
      </c>
      <c r="B188" s="10"/>
      <c r="C188" s="14">
        <v>46255</v>
      </c>
      <c r="D188" s="11"/>
      <c r="E188" s="11"/>
      <c r="F188" s="12">
        <f t="shared" si="5"/>
        <v>0</v>
      </c>
      <c r="G188" s="20"/>
      <c r="H188" s="20"/>
      <c r="I188" s="9"/>
      <c r="J188" s="9"/>
      <c r="K188" s="9"/>
    </row>
    <row r="189" spans="1:11" s="13" customFormat="1" ht="29.25" thickBot="1" x14ac:dyDescent="0.3">
      <c r="A189" s="19" t="s">
        <v>47</v>
      </c>
      <c r="B189" s="10"/>
      <c r="C189" s="14">
        <v>46255</v>
      </c>
      <c r="D189" s="11"/>
      <c r="E189" s="11"/>
      <c r="F189" s="12">
        <f t="shared" si="5"/>
        <v>0</v>
      </c>
      <c r="G189" s="20"/>
      <c r="H189" s="20"/>
      <c r="I189" s="9"/>
      <c r="J189" s="9"/>
      <c r="K189" s="9"/>
    </row>
    <row r="190" spans="1:11" s="13" customFormat="1" ht="29.25" thickBot="1" x14ac:dyDescent="0.3">
      <c r="A190" s="19" t="s">
        <v>47</v>
      </c>
      <c r="B190" s="10"/>
      <c r="C190" s="14">
        <v>46256</v>
      </c>
      <c r="D190" s="11"/>
      <c r="E190" s="11"/>
      <c r="F190" s="12">
        <f t="shared" si="5"/>
        <v>0</v>
      </c>
      <c r="G190" s="20"/>
      <c r="H190" s="20"/>
      <c r="I190" s="9"/>
      <c r="J190" s="9"/>
      <c r="K190" s="9"/>
    </row>
    <row r="191" spans="1:11" s="13" customFormat="1" ht="29.25" thickBot="1" x14ac:dyDescent="0.3">
      <c r="A191" s="19" t="s">
        <v>47</v>
      </c>
      <c r="B191" s="10"/>
      <c r="C191" s="14">
        <v>46256</v>
      </c>
      <c r="D191" s="11"/>
      <c r="E191" s="11"/>
      <c r="F191" s="12">
        <f t="shared" si="5"/>
        <v>0</v>
      </c>
      <c r="G191" s="20"/>
      <c r="H191" s="20"/>
      <c r="I191" s="9"/>
      <c r="J191" s="9"/>
      <c r="K191" s="9"/>
    </row>
    <row r="192" spans="1:11" s="13" customFormat="1" ht="29.25" thickBot="1" x14ac:dyDescent="0.3">
      <c r="A192" s="19" t="s">
        <v>47</v>
      </c>
      <c r="B192" s="10"/>
      <c r="C192" s="14">
        <v>46256</v>
      </c>
      <c r="D192" s="11">
        <v>0.35416666666666669</v>
      </c>
      <c r="E192" s="11">
        <v>0.6875</v>
      </c>
      <c r="F192" s="12">
        <f>+(E192-D192)*24</f>
        <v>8</v>
      </c>
      <c r="G192" s="20" t="s">
        <v>21</v>
      </c>
      <c r="H192" s="20" t="s">
        <v>30</v>
      </c>
      <c r="I192" s="9"/>
      <c r="J192" s="9" t="s">
        <v>71</v>
      </c>
      <c r="K192" s="9"/>
    </row>
    <row r="193" spans="1:11" s="13" customFormat="1" ht="29.25" thickBot="1" x14ac:dyDescent="0.3">
      <c r="A193" s="19" t="s">
        <v>47</v>
      </c>
      <c r="B193" s="10"/>
      <c r="C193" s="14">
        <v>46256</v>
      </c>
      <c r="D193" s="11"/>
      <c r="E193" s="11"/>
      <c r="F193" s="12"/>
      <c r="G193" s="20"/>
      <c r="H193" s="20"/>
      <c r="I193" s="9"/>
      <c r="J193" s="9"/>
      <c r="K193" s="9"/>
    </row>
    <row r="194" spans="1:11" s="13" customFormat="1" ht="29.25" thickBot="1" x14ac:dyDescent="0.3">
      <c r="A194" s="19" t="s">
        <v>47</v>
      </c>
      <c r="B194" s="10"/>
      <c r="C194" s="14">
        <v>46256</v>
      </c>
      <c r="D194" s="11"/>
      <c r="E194" s="11"/>
      <c r="F194" s="12">
        <f t="shared" ref="F194:F200" si="6">+(E194-D194)*24</f>
        <v>0</v>
      </c>
      <c r="G194" s="20"/>
      <c r="H194" s="20"/>
      <c r="I194" s="9"/>
      <c r="J194" s="9"/>
      <c r="K194" s="9"/>
    </row>
    <row r="195" spans="1:11" s="13" customFormat="1" ht="29.25" thickBot="1" x14ac:dyDescent="0.3">
      <c r="A195" s="19" t="s">
        <v>47</v>
      </c>
      <c r="B195" s="10"/>
      <c r="C195" s="14">
        <v>46256</v>
      </c>
      <c r="D195" s="11"/>
      <c r="E195" s="11"/>
      <c r="F195" s="12">
        <f t="shared" si="6"/>
        <v>0</v>
      </c>
      <c r="G195" s="20"/>
      <c r="H195" s="20"/>
      <c r="I195" s="9"/>
      <c r="J195" s="9"/>
      <c r="K195" s="9"/>
    </row>
    <row r="196" spans="1:11" s="13" customFormat="1" ht="29.25" thickBot="1" x14ac:dyDescent="0.3">
      <c r="A196" s="19" t="s">
        <v>47</v>
      </c>
      <c r="B196" s="10"/>
      <c r="C196" s="14">
        <v>46256</v>
      </c>
      <c r="D196" s="11"/>
      <c r="E196" s="11"/>
      <c r="F196" s="12">
        <f t="shared" si="6"/>
        <v>0</v>
      </c>
      <c r="G196" s="20"/>
      <c r="H196" s="20"/>
      <c r="I196" s="9"/>
      <c r="J196" s="9"/>
      <c r="K196" s="9"/>
    </row>
    <row r="197" spans="1:11" s="13" customFormat="1" ht="29.25" thickBot="1" x14ac:dyDescent="0.3">
      <c r="A197" s="19" t="s">
        <v>47</v>
      </c>
      <c r="B197" s="10"/>
      <c r="C197" s="14">
        <v>46256</v>
      </c>
      <c r="D197" s="11"/>
      <c r="E197" s="11"/>
      <c r="F197" s="12">
        <f t="shared" si="6"/>
        <v>0</v>
      </c>
      <c r="G197" s="20"/>
      <c r="H197" s="20"/>
      <c r="I197" s="9"/>
      <c r="J197" s="9"/>
      <c r="K197" s="9"/>
    </row>
    <row r="198" spans="1:11" s="13" customFormat="1" ht="29.25" thickBot="1" x14ac:dyDescent="0.3">
      <c r="A198" s="19" t="s">
        <v>47</v>
      </c>
      <c r="B198" s="10"/>
      <c r="C198" s="14">
        <v>46256</v>
      </c>
      <c r="D198" s="11"/>
      <c r="E198" s="11"/>
      <c r="F198" s="12">
        <f t="shared" si="6"/>
        <v>0</v>
      </c>
      <c r="G198" s="20"/>
      <c r="H198" s="20"/>
      <c r="I198" s="9"/>
      <c r="J198" s="9"/>
      <c r="K198" s="9"/>
    </row>
    <row r="199" spans="1:11" s="13" customFormat="1" ht="29.25" thickBot="1" x14ac:dyDescent="0.3">
      <c r="A199" s="19" t="s">
        <v>47</v>
      </c>
      <c r="B199" s="10"/>
      <c r="C199" s="14">
        <v>46257</v>
      </c>
      <c r="D199" s="11"/>
      <c r="E199" s="11"/>
      <c r="F199" s="12">
        <f t="shared" si="6"/>
        <v>0</v>
      </c>
      <c r="G199" s="20"/>
      <c r="H199" s="20"/>
      <c r="I199" s="9"/>
      <c r="J199" s="9"/>
      <c r="K199" s="9"/>
    </row>
    <row r="200" spans="1:11" s="13" customFormat="1" ht="29.25" thickBot="1" x14ac:dyDescent="0.3">
      <c r="A200" s="19" t="s">
        <v>47</v>
      </c>
      <c r="B200" s="10"/>
      <c r="C200" s="14">
        <v>46257</v>
      </c>
      <c r="D200" s="11"/>
      <c r="E200" s="11"/>
      <c r="F200" s="12">
        <f t="shared" si="6"/>
        <v>0</v>
      </c>
      <c r="G200" s="20"/>
      <c r="H200" s="20"/>
      <c r="I200" s="9"/>
      <c r="J200" s="9"/>
      <c r="K200" s="9"/>
    </row>
    <row r="201" spans="1:11" s="13" customFormat="1" ht="29.25" thickBot="1" x14ac:dyDescent="0.3">
      <c r="A201" s="19" t="s">
        <v>47</v>
      </c>
      <c r="B201" s="10"/>
      <c r="C201" s="14">
        <v>46257</v>
      </c>
      <c r="D201" s="11">
        <v>0.35416666666666669</v>
      </c>
      <c r="E201" s="11">
        <v>0.6875</v>
      </c>
      <c r="F201" s="12">
        <f>+(E201-D201)*24</f>
        <v>8</v>
      </c>
      <c r="G201" s="20" t="s">
        <v>21</v>
      </c>
      <c r="H201" s="20" t="s">
        <v>30</v>
      </c>
      <c r="I201" s="9"/>
      <c r="J201" s="9" t="s">
        <v>71</v>
      </c>
      <c r="K201" s="9"/>
    </row>
    <row r="202" spans="1:11" s="13" customFormat="1" ht="29.25" thickBot="1" x14ac:dyDescent="0.3">
      <c r="A202" s="19" t="s">
        <v>47</v>
      </c>
      <c r="B202" s="10"/>
      <c r="C202" s="14">
        <v>46257</v>
      </c>
      <c r="D202" s="11"/>
      <c r="E202" s="11"/>
      <c r="F202" s="12">
        <f t="shared" ref="F202:F252" si="7">+(E202-D202)*24</f>
        <v>0</v>
      </c>
      <c r="G202" s="20"/>
      <c r="H202" s="20"/>
      <c r="I202" s="9"/>
      <c r="J202" s="9"/>
      <c r="K202" s="9"/>
    </row>
    <row r="203" spans="1:11" s="13" customFormat="1" ht="29.25" thickBot="1" x14ac:dyDescent="0.3">
      <c r="A203" s="19" t="s">
        <v>47</v>
      </c>
      <c r="B203" s="10"/>
      <c r="C203" s="14">
        <v>46257</v>
      </c>
      <c r="D203" s="11"/>
      <c r="E203" s="11"/>
      <c r="F203" s="12">
        <f t="shared" si="7"/>
        <v>0</v>
      </c>
      <c r="G203" s="20"/>
      <c r="H203" s="20"/>
      <c r="I203" s="9"/>
      <c r="J203" s="9"/>
      <c r="K203" s="9"/>
    </row>
    <row r="204" spans="1:11" s="13" customFormat="1" ht="29.25" thickBot="1" x14ac:dyDescent="0.3">
      <c r="A204" s="19" t="s">
        <v>47</v>
      </c>
      <c r="B204" s="10"/>
      <c r="C204" s="14">
        <v>46257</v>
      </c>
      <c r="D204" s="11"/>
      <c r="E204" s="11"/>
      <c r="F204" s="12">
        <f t="shared" si="7"/>
        <v>0</v>
      </c>
      <c r="G204" s="20"/>
      <c r="H204" s="20"/>
      <c r="I204" s="9"/>
      <c r="J204" s="9"/>
      <c r="K204" s="9"/>
    </row>
    <row r="205" spans="1:11" s="13" customFormat="1" ht="29.25" thickBot="1" x14ac:dyDescent="0.3">
      <c r="A205" s="19" t="s">
        <v>47</v>
      </c>
      <c r="B205" s="10"/>
      <c r="C205" s="14">
        <v>46257</v>
      </c>
      <c r="D205" s="11"/>
      <c r="E205" s="11"/>
      <c r="F205" s="12">
        <f t="shared" si="7"/>
        <v>0</v>
      </c>
      <c r="G205" s="20"/>
      <c r="H205" s="20"/>
      <c r="I205" s="9"/>
      <c r="J205" s="9"/>
      <c r="K205" s="9"/>
    </row>
    <row r="206" spans="1:11" s="13" customFormat="1" ht="29.25" thickBot="1" x14ac:dyDescent="0.3">
      <c r="A206" s="19" t="s">
        <v>47</v>
      </c>
      <c r="B206" s="10"/>
      <c r="C206" s="14">
        <v>46257</v>
      </c>
      <c r="D206" s="11"/>
      <c r="E206" s="11"/>
      <c r="F206" s="12">
        <f t="shared" si="7"/>
        <v>0</v>
      </c>
      <c r="G206" s="20"/>
      <c r="H206" s="20"/>
      <c r="I206" s="9"/>
      <c r="J206" s="9"/>
      <c r="K206" s="9"/>
    </row>
    <row r="207" spans="1:11" s="13" customFormat="1" ht="29.25" thickBot="1" x14ac:dyDescent="0.3">
      <c r="A207" s="19" t="s">
        <v>47</v>
      </c>
      <c r="B207" s="10"/>
      <c r="C207" s="14">
        <v>46257</v>
      </c>
      <c r="D207" s="11"/>
      <c r="E207" s="11"/>
      <c r="F207" s="12">
        <f t="shared" si="7"/>
        <v>0</v>
      </c>
      <c r="G207" s="20"/>
      <c r="H207" s="20"/>
      <c r="I207" s="9"/>
      <c r="J207" s="9"/>
      <c r="K207" s="9"/>
    </row>
    <row r="208" spans="1:11" s="13" customFormat="1" ht="29.25" thickBot="1" x14ac:dyDescent="0.3">
      <c r="A208" s="19" t="s">
        <v>47</v>
      </c>
      <c r="B208" s="10"/>
      <c r="C208" s="14">
        <v>46258</v>
      </c>
      <c r="D208" s="11"/>
      <c r="E208" s="11"/>
      <c r="F208" s="12">
        <f t="shared" si="7"/>
        <v>0</v>
      </c>
      <c r="G208" s="20"/>
      <c r="H208" s="20"/>
      <c r="I208" s="9"/>
      <c r="J208" s="9"/>
      <c r="K208" s="9"/>
    </row>
    <row r="209" spans="1:11" s="13" customFormat="1" ht="29.25" thickBot="1" x14ac:dyDescent="0.3">
      <c r="A209" s="19" t="s">
        <v>47</v>
      </c>
      <c r="B209" s="10"/>
      <c r="C209" s="14">
        <v>46258</v>
      </c>
      <c r="D209" s="11"/>
      <c r="E209" s="11"/>
      <c r="F209" s="12">
        <f t="shared" si="7"/>
        <v>0</v>
      </c>
      <c r="G209" s="20"/>
      <c r="H209" s="20"/>
      <c r="I209" s="9"/>
      <c r="J209" s="9"/>
      <c r="K209" s="9"/>
    </row>
    <row r="210" spans="1:11" s="13" customFormat="1" ht="29.25" thickBot="1" x14ac:dyDescent="0.3">
      <c r="A210" s="19" t="s">
        <v>47</v>
      </c>
      <c r="B210" s="10"/>
      <c r="C210" s="14">
        <v>46258</v>
      </c>
      <c r="D210" s="11"/>
      <c r="E210" s="11"/>
      <c r="F210" s="12">
        <f t="shared" si="7"/>
        <v>0</v>
      </c>
      <c r="G210" s="20"/>
      <c r="H210" s="20"/>
      <c r="I210" s="9"/>
      <c r="J210" s="9"/>
      <c r="K210" s="9"/>
    </row>
    <row r="211" spans="1:11" s="13" customFormat="1" ht="29.25" thickBot="1" x14ac:dyDescent="0.3">
      <c r="A211" s="19" t="s">
        <v>47</v>
      </c>
      <c r="B211" s="10"/>
      <c r="C211" s="14">
        <v>46258</v>
      </c>
      <c r="D211" s="11"/>
      <c r="E211" s="11"/>
      <c r="F211" s="12">
        <f t="shared" si="7"/>
        <v>0</v>
      </c>
      <c r="G211" s="20"/>
      <c r="H211" s="20"/>
      <c r="I211" s="9"/>
      <c r="J211" s="9"/>
      <c r="K211" s="9"/>
    </row>
    <row r="212" spans="1:11" s="13" customFormat="1" ht="29.25" thickBot="1" x14ac:dyDescent="0.3">
      <c r="A212" s="19" t="s">
        <v>47</v>
      </c>
      <c r="B212" s="10"/>
      <c r="C212" s="14">
        <v>46258</v>
      </c>
      <c r="D212" s="11"/>
      <c r="E212" s="11"/>
      <c r="F212" s="12">
        <f t="shared" si="7"/>
        <v>0</v>
      </c>
      <c r="G212" s="20"/>
      <c r="H212" s="20"/>
      <c r="I212" s="9"/>
      <c r="J212" s="9"/>
      <c r="K212" s="9"/>
    </row>
    <row r="213" spans="1:11" s="13" customFormat="1" ht="29.25" thickBot="1" x14ac:dyDescent="0.3">
      <c r="A213" s="19" t="s">
        <v>47</v>
      </c>
      <c r="B213" s="10"/>
      <c r="C213" s="14">
        <v>46258</v>
      </c>
      <c r="D213" s="11"/>
      <c r="E213" s="11"/>
      <c r="F213" s="12">
        <f t="shared" si="7"/>
        <v>0</v>
      </c>
      <c r="G213" s="20"/>
      <c r="H213" s="20"/>
      <c r="I213" s="9"/>
      <c r="J213" s="9"/>
      <c r="K213" s="9"/>
    </row>
    <row r="214" spans="1:11" s="13" customFormat="1" ht="29.25" thickBot="1" x14ac:dyDescent="0.3">
      <c r="A214" s="19" t="s">
        <v>47</v>
      </c>
      <c r="B214" s="10"/>
      <c r="C214" s="14">
        <v>46258</v>
      </c>
      <c r="D214" s="11"/>
      <c r="E214" s="11"/>
      <c r="F214" s="12">
        <f t="shared" si="7"/>
        <v>0</v>
      </c>
      <c r="G214" s="20"/>
      <c r="H214" s="20"/>
      <c r="I214" s="9"/>
      <c r="J214" s="9"/>
      <c r="K214" s="9"/>
    </row>
    <row r="215" spans="1:11" s="13" customFormat="1" ht="29.25" thickBot="1" x14ac:dyDescent="0.3">
      <c r="A215" s="19" t="s">
        <v>47</v>
      </c>
      <c r="B215" s="10"/>
      <c r="C215" s="14">
        <v>46258</v>
      </c>
      <c r="D215" s="11"/>
      <c r="E215" s="11"/>
      <c r="F215" s="12">
        <f t="shared" si="7"/>
        <v>0</v>
      </c>
      <c r="G215" s="20"/>
      <c r="H215" s="20"/>
      <c r="I215" s="9"/>
      <c r="J215" s="9"/>
      <c r="K215" s="9"/>
    </row>
    <row r="216" spans="1:11" s="13" customFormat="1" ht="29.25" thickBot="1" x14ac:dyDescent="0.3">
      <c r="A216" s="19" t="s">
        <v>47</v>
      </c>
      <c r="B216" s="10"/>
      <c r="C216" s="14">
        <v>46258</v>
      </c>
      <c r="D216" s="11"/>
      <c r="E216" s="11"/>
      <c r="F216" s="12">
        <f t="shared" si="7"/>
        <v>0</v>
      </c>
      <c r="G216" s="20"/>
      <c r="H216" s="20"/>
      <c r="I216" s="9"/>
      <c r="J216" s="9"/>
      <c r="K216" s="9"/>
    </row>
    <row r="217" spans="1:11" s="13" customFormat="1" ht="29.25" thickBot="1" x14ac:dyDescent="0.3">
      <c r="A217" s="19" t="s">
        <v>47</v>
      </c>
      <c r="B217" s="10"/>
      <c r="C217" s="14">
        <v>46259</v>
      </c>
      <c r="D217" s="11"/>
      <c r="E217" s="11"/>
      <c r="F217" s="12">
        <f t="shared" si="7"/>
        <v>0</v>
      </c>
      <c r="G217" s="20"/>
      <c r="H217" s="20"/>
      <c r="I217" s="9"/>
      <c r="J217" s="9"/>
      <c r="K217" s="9"/>
    </row>
    <row r="218" spans="1:11" s="13" customFormat="1" ht="29.25" thickBot="1" x14ac:dyDescent="0.3">
      <c r="A218" s="19" t="s">
        <v>47</v>
      </c>
      <c r="B218" s="10"/>
      <c r="C218" s="14">
        <v>46259</v>
      </c>
      <c r="D218" s="11"/>
      <c r="E218" s="11"/>
      <c r="F218" s="12">
        <f t="shared" si="7"/>
        <v>0</v>
      </c>
      <c r="G218" s="20"/>
      <c r="H218" s="20"/>
      <c r="I218" s="9"/>
      <c r="J218" s="9"/>
      <c r="K218" s="9"/>
    </row>
    <row r="219" spans="1:11" ht="29.25" thickBot="1" x14ac:dyDescent="0.25">
      <c r="A219" s="19" t="s">
        <v>47</v>
      </c>
      <c r="B219" s="10"/>
      <c r="C219" s="14">
        <v>46259</v>
      </c>
      <c r="D219" s="11"/>
      <c r="E219" s="11"/>
      <c r="F219" s="12">
        <f t="shared" si="7"/>
        <v>0</v>
      </c>
      <c r="G219" s="20"/>
      <c r="H219" s="20"/>
      <c r="I219" s="9"/>
      <c r="J219" s="9"/>
      <c r="K219" s="9"/>
    </row>
    <row r="220" spans="1:11" ht="29.25" thickBot="1" x14ac:dyDescent="0.25">
      <c r="A220" s="19" t="s">
        <v>47</v>
      </c>
      <c r="B220" s="10"/>
      <c r="C220" s="14">
        <v>46259</v>
      </c>
      <c r="D220" s="11"/>
      <c r="E220" s="11"/>
      <c r="F220" s="12">
        <f t="shared" si="7"/>
        <v>0</v>
      </c>
      <c r="G220" s="20"/>
      <c r="H220" s="20"/>
      <c r="I220" s="9"/>
      <c r="J220" s="9"/>
      <c r="K220" s="9"/>
    </row>
    <row r="221" spans="1:11" ht="29.25" thickBot="1" x14ac:dyDescent="0.25">
      <c r="A221" s="19" t="s">
        <v>47</v>
      </c>
      <c r="B221" s="10"/>
      <c r="C221" s="14">
        <v>46259</v>
      </c>
      <c r="D221" s="11"/>
      <c r="E221" s="11"/>
      <c r="F221" s="12">
        <f t="shared" si="7"/>
        <v>0</v>
      </c>
      <c r="G221" s="20"/>
      <c r="H221" s="20"/>
      <c r="I221" s="9"/>
      <c r="J221" s="9"/>
      <c r="K221" s="9"/>
    </row>
    <row r="222" spans="1:11" ht="29.25" thickBot="1" x14ac:dyDescent="0.25">
      <c r="A222" s="19" t="s">
        <v>47</v>
      </c>
      <c r="B222" s="10"/>
      <c r="C222" s="14">
        <v>46259</v>
      </c>
      <c r="D222" s="11"/>
      <c r="E222" s="11"/>
      <c r="F222" s="12">
        <f t="shared" si="7"/>
        <v>0</v>
      </c>
      <c r="G222" s="20"/>
      <c r="H222" s="20"/>
      <c r="I222" s="9"/>
      <c r="J222" s="9"/>
      <c r="K222" s="9"/>
    </row>
    <row r="223" spans="1:11" ht="29.25" thickBot="1" x14ac:dyDescent="0.25">
      <c r="A223" s="19" t="s">
        <v>47</v>
      </c>
      <c r="B223" s="10"/>
      <c r="C223" s="14">
        <v>46259</v>
      </c>
      <c r="D223" s="11"/>
      <c r="E223" s="11"/>
      <c r="F223" s="12">
        <f t="shared" si="7"/>
        <v>0</v>
      </c>
      <c r="G223" s="20"/>
      <c r="H223" s="20"/>
      <c r="I223" s="9"/>
      <c r="J223" s="9"/>
      <c r="K223" s="9"/>
    </row>
    <row r="224" spans="1:11" ht="29.25" thickBot="1" x14ac:dyDescent="0.25">
      <c r="A224" s="19" t="s">
        <v>47</v>
      </c>
      <c r="B224" s="10"/>
      <c r="C224" s="14">
        <v>46259</v>
      </c>
      <c r="D224" s="11"/>
      <c r="E224" s="11"/>
      <c r="F224" s="12">
        <f t="shared" si="7"/>
        <v>0</v>
      </c>
      <c r="G224" s="20"/>
      <c r="H224" s="20"/>
      <c r="I224" s="9"/>
      <c r="J224" s="9"/>
      <c r="K224" s="9"/>
    </row>
    <row r="225" spans="1:11" ht="29.25" thickBot="1" x14ac:dyDescent="0.25">
      <c r="A225" s="19" t="s">
        <v>47</v>
      </c>
      <c r="B225" s="10"/>
      <c r="C225" s="14">
        <v>46259</v>
      </c>
      <c r="D225" s="11"/>
      <c r="E225" s="11"/>
      <c r="F225" s="12">
        <f t="shared" si="7"/>
        <v>0</v>
      </c>
      <c r="G225" s="20"/>
      <c r="H225" s="20"/>
      <c r="I225" s="9"/>
      <c r="J225" s="9"/>
      <c r="K225" s="9"/>
    </row>
    <row r="226" spans="1:11" ht="29.25" thickBot="1" x14ac:dyDescent="0.25">
      <c r="A226" s="19" t="s">
        <v>47</v>
      </c>
      <c r="B226" s="10"/>
      <c r="C226" s="14">
        <v>46260</v>
      </c>
      <c r="D226" s="11"/>
      <c r="E226" s="11"/>
      <c r="F226" s="12">
        <f t="shared" si="7"/>
        <v>0</v>
      </c>
      <c r="G226" s="20"/>
      <c r="H226" s="20"/>
      <c r="I226" s="9"/>
      <c r="J226" s="9"/>
      <c r="K226" s="9"/>
    </row>
    <row r="227" spans="1:11" ht="29.25" thickBot="1" x14ac:dyDescent="0.25">
      <c r="A227" s="19" t="s">
        <v>47</v>
      </c>
      <c r="B227" s="10"/>
      <c r="C227" s="14">
        <v>46260</v>
      </c>
      <c r="D227" s="11"/>
      <c r="E227" s="11"/>
      <c r="F227" s="12">
        <f t="shared" si="7"/>
        <v>0</v>
      </c>
      <c r="G227" s="20"/>
      <c r="H227" s="20"/>
      <c r="I227" s="9"/>
      <c r="J227" s="9"/>
      <c r="K227" s="9"/>
    </row>
    <row r="228" spans="1:11" ht="29.25" thickBot="1" x14ac:dyDescent="0.25">
      <c r="A228" s="19" t="s">
        <v>47</v>
      </c>
      <c r="B228" s="10"/>
      <c r="C228" s="14">
        <v>46260</v>
      </c>
      <c r="D228" s="11"/>
      <c r="E228" s="11"/>
      <c r="F228" s="12">
        <f t="shared" si="7"/>
        <v>0</v>
      </c>
      <c r="G228" s="20"/>
      <c r="H228" s="20"/>
      <c r="I228" s="9"/>
      <c r="J228" s="9"/>
      <c r="K228" s="9"/>
    </row>
    <row r="229" spans="1:11" ht="29.25" thickBot="1" x14ac:dyDescent="0.25">
      <c r="A229" s="19" t="s">
        <v>47</v>
      </c>
      <c r="B229" s="10"/>
      <c r="C229" s="14">
        <v>46260</v>
      </c>
      <c r="D229" s="11"/>
      <c r="E229" s="11"/>
      <c r="F229" s="12">
        <f t="shared" si="7"/>
        <v>0</v>
      </c>
      <c r="G229" s="20"/>
      <c r="H229" s="20"/>
      <c r="I229" s="9"/>
      <c r="J229" s="9"/>
      <c r="K229" s="9"/>
    </row>
    <row r="230" spans="1:11" ht="29.25" thickBot="1" x14ac:dyDescent="0.25">
      <c r="A230" s="19" t="s">
        <v>47</v>
      </c>
      <c r="B230" s="10"/>
      <c r="C230" s="14">
        <v>46260</v>
      </c>
      <c r="D230" s="11"/>
      <c r="E230" s="11"/>
      <c r="F230" s="12">
        <f t="shared" si="7"/>
        <v>0</v>
      </c>
      <c r="G230" s="20"/>
      <c r="H230" s="20"/>
      <c r="I230" s="9"/>
      <c r="J230" s="9"/>
      <c r="K230" s="9"/>
    </row>
    <row r="231" spans="1:11" ht="29.25" thickBot="1" x14ac:dyDescent="0.25">
      <c r="A231" s="19" t="s">
        <v>47</v>
      </c>
      <c r="B231" s="10"/>
      <c r="C231" s="14">
        <v>46260</v>
      </c>
      <c r="D231" s="11"/>
      <c r="E231" s="11"/>
      <c r="F231" s="12">
        <f t="shared" si="7"/>
        <v>0</v>
      </c>
      <c r="G231" s="20"/>
      <c r="H231" s="20"/>
      <c r="I231" s="9"/>
      <c r="J231" s="9"/>
      <c r="K231" s="9"/>
    </row>
    <row r="232" spans="1:11" ht="29.25" thickBot="1" x14ac:dyDescent="0.25">
      <c r="A232" s="19" t="s">
        <v>47</v>
      </c>
      <c r="B232" s="10"/>
      <c r="C232" s="14">
        <v>46260</v>
      </c>
      <c r="D232" s="11"/>
      <c r="E232" s="11"/>
      <c r="F232" s="12">
        <f t="shared" si="7"/>
        <v>0</v>
      </c>
      <c r="G232" s="20"/>
      <c r="H232" s="20"/>
      <c r="I232" s="9"/>
      <c r="J232" s="9"/>
      <c r="K232" s="9"/>
    </row>
    <row r="233" spans="1:11" ht="29.25" thickBot="1" x14ac:dyDescent="0.25">
      <c r="A233" s="19" t="s">
        <v>47</v>
      </c>
      <c r="B233" s="10"/>
      <c r="C233" s="14">
        <v>46260</v>
      </c>
      <c r="D233" s="11"/>
      <c r="E233" s="11"/>
      <c r="F233" s="12">
        <f t="shared" si="7"/>
        <v>0</v>
      </c>
      <c r="G233" s="20"/>
      <c r="H233" s="20"/>
      <c r="I233" s="9"/>
      <c r="J233" s="9"/>
      <c r="K233" s="9"/>
    </row>
    <row r="234" spans="1:11" ht="29.25" thickBot="1" x14ac:dyDescent="0.25">
      <c r="A234" s="19" t="s">
        <v>47</v>
      </c>
      <c r="B234" s="10"/>
      <c r="C234" s="14">
        <v>46260</v>
      </c>
      <c r="D234" s="11"/>
      <c r="E234" s="11"/>
      <c r="F234" s="12">
        <f t="shared" si="7"/>
        <v>0</v>
      </c>
      <c r="G234" s="20"/>
      <c r="H234" s="20"/>
      <c r="I234" s="9"/>
      <c r="J234" s="9"/>
      <c r="K234" s="9"/>
    </row>
    <row r="235" spans="1:11" ht="29.25" thickBot="1" x14ac:dyDescent="0.25">
      <c r="A235" s="19" t="s">
        <v>47</v>
      </c>
      <c r="B235" s="10"/>
      <c r="C235" s="14">
        <v>46261</v>
      </c>
      <c r="D235" s="11"/>
      <c r="E235" s="11"/>
      <c r="F235" s="12">
        <f t="shared" si="7"/>
        <v>0</v>
      </c>
      <c r="G235" s="20"/>
      <c r="H235" s="20"/>
      <c r="I235" s="9"/>
      <c r="J235" s="9"/>
      <c r="K235" s="9"/>
    </row>
    <row r="236" spans="1:11" ht="29.25" thickBot="1" x14ac:dyDescent="0.25">
      <c r="A236" s="19" t="s">
        <v>47</v>
      </c>
      <c r="B236" s="10"/>
      <c r="C236" s="14">
        <v>46261</v>
      </c>
      <c r="D236" s="11"/>
      <c r="E236" s="11"/>
      <c r="F236" s="12">
        <f t="shared" si="7"/>
        <v>0</v>
      </c>
      <c r="G236" s="20"/>
      <c r="H236" s="20"/>
      <c r="I236" s="9"/>
      <c r="J236" s="9"/>
      <c r="K236" s="9"/>
    </row>
    <row r="237" spans="1:11" ht="29.25" thickBot="1" x14ac:dyDescent="0.25">
      <c r="A237" s="19" t="s">
        <v>47</v>
      </c>
      <c r="B237" s="10"/>
      <c r="C237" s="14">
        <v>46261</v>
      </c>
      <c r="D237" s="11"/>
      <c r="E237" s="11"/>
      <c r="F237" s="12">
        <f t="shared" si="7"/>
        <v>0</v>
      </c>
      <c r="G237" s="20"/>
      <c r="H237" s="20"/>
      <c r="I237" s="9"/>
      <c r="J237" s="9"/>
      <c r="K237" s="9"/>
    </row>
    <row r="238" spans="1:11" ht="29.25" thickBot="1" x14ac:dyDescent="0.25">
      <c r="A238" s="19" t="s">
        <v>47</v>
      </c>
      <c r="B238" s="10"/>
      <c r="C238" s="14">
        <v>46261</v>
      </c>
      <c r="D238" s="11"/>
      <c r="E238" s="11"/>
      <c r="F238" s="12">
        <f t="shared" si="7"/>
        <v>0</v>
      </c>
      <c r="G238" s="20"/>
      <c r="H238" s="20"/>
      <c r="I238" s="9"/>
      <c r="J238" s="9"/>
      <c r="K238" s="9"/>
    </row>
    <row r="239" spans="1:11" ht="29.25" thickBot="1" x14ac:dyDescent="0.25">
      <c r="A239" s="19" t="s">
        <v>47</v>
      </c>
      <c r="B239" s="10"/>
      <c r="C239" s="14">
        <v>46261</v>
      </c>
      <c r="D239" s="11"/>
      <c r="E239" s="11"/>
      <c r="F239" s="12">
        <f t="shared" si="7"/>
        <v>0</v>
      </c>
      <c r="G239" s="20"/>
      <c r="H239" s="20"/>
      <c r="I239" s="9"/>
      <c r="J239" s="9"/>
      <c r="K239" s="9"/>
    </row>
    <row r="240" spans="1:11" ht="29.25" thickBot="1" x14ac:dyDescent="0.25">
      <c r="A240" s="19" t="s">
        <v>47</v>
      </c>
      <c r="B240" s="10"/>
      <c r="C240" s="14">
        <v>46261</v>
      </c>
      <c r="D240" s="11"/>
      <c r="E240" s="11"/>
      <c r="F240" s="12">
        <f t="shared" si="7"/>
        <v>0</v>
      </c>
      <c r="G240" s="20"/>
      <c r="H240" s="20"/>
      <c r="I240" s="9"/>
      <c r="J240" s="9"/>
      <c r="K240" s="9"/>
    </row>
    <row r="241" spans="1:11" ht="29.25" thickBot="1" x14ac:dyDescent="0.25">
      <c r="A241" s="19" t="s">
        <v>47</v>
      </c>
      <c r="B241" s="10"/>
      <c r="C241" s="14">
        <v>46261</v>
      </c>
      <c r="D241" s="11"/>
      <c r="E241" s="11"/>
      <c r="F241" s="12">
        <f t="shared" si="7"/>
        <v>0</v>
      </c>
      <c r="G241" s="20"/>
      <c r="H241" s="20"/>
      <c r="I241" s="9"/>
      <c r="J241" s="9"/>
      <c r="K241" s="9"/>
    </row>
    <row r="242" spans="1:11" ht="29.25" thickBot="1" x14ac:dyDescent="0.25">
      <c r="A242" s="19" t="s">
        <v>47</v>
      </c>
      <c r="B242" s="10"/>
      <c r="C242" s="14">
        <v>46261</v>
      </c>
      <c r="D242" s="11"/>
      <c r="E242" s="11"/>
      <c r="F242" s="12">
        <f t="shared" si="7"/>
        <v>0</v>
      </c>
      <c r="G242" s="20"/>
      <c r="H242" s="20"/>
      <c r="I242" s="9"/>
      <c r="J242" s="9"/>
      <c r="K242" s="9"/>
    </row>
    <row r="243" spans="1:11" ht="29.25" thickBot="1" x14ac:dyDescent="0.25">
      <c r="A243" s="19" t="s">
        <v>47</v>
      </c>
      <c r="B243" s="10"/>
      <c r="C243" s="14">
        <v>46261</v>
      </c>
      <c r="D243" s="11"/>
      <c r="E243" s="11"/>
      <c r="F243" s="12">
        <f t="shared" si="7"/>
        <v>0</v>
      </c>
      <c r="G243" s="20"/>
      <c r="H243" s="20"/>
      <c r="I243" s="9"/>
      <c r="J243" s="9"/>
      <c r="K243" s="9"/>
    </row>
    <row r="244" spans="1:11" ht="29.25" thickBot="1" x14ac:dyDescent="0.25">
      <c r="A244" s="19" t="s">
        <v>47</v>
      </c>
      <c r="B244" s="10"/>
      <c r="C244" s="14">
        <v>46262</v>
      </c>
      <c r="D244" s="11"/>
      <c r="E244" s="11"/>
      <c r="F244" s="12">
        <f t="shared" si="7"/>
        <v>0</v>
      </c>
      <c r="G244" s="20"/>
      <c r="H244" s="20"/>
      <c r="I244" s="9"/>
      <c r="J244" s="9"/>
      <c r="K244" s="9"/>
    </row>
    <row r="245" spans="1:11" ht="29.25" thickBot="1" x14ac:dyDescent="0.25">
      <c r="A245" s="19" t="s">
        <v>47</v>
      </c>
      <c r="B245" s="10"/>
      <c r="C245" s="14">
        <v>46262</v>
      </c>
      <c r="D245" s="11"/>
      <c r="E245" s="11"/>
      <c r="F245" s="12">
        <f t="shared" si="7"/>
        <v>0</v>
      </c>
      <c r="G245" s="20"/>
      <c r="H245" s="20"/>
      <c r="I245" s="9"/>
      <c r="J245" s="9"/>
      <c r="K245" s="9"/>
    </row>
    <row r="246" spans="1:11" ht="29.25" thickBot="1" x14ac:dyDescent="0.25">
      <c r="A246" s="19" t="s">
        <v>47</v>
      </c>
      <c r="B246" s="10"/>
      <c r="C246" s="14">
        <v>46262</v>
      </c>
      <c r="D246" s="11"/>
      <c r="E246" s="11"/>
      <c r="F246" s="12">
        <f t="shared" si="7"/>
        <v>0</v>
      </c>
      <c r="G246" s="20"/>
      <c r="H246" s="20"/>
      <c r="I246" s="9"/>
      <c r="J246" s="9"/>
      <c r="K246" s="9"/>
    </row>
    <row r="247" spans="1:11" ht="29.25" thickBot="1" x14ac:dyDescent="0.25">
      <c r="A247" s="19" t="s">
        <v>47</v>
      </c>
      <c r="B247" s="10"/>
      <c r="C247" s="14">
        <v>46262</v>
      </c>
      <c r="D247" s="11"/>
      <c r="E247" s="11"/>
      <c r="F247" s="12">
        <f t="shared" si="7"/>
        <v>0</v>
      </c>
      <c r="G247" s="20"/>
      <c r="H247" s="20"/>
      <c r="I247" s="9"/>
      <c r="J247" s="9"/>
      <c r="K247" s="9"/>
    </row>
    <row r="248" spans="1:11" ht="29.25" thickBot="1" x14ac:dyDescent="0.25">
      <c r="A248" s="19" t="s">
        <v>47</v>
      </c>
      <c r="B248" s="10"/>
      <c r="C248" s="14">
        <v>46262</v>
      </c>
      <c r="D248" s="11"/>
      <c r="E248" s="11"/>
      <c r="F248" s="12">
        <f t="shared" si="7"/>
        <v>0</v>
      </c>
      <c r="G248" s="20"/>
      <c r="H248" s="20"/>
      <c r="I248" s="9"/>
      <c r="J248" s="9"/>
      <c r="K248" s="9"/>
    </row>
    <row r="249" spans="1:11" ht="29.25" thickBot="1" x14ac:dyDescent="0.25">
      <c r="A249" s="19" t="s">
        <v>47</v>
      </c>
      <c r="B249" s="10"/>
      <c r="C249" s="14">
        <v>46262</v>
      </c>
      <c r="D249" s="11"/>
      <c r="E249" s="11"/>
      <c r="F249" s="12">
        <f t="shared" si="7"/>
        <v>0</v>
      </c>
      <c r="G249" s="20"/>
      <c r="H249" s="20"/>
      <c r="I249" s="9"/>
      <c r="J249" s="9"/>
      <c r="K249" s="9"/>
    </row>
    <row r="250" spans="1:11" ht="29.25" thickBot="1" x14ac:dyDescent="0.25">
      <c r="A250" s="19" t="s">
        <v>47</v>
      </c>
      <c r="B250" s="10"/>
      <c r="C250" s="14">
        <v>46262</v>
      </c>
      <c r="D250" s="11"/>
      <c r="E250" s="11"/>
      <c r="F250" s="12">
        <f t="shared" si="7"/>
        <v>0</v>
      </c>
      <c r="G250" s="20"/>
      <c r="H250" s="20"/>
      <c r="I250" s="9"/>
      <c r="J250" s="9"/>
      <c r="K250" s="9"/>
    </row>
    <row r="251" spans="1:11" ht="29.25" thickBot="1" x14ac:dyDescent="0.25">
      <c r="A251" s="19" t="s">
        <v>47</v>
      </c>
      <c r="B251" s="10"/>
      <c r="C251" s="14">
        <v>46262</v>
      </c>
      <c r="D251" s="11"/>
      <c r="E251" s="11"/>
      <c r="F251" s="12">
        <f t="shared" si="7"/>
        <v>0</v>
      </c>
      <c r="G251" s="20"/>
      <c r="H251" s="20"/>
      <c r="I251" s="9"/>
      <c r="J251" s="9"/>
      <c r="K251" s="9"/>
    </row>
    <row r="252" spans="1:11" ht="29.25" thickBot="1" x14ac:dyDescent="0.25">
      <c r="A252" s="19" t="s">
        <v>47</v>
      </c>
      <c r="B252" s="10"/>
      <c r="C252" s="14">
        <v>46262</v>
      </c>
      <c r="D252" s="11"/>
      <c r="E252" s="11"/>
      <c r="F252" s="12">
        <f t="shared" si="7"/>
        <v>0</v>
      </c>
      <c r="G252" s="20"/>
      <c r="H252" s="20"/>
      <c r="I252" s="9"/>
      <c r="J252" s="9"/>
      <c r="K252" s="9"/>
    </row>
    <row r="253" spans="1:11" ht="29.25" thickBot="1" x14ac:dyDescent="0.25">
      <c r="A253" s="19" t="s">
        <v>47</v>
      </c>
      <c r="B253" s="10"/>
      <c r="C253" s="14">
        <v>46263</v>
      </c>
      <c r="D253" s="11">
        <v>0.35416666666666669</v>
      </c>
      <c r="E253" s="11">
        <v>0.6875</v>
      </c>
      <c r="F253" s="12">
        <f>+(E253-D253)*24</f>
        <v>8</v>
      </c>
      <c r="G253" s="20" t="s">
        <v>21</v>
      </c>
      <c r="H253" s="20" t="s">
        <v>30</v>
      </c>
      <c r="I253" s="9"/>
      <c r="J253" s="9" t="s">
        <v>71</v>
      </c>
      <c r="K253" s="9"/>
    </row>
    <row r="254" spans="1:11" ht="29.25" thickBot="1" x14ac:dyDescent="0.25">
      <c r="A254" s="19" t="s">
        <v>47</v>
      </c>
      <c r="B254" s="10"/>
      <c r="C254" s="14">
        <v>46263</v>
      </c>
      <c r="D254" s="11"/>
      <c r="E254" s="11"/>
      <c r="F254" s="12"/>
      <c r="G254" s="20"/>
      <c r="H254" s="20"/>
      <c r="I254" s="9"/>
      <c r="J254" s="9"/>
      <c r="K254" s="9"/>
    </row>
    <row r="255" spans="1:11" ht="29.25" thickBot="1" x14ac:dyDescent="0.25">
      <c r="A255" s="19" t="s">
        <v>47</v>
      </c>
      <c r="B255" s="10"/>
      <c r="C255" s="14">
        <v>46263</v>
      </c>
      <c r="D255" s="11"/>
      <c r="E255" s="11"/>
      <c r="F255" s="12">
        <f t="shared" ref="F255:F261" si="8">+(E255-D255)*24</f>
        <v>0</v>
      </c>
      <c r="G255" s="20"/>
      <c r="H255" s="20"/>
      <c r="I255" s="9"/>
      <c r="J255" s="9"/>
      <c r="K255" s="9"/>
    </row>
    <row r="256" spans="1:11" ht="29.25" thickBot="1" x14ac:dyDescent="0.25">
      <c r="A256" s="19" t="s">
        <v>47</v>
      </c>
      <c r="B256" s="10"/>
      <c r="C256" s="14">
        <v>46263</v>
      </c>
      <c r="D256" s="11"/>
      <c r="E256" s="11"/>
      <c r="F256" s="12">
        <f t="shared" si="8"/>
        <v>0</v>
      </c>
      <c r="G256" s="20"/>
      <c r="H256" s="20"/>
      <c r="I256" s="9"/>
      <c r="J256" s="9"/>
      <c r="K256" s="9"/>
    </row>
    <row r="257" spans="1:11" ht="29.25" thickBot="1" x14ac:dyDescent="0.25">
      <c r="A257" s="19" t="s">
        <v>47</v>
      </c>
      <c r="B257" s="10"/>
      <c r="C257" s="14">
        <v>46263</v>
      </c>
      <c r="D257" s="11"/>
      <c r="E257" s="11"/>
      <c r="F257" s="12">
        <f t="shared" si="8"/>
        <v>0</v>
      </c>
      <c r="G257" s="20"/>
      <c r="H257" s="20"/>
      <c r="I257" s="9"/>
      <c r="J257" s="9"/>
      <c r="K257" s="9"/>
    </row>
    <row r="258" spans="1:11" s="7" customFormat="1" ht="29.25" thickBot="1" x14ac:dyDescent="0.25">
      <c r="A258" s="19" t="s">
        <v>47</v>
      </c>
      <c r="B258" s="10"/>
      <c r="C258" s="14">
        <v>46263</v>
      </c>
      <c r="D258" s="11"/>
      <c r="E258" s="11"/>
      <c r="F258" s="12">
        <f t="shared" si="8"/>
        <v>0</v>
      </c>
      <c r="G258" s="20"/>
      <c r="H258" s="20"/>
      <c r="I258" s="9"/>
      <c r="J258" s="9"/>
      <c r="K258" s="9"/>
    </row>
    <row r="259" spans="1:11" s="7" customFormat="1" ht="29.25" thickBot="1" x14ac:dyDescent="0.25">
      <c r="A259" s="19" t="s">
        <v>47</v>
      </c>
      <c r="B259" s="10"/>
      <c r="C259" s="14">
        <v>46263</v>
      </c>
      <c r="D259" s="11"/>
      <c r="E259" s="11"/>
      <c r="F259" s="12">
        <f t="shared" si="8"/>
        <v>0</v>
      </c>
      <c r="G259" s="20"/>
      <c r="H259" s="20"/>
      <c r="I259" s="9"/>
      <c r="J259" s="9"/>
      <c r="K259" s="9"/>
    </row>
    <row r="260" spans="1:11" s="7" customFormat="1" ht="29.25" thickBot="1" x14ac:dyDescent="0.25">
      <c r="A260" s="19" t="s">
        <v>47</v>
      </c>
      <c r="B260" s="10"/>
      <c r="C260" s="14">
        <v>46263</v>
      </c>
      <c r="D260" s="11"/>
      <c r="E260" s="11"/>
      <c r="F260" s="12">
        <f t="shared" si="8"/>
        <v>0</v>
      </c>
      <c r="G260" s="20"/>
      <c r="H260" s="20"/>
      <c r="I260" s="9"/>
      <c r="J260" s="9"/>
      <c r="K260" s="9"/>
    </row>
    <row r="261" spans="1:11" s="7" customFormat="1" ht="29.25" thickBot="1" x14ac:dyDescent="0.25">
      <c r="A261" s="19" t="s">
        <v>47</v>
      </c>
      <c r="B261" s="10"/>
      <c r="C261" s="14">
        <v>46263</v>
      </c>
      <c r="D261" s="11"/>
      <c r="E261" s="11"/>
      <c r="F261" s="12">
        <f t="shared" si="8"/>
        <v>0</v>
      </c>
      <c r="G261" s="20"/>
      <c r="H261" s="20"/>
      <c r="I261" s="9"/>
      <c r="J261" s="9"/>
      <c r="K261" s="9"/>
    </row>
    <row r="262" spans="1:11" s="7" customFormat="1" ht="29.25" thickBot="1" x14ac:dyDescent="0.25">
      <c r="A262" s="19" t="s">
        <v>47</v>
      </c>
      <c r="B262" s="10"/>
      <c r="C262" s="14">
        <v>46264</v>
      </c>
      <c r="D262" s="11">
        <v>0.35416666666666669</v>
      </c>
      <c r="E262" s="11">
        <v>0.6875</v>
      </c>
      <c r="F262" s="12">
        <f>+(E262-D262)*24</f>
        <v>8</v>
      </c>
      <c r="G262" s="20" t="s">
        <v>21</v>
      </c>
      <c r="H262" s="20" t="s">
        <v>30</v>
      </c>
      <c r="I262" s="9"/>
      <c r="J262" s="9" t="s">
        <v>71</v>
      </c>
      <c r="K262" s="9"/>
    </row>
    <row r="263" spans="1:11" s="7" customFormat="1" ht="29.25" thickBot="1" x14ac:dyDescent="0.25">
      <c r="A263" s="19" t="s">
        <v>47</v>
      </c>
      <c r="B263" s="10"/>
      <c r="C263" s="14">
        <v>46264</v>
      </c>
      <c r="D263" s="11"/>
      <c r="E263" s="11"/>
      <c r="F263" s="12">
        <f t="shared" ref="F263:F298" si="9">+(E263-D263)*24</f>
        <v>0</v>
      </c>
      <c r="G263" s="20"/>
      <c r="H263" s="20"/>
      <c r="I263" s="9"/>
      <c r="J263" s="9"/>
      <c r="K263" s="9"/>
    </row>
    <row r="264" spans="1:11" s="7" customFormat="1" ht="29.25" thickBot="1" x14ac:dyDescent="0.25">
      <c r="A264" s="19" t="s">
        <v>47</v>
      </c>
      <c r="B264" s="10"/>
      <c r="C264" s="14">
        <v>46264</v>
      </c>
      <c r="D264" s="11"/>
      <c r="E264" s="11"/>
      <c r="F264" s="12">
        <f t="shared" si="9"/>
        <v>0</v>
      </c>
      <c r="G264" s="20"/>
      <c r="H264" s="20"/>
      <c r="I264" s="9"/>
      <c r="J264" s="9"/>
      <c r="K264" s="9"/>
    </row>
    <row r="265" spans="1:11" s="7" customFormat="1" ht="29.25" thickBot="1" x14ac:dyDescent="0.25">
      <c r="A265" s="19" t="s">
        <v>47</v>
      </c>
      <c r="B265" s="10"/>
      <c r="C265" s="14">
        <v>46264</v>
      </c>
      <c r="D265" s="11"/>
      <c r="E265" s="11"/>
      <c r="F265" s="12">
        <f t="shared" si="9"/>
        <v>0</v>
      </c>
      <c r="G265" s="20"/>
      <c r="H265" s="20"/>
      <c r="I265" s="9"/>
      <c r="J265" s="9"/>
      <c r="K265" s="9"/>
    </row>
    <row r="266" spans="1:11" s="7" customFormat="1" ht="29.25" thickBot="1" x14ac:dyDescent="0.25">
      <c r="A266" s="19" t="s">
        <v>47</v>
      </c>
      <c r="B266" s="10"/>
      <c r="C266" s="14">
        <v>46264</v>
      </c>
      <c r="D266" s="11"/>
      <c r="E266" s="11"/>
      <c r="F266" s="12">
        <f t="shared" si="9"/>
        <v>0</v>
      </c>
      <c r="G266" s="20"/>
      <c r="H266" s="20"/>
      <c r="I266" s="9"/>
      <c r="J266" s="9"/>
      <c r="K266" s="9"/>
    </row>
    <row r="267" spans="1:11" s="7" customFormat="1" ht="29.25" thickBot="1" x14ac:dyDescent="0.25">
      <c r="A267" s="19" t="s">
        <v>47</v>
      </c>
      <c r="B267" s="10"/>
      <c r="C267" s="14">
        <v>46264</v>
      </c>
      <c r="D267" s="11"/>
      <c r="E267" s="11"/>
      <c r="F267" s="12">
        <f t="shared" si="9"/>
        <v>0</v>
      </c>
      <c r="G267" s="20"/>
      <c r="H267" s="20"/>
      <c r="I267" s="9"/>
      <c r="J267" s="9"/>
      <c r="K267" s="9"/>
    </row>
    <row r="268" spans="1:11" s="7" customFormat="1" ht="29.25" thickBot="1" x14ac:dyDescent="0.25">
      <c r="A268" s="19" t="s">
        <v>47</v>
      </c>
      <c r="B268" s="10"/>
      <c r="C268" s="14">
        <v>46264</v>
      </c>
      <c r="D268" s="11"/>
      <c r="E268" s="11"/>
      <c r="F268" s="12">
        <f t="shared" si="9"/>
        <v>0</v>
      </c>
      <c r="G268" s="20"/>
      <c r="H268" s="20"/>
      <c r="I268" s="9"/>
      <c r="J268" s="9"/>
      <c r="K268" s="9"/>
    </row>
    <row r="269" spans="1:11" s="7" customFormat="1" ht="29.25" thickBot="1" x14ac:dyDescent="0.25">
      <c r="A269" s="19" t="s">
        <v>47</v>
      </c>
      <c r="B269" s="10"/>
      <c r="C269" s="14">
        <v>46264</v>
      </c>
      <c r="D269" s="11"/>
      <c r="E269" s="11"/>
      <c r="F269" s="12">
        <f t="shared" si="9"/>
        <v>0</v>
      </c>
      <c r="G269" s="20"/>
      <c r="H269" s="20"/>
      <c r="I269" s="9"/>
      <c r="J269" s="9"/>
      <c r="K269" s="9"/>
    </row>
    <row r="270" spans="1:11" s="7" customFormat="1" ht="29.25" thickBot="1" x14ac:dyDescent="0.25">
      <c r="A270" s="19" t="s">
        <v>47</v>
      </c>
      <c r="B270" s="10"/>
      <c r="C270" s="14">
        <v>46264</v>
      </c>
      <c r="D270" s="11"/>
      <c r="E270" s="11"/>
      <c r="F270" s="12">
        <f t="shared" si="9"/>
        <v>0</v>
      </c>
      <c r="G270" s="20"/>
      <c r="H270" s="20"/>
      <c r="I270" s="9"/>
      <c r="J270" s="9"/>
      <c r="K270" s="9"/>
    </row>
    <row r="271" spans="1:11" s="7" customFormat="1" ht="29.25" thickBot="1" x14ac:dyDescent="0.25">
      <c r="A271" s="19" t="s">
        <v>47</v>
      </c>
      <c r="B271" s="10"/>
      <c r="C271" s="14">
        <v>46265</v>
      </c>
      <c r="D271" s="11"/>
      <c r="E271" s="11"/>
      <c r="F271" s="12">
        <f t="shared" si="9"/>
        <v>0</v>
      </c>
      <c r="G271" s="20"/>
      <c r="H271" s="20"/>
      <c r="I271" s="9"/>
      <c r="J271" s="9"/>
      <c r="K271" s="9"/>
    </row>
    <row r="272" spans="1:11" s="7" customFormat="1" ht="29.25" thickBot="1" x14ac:dyDescent="0.25">
      <c r="A272" s="19" t="s">
        <v>47</v>
      </c>
      <c r="B272" s="10"/>
      <c r="C272" s="14">
        <v>46265</v>
      </c>
      <c r="D272" s="11"/>
      <c r="E272" s="11"/>
      <c r="F272" s="12">
        <f t="shared" si="9"/>
        <v>0</v>
      </c>
      <c r="G272" s="20"/>
      <c r="H272" s="20"/>
      <c r="I272" s="9"/>
      <c r="J272" s="9"/>
      <c r="K272" s="9"/>
    </row>
    <row r="273" spans="1:11" s="7" customFormat="1" ht="29.25" thickBot="1" x14ac:dyDescent="0.25">
      <c r="A273" s="19" t="s">
        <v>47</v>
      </c>
      <c r="B273" s="10"/>
      <c r="C273" s="14">
        <v>46265</v>
      </c>
      <c r="D273" s="11"/>
      <c r="E273" s="11"/>
      <c r="F273" s="12">
        <f t="shared" si="9"/>
        <v>0</v>
      </c>
      <c r="G273" s="20"/>
      <c r="H273" s="20"/>
      <c r="I273" s="9"/>
      <c r="J273" s="9"/>
      <c r="K273" s="9"/>
    </row>
    <row r="274" spans="1:11" s="7" customFormat="1" ht="29.25" thickBot="1" x14ac:dyDescent="0.25">
      <c r="A274" s="19" t="s">
        <v>47</v>
      </c>
      <c r="B274" s="10"/>
      <c r="C274" s="14">
        <v>46265</v>
      </c>
      <c r="D274" s="11"/>
      <c r="E274" s="11"/>
      <c r="F274" s="12">
        <f t="shared" si="9"/>
        <v>0</v>
      </c>
      <c r="G274" s="20"/>
      <c r="H274" s="20"/>
      <c r="I274" s="9"/>
      <c r="J274" s="9"/>
      <c r="K274" s="9"/>
    </row>
    <row r="275" spans="1:11" s="7" customFormat="1" ht="29.25" thickBot="1" x14ac:dyDescent="0.25">
      <c r="A275" s="19" t="s">
        <v>47</v>
      </c>
      <c r="B275" s="10"/>
      <c r="C275" s="14">
        <v>46265</v>
      </c>
      <c r="D275" s="11"/>
      <c r="E275" s="11"/>
      <c r="F275" s="12">
        <f t="shared" si="9"/>
        <v>0</v>
      </c>
      <c r="G275" s="20"/>
      <c r="H275" s="20"/>
      <c r="I275" s="9"/>
      <c r="J275" s="9"/>
      <c r="K275" s="9"/>
    </row>
    <row r="276" spans="1:11" s="7" customFormat="1" ht="29.25" thickBot="1" x14ac:dyDescent="0.25">
      <c r="A276" s="19" t="s">
        <v>47</v>
      </c>
      <c r="B276" s="10"/>
      <c r="C276" s="14">
        <v>46265</v>
      </c>
      <c r="D276" s="11"/>
      <c r="E276" s="11"/>
      <c r="F276" s="12">
        <f t="shared" si="9"/>
        <v>0</v>
      </c>
      <c r="G276" s="20"/>
      <c r="H276" s="20"/>
      <c r="I276" s="9"/>
      <c r="J276" s="9"/>
      <c r="K276" s="9"/>
    </row>
    <row r="277" spans="1:11" s="7" customFormat="1" ht="29.25" thickBot="1" x14ac:dyDescent="0.25">
      <c r="A277" s="19" t="s">
        <v>47</v>
      </c>
      <c r="B277" s="10"/>
      <c r="C277" s="14">
        <v>46265</v>
      </c>
      <c r="D277" s="11"/>
      <c r="E277" s="11"/>
      <c r="F277" s="12">
        <f t="shared" si="9"/>
        <v>0</v>
      </c>
      <c r="G277" s="20"/>
      <c r="H277" s="20"/>
      <c r="I277" s="9"/>
      <c r="J277" s="9"/>
      <c r="K277" s="9"/>
    </row>
    <row r="278" spans="1:11" s="7" customFormat="1" ht="29.25" thickBot="1" x14ac:dyDescent="0.25">
      <c r="A278" s="19" t="s">
        <v>47</v>
      </c>
      <c r="B278" s="10"/>
      <c r="C278" s="14">
        <v>46265</v>
      </c>
      <c r="D278" s="11"/>
      <c r="E278" s="11"/>
      <c r="F278" s="12">
        <f t="shared" si="9"/>
        <v>0</v>
      </c>
      <c r="G278" s="20"/>
      <c r="H278" s="20"/>
      <c r="I278" s="9"/>
      <c r="J278" s="9"/>
      <c r="K278" s="9"/>
    </row>
    <row r="279" spans="1:11" s="7" customFormat="1" ht="29.25" thickBot="1" x14ac:dyDescent="0.25">
      <c r="A279" s="19" t="s">
        <v>47</v>
      </c>
      <c r="B279" s="10"/>
      <c r="C279" s="14">
        <v>46265</v>
      </c>
      <c r="D279" s="11"/>
      <c r="E279" s="11"/>
      <c r="F279" s="12">
        <f t="shared" si="9"/>
        <v>0</v>
      </c>
      <c r="G279" s="20"/>
      <c r="H279" s="20"/>
      <c r="I279" s="9"/>
      <c r="J279" s="9"/>
      <c r="K279" s="9"/>
    </row>
    <row r="280" spans="1:11" s="7" customFormat="1" ht="29.25" thickBot="1" x14ac:dyDescent="0.25">
      <c r="A280" s="19" t="s">
        <v>47</v>
      </c>
      <c r="B280" s="10"/>
      <c r="C280" s="14"/>
      <c r="D280" s="11"/>
      <c r="E280" s="11"/>
      <c r="F280" s="12">
        <f t="shared" si="9"/>
        <v>0</v>
      </c>
      <c r="G280" s="20"/>
      <c r="H280" s="20"/>
      <c r="I280" s="9"/>
      <c r="J280" s="9"/>
      <c r="K280" s="9"/>
    </row>
    <row r="281" spans="1:11" s="7" customFormat="1" ht="29.25" thickBot="1" x14ac:dyDescent="0.25">
      <c r="A281" s="19" t="s">
        <v>47</v>
      </c>
      <c r="B281" s="10"/>
      <c r="C281" s="14"/>
      <c r="D281" s="11"/>
      <c r="E281" s="11"/>
      <c r="F281" s="12">
        <f t="shared" si="9"/>
        <v>0</v>
      </c>
      <c r="G281" s="20"/>
      <c r="H281" s="20"/>
      <c r="I281" s="9"/>
      <c r="J281" s="9"/>
      <c r="K281" s="9"/>
    </row>
    <row r="282" spans="1:11" s="7" customFormat="1" ht="29.25" thickBot="1" x14ac:dyDescent="0.25">
      <c r="A282" s="19" t="s">
        <v>47</v>
      </c>
      <c r="B282" s="10"/>
      <c r="C282" s="14"/>
      <c r="D282" s="11"/>
      <c r="E282" s="11"/>
      <c r="F282" s="12">
        <f t="shared" si="9"/>
        <v>0</v>
      </c>
      <c r="G282" s="20"/>
      <c r="H282" s="20"/>
      <c r="I282" s="9"/>
      <c r="J282" s="9"/>
      <c r="K282" s="9"/>
    </row>
    <row r="283" spans="1:11" s="7" customFormat="1" ht="29.25" thickBot="1" x14ac:dyDescent="0.25">
      <c r="A283" s="19" t="s">
        <v>47</v>
      </c>
      <c r="B283" s="10"/>
      <c r="C283" s="14"/>
      <c r="D283" s="11"/>
      <c r="E283" s="11"/>
      <c r="F283" s="12">
        <f t="shared" si="9"/>
        <v>0</v>
      </c>
      <c r="G283" s="20"/>
      <c r="H283" s="20"/>
      <c r="I283" s="9"/>
      <c r="J283" s="9"/>
      <c r="K283" s="9"/>
    </row>
    <row r="284" spans="1:11" s="7" customFormat="1" ht="29.25" thickBot="1" x14ac:dyDescent="0.25">
      <c r="A284" s="19" t="s">
        <v>47</v>
      </c>
      <c r="B284" s="10"/>
      <c r="C284" s="14"/>
      <c r="D284" s="11"/>
      <c r="E284" s="11"/>
      <c r="F284" s="12">
        <f t="shared" si="9"/>
        <v>0</v>
      </c>
      <c r="G284" s="20"/>
      <c r="H284" s="20"/>
      <c r="I284" s="9"/>
      <c r="J284" s="9"/>
      <c r="K284" s="9"/>
    </row>
    <row r="285" spans="1:11" s="7" customFormat="1" ht="29.25" thickBot="1" x14ac:dyDescent="0.25">
      <c r="A285" s="19" t="s">
        <v>47</v>
      </c>
      <c r="B285" s="10"/>
      <c r="C285" s="14"/>
      <c r="D285" s="11"/>
      <c r="E285" s="11"/>
      <c r="F285" s="12">
        <f t="shared" si="9"/>
        <v>0</v>
      </c>
      <c r="G285" s="20"/>
      <c r="H285" s="20"/>
      <c r="I285" s="9"/>
      <c r="J285" s="9"/>
      <c r="K285" s="9"/>
    </row>
    <row r="286" spans="1:11" s="7" customFormat="1" ht="29.25" thickBot="1" x14ac:dyDescent="0.25">
      <c r="A286" s="19" t="s">
        <v>47</v>
      </c>
      <c r="B286" s="10"/>
      <c r="C286" s="14"/>
      <c r="D286" s="11"/>
      <c r="E286" s="11"/>
      <c r="F286" s="12">
        <f t="shared" si="9"/>
        <v>0</v>
      </c>
      <c r="G286" s="20"/>
      <c r="H286" s="20"/>
      <c r="I286" s="9"/>
      <c r="J286" s="9"/>
      <c r="K286" s="9"/>
    </row>
    <row r="287" spans="1:11" s="7" customFormat="1" ht="29.25" thickBot="1" x14ac:dyDescent="0.25">
      <c r="A287" s="19" t="s">
        <v>47</v>
      </c>
      <c r="B287" s="10"/>
      <c r="C287" s="14"/>
      <c r="D287" s="11"/>
      <c r="E287" s="11"/>
      <c r="F287" s="12">
        <f t="shared" si="9"/>
        <v>0</v>
      </c>
      <c r="G287" s="20"/>
      <c r="H287" s="20"/>
      <c r="I287" s="9"/>
      <c r="J287" s="9"/>
      <c r="K287" s="9"/>
    </row>
    <row r="288" spans="1:11" s="7" customFormat="1" ht="29.25" thickBot="1" x14ac:dyDescent="0.25">
      <c r="A288" s="19" t="s">
        <v>47</v>
      </c>
      <c r="B288" s="10"/>
      <c r="C288" s="14"/>
      <c r="D288" s="11"/>
      <c r="E288" s="11"/>
      <c r="F288" s="12">
        <f t="shared" si="9"/>
        <v>0</v>
      </c>
      <c r="G288" s="20"/>
      <c r="H288" s="20"/>
      <c r="I288" s="9"/>
      <c r="J288" s="9"/>
      <c r="K288" s="9"/>
    </row>
    <row r="289" spans="1:11" s="7" customFormat="1" ht="29.25" thickBot="1" x14ac:dyDescent="0.25">
      <c r="A289" s="19" t="s">
        <v>47</v>
      </c>
      <c r="B289" s="10"/>
      <c r="C289" s="14"/>
      <c r="D289" s="11"/>
      <c r="E289" s="11"/>
      <c r="F289" s="12">
        <f t="shared" si="9"/>
        <v>0</v>
      </c>
      <c r="G289" s="20"/>
      <c r="H289" s="20"/>
      <c r="I289" s="9"/>
      <c r="J289" s="9"/>
      <c r="K289" s="9"/>
    </row>
    <row r="290" spans="1:11" s="7" customFormat="1" ht="29.25" thickBot="1" x14ac:dyDescent="0.25">
      <c r="A290" s="19" t="s">
        <v>47</v>
      </c>
      <c r="B290" s="10"/>
      <c r="C290" s="14"/>
      <c r="D290" s="11"/>
      <c r="E290" s="11"/>
      <c r="F290" s="12">
        <f t="shared" si="9"/>
        <v>0</v>
      </c>
      <c r="G290" s="20"/>
      <c r="H290" s="20"/>
      <c r="I290" s="9"/>
      <c r="J290" s="9"/>
      <c r="K290" s="9"/>
    </row>
    <row r="291" spans="1:11" s="7" customFormat="1" ht="29.25" thickBot="1" x14ac:dyDescent="0.25">
      <c r="A291" s="19" t="s">
        <v>47</v>
      </c>
      <c r="B291" s="10"/>
      <c r="C291" s="14"/>
      <c r="D291" s="11"/>
      <c r="E291" s="11"/>
      <c r="F291" s="12">
        <f t="shared" si="9"/>
        <v>0</v>
      </c>
      <c r="G291" s="20"/>
      <c r="H291" s="20"/>
      <c r="I291" s="9"/>
      <c r="J291" s="9"/>
      <c r="K291" s="9"/>
    </row>
    <row r="292" spans="1:11" s="7" customFormat="1" ht="29.25" thickBot="1" x14ac:dyDescent="0.25">
      <c r="A292" s="19" t="s">
        <v>47</v>
      </c>
      <c r="B292" s="10"/>
      <c r="C292" s="14"/>
      <c r="D292" s="11"/>
      <c r="E292" s="11"/>
      <c r="F292" s="12">
        <f t="shared" si="9"/>
        <v>0</v>
      </c>
      <c r="G292" s="20"/>
      <c r="H292" s="20"/>
      <c r="I292" s="9"/>
      <c r="J292" s="9"/>
      <c r="K292" s="9"/>
    </row>
    <row r="293" spans="1:11" s="7" customFormat="1" ht="29.25" thickBot="1" x14ac:dyDescent="0.25">
      <c r="A293" s="19" t="s">
        <v>47</v>
      </c>
      <c r="B293" s="10"/>
      <c r="C293" s="14"/>
      <c r="D293" s="11"/>
      <c r="E293" s="11"/>
      <c r="F293" s="12">
        <f t="shared" si="9"/>
        <v>0</v>
      </c>
      <c r="G293" s="20"/>
      <c r="H293" s="20"/>
      <c r="I293" s="9"/>
      <c r="J293" s="9"/>
      <c r="K293" s="9"/>
    </row>
    <row r="294" spans="1:11" s="7" customFormat="1" ht="29.25" thickBot="1" x14ac:dyDescent="0.25">
      <c r="A294" s="19" t="s">
        <v>47</v>
      </c>
      <c r="B294" s="10"/>
      <c r="C294" s="14"/>
      <c r="D294" s="11"/>
      <c r="E294" s="11"/>
      <c r="F294" s="12">
        <f t="shared" si="9"/>
        <v>0</v>
      </c>
      <c r="G294" s="20"/>
      <c r="H294" s="20"/>
      <c r="I294" s="9"/>
      <c r="J294" s="9"/>
      <c r="K294" s="9"/>
    </row>
    <row r="295" spans="1:11" s="7" customFormat="1" ht="29.25" thickBot="1" x14ac:dyDescent="0.25">
      <c r="A295" s="19" t="s">
        <v>47</v>
      </c>
      <c r="B295" s="10"/>
      <c r="C295" s="14"/>
      <c r="D295" s="11"/>
      <c r="E295" s="11"/>
      <c r="F295" s="12">
        <f t="shared" si="9"/>
        <v>0</v>
      </c>
      <c r="G295" s="20"/>
      <c r="H295" s="20"/>
      <c r="I295" s="9"/>
      <c r="J295" s="9"/>
      <c r="K295" s="9"/>
    </row>
    <row r="296" spans="1:11" s="7" customFormat="1" ht="29.25" thickBot="1" x14ac:dyDescent="0.25">
      <c r="A296" s="19" t="s">
        <v>47</v>
      </c>
      <c r="B296" s="10"/>
      <c r="C296" s="14"/>
      <c r="D296" s="11"/>
      <c r="E296" s="11"/>
      <c r="F296" s="12">
        <f t="shared" si="9"/>
        <v>0</v>
      </c>
      <c r="G296" s="20"/>
      <c r="H296" s="20"/>
      <c r="I296" s="9"/>
      <c r="J296" s="9"/>
      <c r="K296" s="9"/>
    </row>
    <row r="297" spans="1:11" s="7" customFormat="1" ht="29.25" thickBot="1" x14ac:dyDescent="0.25">
      <c r="A297" s="19" t="s">
        <v>47</v>
      </c>
      <c r="B297" s="10"/>
      <c r="C297" s="14"/>
      <c r="D297" s="11"/>
      <c r="E297" s="11"/>
      <c r="F297" s="12">
        <f t="shared" si="9"/>
        <v>0</v>
      </c>
      <c r="G297" s="20"/>
      <c r="H297" s="20"/>
      <c r="I297" s="9"/>
      <c r="J297" s="9"/>
      <c r="K297" s="9"/>
    </row>
    <row r="298" spans="1:11" s="7" customFormat="1" ht="29.25" thickBot="1" x14ac:dyDescent="0.25">
      <c r="A298" s="19" t="s">
        <v>47</v>
      </c>
      <c r="B298" s="10"/>
      <c r="C298" s="14"/>
      <c r="D298" s="11"/>
      <c r="E298" s="11"/>
      <c r="F298" s="12">
        <f t="shared" si="9"/>
        <v>0</v>
      </c>
      <c r="G298" s="20"/>
      <c r="H298" s="20"/>
      <c r="I298" s="9"/>
      <c r="J298" s="9"/>
      <c r="K298" s="9"/>
    </row>
    <row r="299" spans="1:11" s="7" customFormat="1" ht="15" thickBot="1" x14ac:dyDescent="0.25">
      <c r="A299" s="19"/>
      <c r="B299" s="10"/>
      <c r="C299" s="14"/>
      <c r="D299" s="11"/>
      <c r="E299" s="11"/>
      <c r="F299" s="12"/>
      <c r="G299" s="9"/>
      <c r="H299" s="20"/>
      <c r="I299" s="9"/>
      <c r="J299" s="9"/>
      <c r="K299" s="9"/>
    </row>
    <row r="300" spans="1:11" s="7" customFormat="1" ht="15" thickBot="1" x14ac:dyDescent="0.25">
      <c r="A300" s="9"/>
      <c r="B300" s="9"/>
      <c r="C300" s="9"/>
      <c r="D300" s="9"/>
      <c r="E300" s="9"/>
      <c r="F300" s="9">
        <f>SUBTOTAL(9,$F$2:$F$299)</f>
        <v>80</v>
      </c>
      <c r="G300" s="9" t="s">
        <v>11</v>
      </c>
      <c r="H300" s="9"/>
      <c r="I300" s="9"/>
      <c r="J300" s="9"/>
      <c r="K300" s="9"/>
    </row>
    <row r="301" spans="1:11" s="7" customFormat="1" ht="15" thickBot="1" x14ac:dyDescent="0.25">
      <c r="A301" s="9"/>
      <c r="B301" s="9"/>
      <c r="C301" s="9"/>
      <c r="D301" s="9"/>
      <c r="E301" s="9"/>
      <c r="F301" s="9">
        <v>0</v>
      </c>
      <c r="G301" s="9" t="s">
        <v>19</v>
      </c>
      <c r="H301" s="9"/>
      <c r="I301" s="9"/>
      <c r="J301" s="9"/>
      <c r="K301" s="9"/>
    </row>
    <row r="302" spans="1:11" s="7" customFormat="1" ht="15" thickBot="1" x14ac:dyDescent="0.25">
      <c r="A302" s="9"/>
      <c r="B302" s="9"/>
      <c r="C302" s="9"/>
      <c r="D302" s="9"/>
      <c r="E302" s="9"/>
      <c r="F302" s="9">
        <v>0</v>
      </c>
      <c r="G302" s="9" t="s">
        <v>20</v>
      </c>
      <c r="H302" s="9"/>
      <c r="I302" s="9"/>
      <c r="J302" s="9"/>
      <c r="K302" s="9"/>
    </row>
    <row r="303" spans="1:11" s="7" customFormat="1" ht="15" thickBot="1" x14ac:dyDescent="0.25">
      <c r="A303" s="9"/>
      <c r="B303" s="9"/>
      <c r="C303" s="9"/>
      <c r="D303" s="9"/>
      <c r="E303" s="9"/>
      <c r="F303" s="9">
        <v>0</v>
      </c>
      <c r="G303" s="9" t="s">
        <v>22</v>
      </c>
      <c r="H303" s="9"/>
      <c r="I303" s="9"/>
      <c r="J303" s="9"/>
      <c r="K303" s="9"/>
    </row>
    <row r="304" spans="1:11" s="7" customFormat="1" ht="15" thickBot="1" x14ac:dyDescent="0.25">
      <c r="A304" s="9"/>
      <c r="B304" s="9"/>
      <c r="C304" s="9"/>
      <c r="D304" s="9"/>
      <c r="E304" s="9"/>
      <c r="F304" s="9">
        <v>0</v>
      </c>
      <c r="G304" s="9" t="s">
        <v>45</v>
      </c>
      <c r="H304" s="9"/>
      <c r="I304" s="9"/>
      <c r="J304" s="9"/>
      <c r="K304" s="9"/>
    </row>
    <row r="305" spans="1:11" s="7" customFormat="1" ht="15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s="7" customFormat="1" ht="15" thickBot="1" x14ac:dyDescent="0.25">
      <c r="A306" s="9"/>
      <c r="B306" s="9"/>
      <c r="C306" s="9"/>
      <c r="D306" s="9"/>
      <c r="E306" s="9"/>
      <c r="F306" s="9">
        <f>SUBTOTAL(9,F301:F304)</f>
        <v>0</v>
      </c>
      <c r="G306" s="9" t="s">
        <v>12</v>
      </c>
      <c r="H306" s="9"/>
      <c r="I306" s="9"/>
      <c r="J306" s="9"/>
      <c r="K306" s="9"/>
    </row>
    <row r="307" spans="1:11" s="7" customFormat="1" ht="15" thickBot="1" x14ac:dyDescent="0.25">
      <c r="A307" s="9"/>
      <c r="B307" s="9"/>
      <c r="C307" s="9"/>
      <c r="D307" s="9"/>
      <c r="E307" s="9"/>
      <c r="F307" s="9">
        <f>F306/8</f>
        <v>0</v>
      </c>
      <c r="G307" s="9" t="s">
        <v>13</v>
      </c>
      <c r="H307" s="9"/>
      <c r="I307" s="9"/>
      <c r="J307" s="9"/>
      <c r="K307" s="9"/>
    </row>
    <row r="308" spans="1:11" s="7" customFormat="1" ht="15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s="7" customFormat="1" ht="15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s="7" customFormat="1" ht="15" thickBot="1" x14ac:dyDescent="0.25">
      <c r="A310" s="9"/>
      <c r="B310" s="9"/>
      <c r="C310" s="9"/>
      <c r="D310" s="9"/>
      <c r="E310" s="9"/>
      <c r="F310" s="9">
        <v>0</v>
      </c>
      <c r="G310" s="9" t="s">
        <v>74</v>
      </c>
      <c r="H310" s="9"/>
      <c r="I310" s="9"/>
      <c r="J310" s="9"/>
      <c r="K310" s="9"/>
    </row>
    <row r="311" spans="1:11" s="7" customFormat="1" ht="15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s="7" customFormat="1" ht="15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s="7" customFormat="1" ht="15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s="7" customFormat="1" ht="15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s="7" customFormat="1" ht="15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s="7" customFormat="1" ht="15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s="7" customFormat="1" ht="15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s="7" customFormat="1" ht="15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s="7" customFormat="1" ht="15" thickBo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s="7" customFormat="1" ht="15" thickBo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s="7" customFormat="1" ht="15" thickBo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s="7" customFormat="1" ht="15" thickBo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s="7" customFormat="1" ht="15" thickBo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s="7" customFormat="1" ht="15" thickBo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s="7" customFormat="1" ht="15" thickBo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s="7" customFormat="1" ht="15" thickBo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s="7" customFormat="1" ht="15" thickBo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s="7" customFormat="1" ht="15" thickBo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s="7" customFormat="1" ht="15" thickBo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s="7" customFormat="1" ht="15" thickBo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s="7" customFormat="1" ht="15" thickBo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s="7" customFormat="1" ht="15" thickBo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s="7" customFormat="1" ht="15" thickBo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s="7" customFormat="1" ht="15" thickBo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s="7" customFormat="1" ht="15" thickBo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s="7" customFormat="1" ht="15" thickBo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s="7" customFormat="1" ht="15" thickBo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s="7" customFormat="1" ht="15" thickBo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s="7" customFormat="1" ht="15" thickBo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s="7" customFormat="1" ht="15" thickBo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s="7" customFormat="1" ht="15" thickBo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s="7" customFormat="1" ht="15" thickBo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s="7" customFormat="1" ht="15" thickBo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s="7" customFormat="1" ht="15" thickBo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s="7" customFormat="1" ht="15" thickBo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s="7" customFormat="1" ht="15" thickBo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s="7" customFormat="1" ht="15" thickBo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s="7" customFormat="1" ht="15" thickBo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s="7" customFormat="1" ht="15" thickBo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s="7" customFormat="1" ht="15" thickBo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s="7" customFormat="1" x14ac:dyDescent="0.2">
      <c r="B351" s="5"/>
      <c r="C351" s="5"/>
      <c r="D351" s="5"/>
      <c r="E351" s="5"/>
      <c r="F351" s="5"/>
      <c r="I351" s="5"/>
      <c r="J351" s="5"/>
    </row>
    <row r="352" spans="1:11" s="7" customFormat="1" x14ac:dyDescent="0.2">
      <c r="B352" s="5"/>
      <c r="C352" s="5"/>
      <c r="D352" s="5"/>
      <c r="E352" s="5"/>
      <c r="F352" s="5"/>
      <c r="I352" s="5"/>
      <c r="J352" s="5"/>
    </row>
    <row r="353" spans="2:10" s="7" customFormat="1" x14ac:dyDescent="0.2">
      <c r="B353" s="5"/>
      <c r="C353" s="5"/>
      <c r="D353" s="5"/>
      <c r="E353" s="5"/>
      <c r="F353" s="5"/>
      <c r="I353" s="5"/>
      <c r="J353" s="5"/>
    </row>
    <row r="354" spans="2:10" s="7" customFormat="1" x14ac:dyDescent="0.2">
      <c r="B354" s="5"/>
      <c r="C354" s="5"/>
      <c r="D354" s="5"/>
      <c r="E354" s="5"/>
      <c r="F354" s="5"/>
      <c r="I354" s="5"/>
      <c r="J354" s="5"/>
    </row>
    <row r="355" spans="2:10" s="7" customFormat="1" x14ac:dyDescent="0.2">
      <c r="B355" s="5"/>
      <c r="C355" s="5"/>
      <c r="D355" s="5"/>
      <c r="E355" s="5"/>
      <c r="F355" s="5"/>
      <c r="I355" s="5"/>
      <c r="J355" s="5"/>
    </row>
    <row r="356" spans="2:10" s="7" customFormat="1" x14ac:dyDescent="0.2">
      <c r="B356" s="5"/>
      <c r="C356" s="5"/>
      <c r="D356" s="5"/>
      <c r="E356" s="5"/>
      <c r="F356" s="5"/>
      <c r="I356" s="5"/>
      <c r="J356" s="5"/>
    </row>
    <row r="357" spans="2:10" s="7" customFormat="1" x14ac:dyDescent="0.2">
      <c r="B357" s="5"/>
      <c r="C357" s="5"/>
      <c r="D357" s="5"/>
      <c r="E357" s="5"/>
      <c r="F357" s="5"/>
      <c r="I357" s="5"/>
      <c r="J357" s="5"/>
    </row>
    <row r="358" spans="2:10" s="7" customFormat="1" x14ac:dyDescent="0.2">
      <c r="B358" s="5"/>
      <c r="C358" s="5"/>
      <c r="D358" s="5"/>
      <c r="E358" s="5"/>
      <c r="F358" s="5"/>
      <c r="I358" s="5"/>
      <c r="J358" s="5"/>
    </row>
    <row r="359" spans="2:10" s="7" customFormat="1" x14ac:dyDescent="0.2">
      <c r="B359" s="5"/>
      <c r="C359" s="5"/>
      <c r="D359" s="5"/>
      <c r="E359" s="5"/>
      <c r="F359" s="5"/>
      <c r="I359" s="5"/>
      <c r="J359" s="5"/>
    </row>
    <row r="360" spans="2:10" s="7" customFormat="1" x14ac:dyDescent="0.2">
      <c r="B360" s="5"/>
      <c r="C360" s="5"/>
      <c r="D360" s="5"/>
      <c r="E360" s="5"/>
      <c r="F360" s="5"/>
      <c r="I360" s="5"/>
      <c r="J360" s="5"/>
    </row>
    <row r="361" spans="2:10" s="7" customFormat="1" x14ac:dyDescent="0.2">
      <c r="B361" s="5"/>
      <c r="C361" s="5"/>
      <c r="D361" s="5"/>
      <c r="E361" s="5"/>
      <c r="F361" s="5"/>
      <c r="I361" s="5"/>
      <c r="J361" s="5"/>
    </row>
    <row r="362" spans="2:10" s="7" customFormat="1" x14ac:dyDescent="0.2">
      <c r="B362" s="5"/>
      <c r="C362" s="5"/>
      <c r="D362" s="5"/>
      <c r="E362" s="5"/>
      <c r="F362" s="5"/>
      <c r="I362" s="5"/>
      <c r="J362" s="5"/>
    </row>
    <row r="363" spans="2:10" s="7" customFormat="1" x14ac:dyDescent="0.2">
      <c r="B363" s="5"/>
      <c r="C363" s="5"/>
      <c r="D363" s="5"/>
      <c r="E363" s="5"/>
      <c r="F363" s="5"/>
      <c r="I363" s="5"/>
      <c r="J363" s="5"/>
    </row>
    <row r="364" spans="2:10" s="7" customFormat="1" x14ac:dyDescent="0.2">
      <c r="B364" s="5"/>
      <c r="C364" s="5"/>
      <c r="D364" s="5"/>
      <c r="E364" s="5"/>
      <c r="F364" s="5"/>
      <c r="I364" s="5"/>
      <c r="J364" s="5"/>
    </row>
    <row r="365" spans="2:10" s="7" customFormat="1" x14ac:dyDescent="0.2">
      <c r="B365" s="5"/>
      <c r="C365" s="5"/>
      <c r="D365" s="5"/>
      <c r="E365" s="5"/>
      <c r="F365" s="5"/>
      <c r="I365" s="5"/>
      <c r="J365" s="5"/>
    </row>
    <row r="366" spans="2:10" s="7" customFormat="1" x14ac:dyDescent="0.2">
      <c r="B366" s="5"/>
      <c r="C366" s="5"/>
      <c r="D366" s="5"/>
      <c r="E366" s="5"/>
      <c r="F366" s="5"/>
      <c r="I366" s="5"/>
      <c r="J366" s="5"/>
    </row>
    <row r="367" spans="2:10" s="7" customFormat="1" x14ac:dyDescent="0.2">
      <c r="B367" s="5"/>
      <c r="C367" s="5"/>
      <c r="D367" s="5"/>
      <c r="E367" s="5"/>
      <c r="F367" s="5"/>
      <c r="I367" s="5"/>
      <c r="J367" s="5"/>
    </row>
    <row r="368" spans="2:10" s="7" customFormat="1" x14ac:dyDescent="0.2">
      <c r="B368" s="5"/>
      <c r="C368" s="5"/>
      <c r="D368" s="5"/>
      <c r="E368" s="5"/>
      <c r="F368" s="5"/>
      <c r="I368" s="5"/>
      <c r="J368" s="5"/>
    </row>
    <row r="369" spans="2:10" s="7" customFormat="1" x14ac:dyDescent="0.2">
      <c r="B369" s="5"/>
      <c r="C369" s="5"/>
      <c r="D369" s="5"/>
      <c r="E369" s="5"/>
      <c r="F369" s="5"/>
      <c r="I369" s="5"/>
      <c r="J369" s="5"/>
    </row>
    <row r="370" spans="2:10" s="7" customFormat="1" x14ac:dyDescent="0.2">
      <c r="B370" s="5"/>
      <c r="C370" s="5"/>
      <c r="D370" s="5"/>
      <c r="E370" s="5"/>
      <c r="F370" s="5"/>
      <c r="I370" s="5"/>
      <c r="J370" s="5"/>
    </row>
    <row r="371" spans="2:10" s="7" customFormat="1" x14ac:dyDescent="0.2">
      <c r="B371" s="5"/>
      <c r="C371" s="5"/>
      <c r="D371" s="5"/>
      <c r="E371" s="5"/>
      <c r="F371" s="5"/>
      <c r="I371" s="5"/>
      <c r="J371" s="5"/>
    </row>
    <row r="372" spans="2:10" s="7" customFormat="1" x14ac:dyDescent="0.2">
      <c r="B372" s="5"/>
      <c r="C372" s="5"/>
      <c r="D372" s="5"/>
      <c r="E372" s="5"/>
      <c r="F372" s="5"/>
      <c r="I372" s="5"/>
      <c r="J372" s="5"/>
    </row>
    <row r="373" spans="2:10" s="7" customFormat="1" x14ac:dyDescent="0.2">
      <c r="B373" s="5"/>
      <c r="C373" s="5"/>
      <c r="D373" s="5"/>
      <c r="E373" s="5"/>
      <c r="F373" s="5"/>
      <c r="I373" s="5"/>
      <c r="J373" s="5"/>
    </row>
    <row r="374" spans="2:10" s="7" customFormat="1" x14ac:dyDescent="0.2">
      <c r="B374" s="5"/>
      <c r="C374" s="5"/>
      <c r="D374" s="5"/>
      <c r="E374" s="5"/>
      <c r="F374" s="5"/>
      <c r="I374" s="5"/>
      <c r="J374" s="5"/>
    </row>
    <row r="375" spans="2:10" s="7" customFormat="1" x14ac:dyDescent="0.2">
      <c r="B375" s="5"/>
      <c r="C375" s="5"/>
      <c r="D375" s="5"/>
      <c r="E375" s="5"/>
      <c r="F375" s="5"/>
      <c r="I375" s="5"/>
      <c r="J375" s="5"/>
    </row>
    <row r="376" spans="2:10" s="7" customFormat="1" x14ac:dyDescent="0.2">
      <c r="B376" s="5"/>
      <c r="C376" s="5"/>
      <c r="D376" s="5"/>
      <c r="E376" s="5"/>
      <c r="F376" s="5"/>
      <c r="I376" s="5"/>
      <c r="J376" s="5"/>
    </row>
    <row r="377" spans="2:10" s="7" customFormat="1" x14ac:dyDescent="0.2">
      <c r="B377" s="5"/>
      <c r="C377" s="5"/>
      <c r="D377" s="5"/>
      <c r="E377" s="5"/>
      <c r="F377" s="5"/>
      <c r="I377" s="5"/>
      <c r="J377" s="5"/>
    </row>
    <row r="378" spans="2:10" s="7" customFormat="1" x14ac:dyDescent="0.2">
      <c r="B378" s="5"/>
      <c r="C378" s="5"/>
      <c r="D378" s="5"/>
      <c r="E378" s="5"/>
      <c r="F378" s="5"/>
      <c r="I378" s="5"/>
      <c r="J378" s="5"/>
    </row>
    <row r="379" spans="2:10" s="7" customFormat="1" x14ac:dyDescent="0.2">
      <c r="B379" s="5"/>
      <c r="C379" s="5"/>
      <c r="D379" s="5"/>
      <c r="E379" s="5"/>
      <c r="F379" s="5"/>
      <c r="I379" s="5"/>
      <c r="J379" s="5"/>
    </row>
    <row r="380" spans="2:10" s="7" customFormat="1" x14ac:dyDescent="0.2">
      <c r="B380" s="5"/>
      <c r="C380" s="5"/>
      <c r="D380" s="5"/>
      <c r="E380" s="5"/>
      <c r="F380" s="5"/>
      <c r="I380" s="5"/>
      <c r="J380" s="5"/>
    </row>
    <row r="381" spans="2:10" s="7" customFormat="1" x14ac:dyDescent="0.2">
      <c r="B381" s="5"/>
      <c r="C381" s="5"/>
      <c r="D381" s="5"/>
      <c r="E381" s="5"/>
      <c r="F381" s="5"/>
      <c r="I381" s="5"/>
      <c r="J381" s="5"/>
    </row>
    <row r="382" spans="2:10" s="7" customFormat="1" x14ac:dyDescent="0.2">
      <c r="B382" s="5"/>
      <c r="C382" s="5"/>
      <c r="D382" s="5"/>
      <c r="E382" s="5"/>
      <c r="F382" s="5"/>
      <c r="I382" s="5"/>
      <c r="J382" s="5"/>
    </row>
    <row r="383" spans="2:10" s="7" customFormat="1" x14ac:dyDescent="0.2">
      <c r="B383" s="5"/>
      <c r="C383" s="5"/>
      <c r="D383" s="5"/>
      <c r="E383" s="5"/>
      <c r="F383" s="5"/>
      <c r="I383" s="5"/>
      <c r="J383" s="5"/>
    </row>
    <row r="384" spans="2:10" s="7" customFormat="1" x14ac:dyDescent="0.2">
      <c r="B384" s="5"/>
      <c r="C384" s="5"/>
      <c r="D384" s="5"/>
      <c r="E384" s="5"/>
      <c r="F384" s="5"/>
      <c r="I384" s="5"/>
      <c r="J384" s="5"/>
    </row>
    <row r="385" spans="2:10" s="7" customFormat="1" x14ac:dyDescent="0.2">
      <c r="B385" s="5"/>
      <c r="C385" s="5"/>
      <c r="D385" s="5"/>
      <c r="E385" s="5"/>
      <c r="F385" s="5"/>
      <c r="I385" s="5"/>
      <c r="J385" s="5"/>
    </row>
    <row r="386" spans="2:10" s="7" customFormat="1" x14ac:dyDescent="0.2">
      <c r="B386" s="5"/>
      <c r="C386" s="5"/>
      <c r="D386" s="5"/>
      <c r="E386" s="5"/>
      <c r="F386" s="5"/>
      <c r="I386" s="5"/>
      <c r="J386" s="5"/>
    </row>
    <row r="387" spans="2:10" s="7" customFormat="1" x14ac:dyDescent="0.2">
      <c r="B387" s="5"/>
      <c r="C387" s="5"/>
      <c r="D387" s="5"/>
      <c r="E387" s="5"/>
      <c r="F387" s="5"/>
      <c r="I387" s="5"/>
      <c r="J387" s="5"/>
    </row>
    <row r="388" spans="2:10" s="7" customFormat="1" x14ac:dyDescent="0.2">
      <c r="B388" s="5"/>
      <c r="C388" s="5"/>
      <c r="D388" s="5"/>
      <c r="E388" s="5"/>
      <c r="F388" s="5"/>
      <c r="I388" s="5"/>
      <c r="J388" s="5"/>
    </row>
    <row r="389" spans="2:10" s="7" customFormat="1" x14ac:dyDescent="0.2">
      <c r="B389" s="5"/>
      <c r="C389" s="5"/>
      <c r="D389" s="5"/>
      <c r="E389" s="5"/>
      <c r="F389" s="5"/>
      <c r="I389" s="5"/>
      <c r="J389" s="5"/>
    </row>
    <row r="390" spans="2:10" s="7" customFormat="1" x14ac:dyDescent="0.2">
      <c r="B390" s="5"/>
      <c r="C390" s="5"/>
      <c r="D390" s="5"/>
      <c r="E390" s="5"/>
      <c r="F390" s="5"/>
      <c r="I390" s="5"/>
      <c r="J390" s="5"/>
    </row>
    <row r="391" spans="2:10" s="7" customFormat="1" x14ac:dyDescent="0.2">
      <c r="B391" s="5"/>
      <c r="C391" s="5"/>
      <c r="D391" s="5"/>
      <c r="E391" s="5"/>
      <c r="F391" s="5"/>
      <c r="I391" s="5"/>
      <c r="J391" s="5"/>
    </row>
    <row r="392" spans="2:10" s="7" customFormat="1" x14ac:dyDescent="0.2">
      <c r="B392" s="5"/>
      <c r="C392" s="5"/>
      <c r="D392" s="5"/>
      <c r="E392" s="5"/>
      <c r="F392" s="5"/>
      <c r="I392" s="5"/>
      <c r="J392" s="5"/>
    </row>
    <row r="393" spans="2:10" s="7" customFormat="1" x14ac:dyDescent="0.2">
      <c r="B393" s="5"/>
      <c r="C393" s="5"/>
      <c r="D393" s="5"/>
      <c r="E393" s="5"/>
      <c r="F393" s="5"/>
      <c r="I393" s="5"/>
      <c r="J393" s="5"/>
    </row>
    <row r="394" spans="2:10" s="7" customFormat="1" x14ac:dyDescent="0.2">
      <c r="B394" s="5"/>
      <c r="C394" s="5"/>
      <c r="D394" s="5"/>
      <c r="E394" s="5"/>
      <c r="F394" s="5"/>
      <c r="I394" s="5"/>
      <c r="J394" s="5"/>
    </row>
    <row r="395" spans="2:10" s="7" customFormat="1" x14ac:dyDescent="0.2">
      <c r="B395" s="5"/>
      <c r="C395" s="5"/>
      <c r="D395" s="5"/>
      <c r="E395" s="5"/>
      <c r="F395" s="5"/>
      <c r="I395" s="5"/>
      <c r="J395" s="5"/>
    </row>
    <row r="396" spans="2:10" s="7" customFormat="1" x14ac:dyDescent="0.2">
      <c r="B396" s="5"/>
      <c r="C396" s="5"/>
      <c r="D396" s="5"/>
      <c r="E396" s="5"/>
      <c r="F396" s="5"/>
      <c r="I396" s="5"/>
      <c r="J396" s="5"/>
    </row>
    <row r="397" spans="2:10" s="7" customFormat="1" x14ac:dyDescent="0.2">
      <c r="B397" s="5"/>
      <c r="C397" s="5"/>
      <c r="D397" s="5"/>
      <c r="E397" s="5"/>
      <c r="F397" s="5"/>
      <c r="I397" s="5"/>
      <c r="J397" s="5"/>
    </row>
    <row r="398" spans="2:10" s="7" customFormat="1" x14ac:dyDescent="0.2">
      <c r="B398" s="5"/>
      <c r="C398" s="5"/>
      <c r="D398" s="5"/>
      <c r="E398" s="5"/>
      <c r="F398" s="5"/>
      <c r="I398" s="5"/>
      <c r="J398" s="5"/>
    </row>
    <row r="399" spans="2:10" s="7" customFormat="1" x14ac:dyDescent="0.2">
      <c r="B399" s="5"/>
      <c r="C399" s="5"/>
      <c r="D399" s="5"/>
      <c r="E399" s="5"/>
      <c r="F399" s="5"/>
      <c r="I399" s="5"/>
      <c r="J399" s="5"/>
    </row>
    <row r="400" spans="2:10" s="7" customFormat="1" x14ac:dyDescent="0.2">
      <c r="B400" s="5"/>
      <c r="C400" s="5"/>
      <c r="D400" s="5"/>
      <c r="E400" s="5"/>
      <c r="F400" s="5"/>
      <c r="I400" s="5"/>
      <c r="J400" s="5"/>
    </row>
    <row r="401" spans="2:10" s="7" customFormat="1" x14ac:dyDescent="0.2">
      <c r="B401" s="5"/>
      <c r="C401" s="5"/>
      <c r="D401" s="5"/>
      <c r="E401" s="5"/>
      <c r="F401" s="5"/>
      <c r="I401" s="5"/>
      <c r="J401" s="5"/>
    </row>
    <row r="402" spans="2:10" s="7" customFormat="1" x14ac:dyDescent="0.2">
      <c r="B402" s="5"/>
      <c r="C402" s="5"/>
      <c r="D402" s="5"/>
      <c r="E402" s="5"/>
      <c r="F402" s="5"/>
      <c r="I402" s="5"/>
      <c r="J402" s="5"/>
    </row>
    <row r="403" spans="2:10" s="7" customFormat="1" x14ac:dyDescent="0.2">
      <c r="B403" s="5"/>
      <c r="C403" s="5"/>
      <c r="D403" s="5"/>
      <c r="E403" s="5"/>
      <c r="F403" s="5"/>
      <c r="I403" s="5"/>
      <c r="J403" s="5"/>
    </row>
    <row r="404" spans="2:10" s="7" customFormat="1" x14ac:dyDescent="0.2">
      <c r="B404" s="5"/>
      <c r="C404" s="5"/>
      <c r="D404" s="5"/>
      <c r="E404" s="5"/>
      <c r="F404" s="5"/>
      <c r="I404" s="5"/>
      <c r="J404" s="5"/>
    </row>
    <row r="405" spans="2:10" s="7" customFormat="1" x14ac:dyDescent="0.2">
      <c r="B405" s="5"/>
      <c r="C405" s="5"/>
      <c r="D405" s="5"/>
      <c r="E405" s="5"/>
      <c r="F405" s="5"/>
      <c r="I405" s="5"/>
      <c r="J405" s="5"/>
    </row>
    <row r="406" spans="2:10" s="7" customFormat="1" x14ac:dyDescent="0.2">
      <c r="B406" s="5"/>
      <c r="C406" s="5"/>
      <c r="D406" s="5"/>
      <c r="E406" s="5"/>
      <c r="F406" s="5"/>
      <c r="I406" s="5"/>
      <c r="J406" s="5"/>
    </row>
    <row r="407" spans="2:10" s="7" customFormat="1" x14ac:dyDescent="0.2">
      <c r="B407" s="5"/>
      <c r="C407" s="5"/>
      <c r="D407" s="5"/>
      <c r="E407" s="5"/>
      <c r="F407" s="5"/>
      <c r="I407" s="5"/>
      <c r="J407" s="5"/>
    </row>
    <row r="408" spans="2:10" s="7" customFormat="1" x14ac:dyDescent="0.2">
      <c r="B408" s="5"/>
      <c r="C408" s="5"/>
      <c r="D408" s="5"/>
      <c r="E408" s="5"/>
      <c r="F408" s="5"/>
      <c r="I408" s="5"/>
      <c r="J408" s="5"/>
    </row>
    <row r="409" spans="2:10" s="7" customFormat="1" x14ac:dyDescent="0.2">
      <c r="B409" s="5"/>
      <c r="C409" s="5"/>
      <c r="D409" s="5"/>
      <c r="E409" s="5"/>
      <c r="F409" s="5"/>
      <c r="I409" s="5"/>
      <c r="J409" s="5"/>
    </row>
    <row r="410" spans="2:10" s="7" customFormat="1" x14ac:dyDescent="0.2">
      <c r="B410" s="5"/>
      <c r="C410" s="5"/>
      <c r="D410" s="5"/>
      <c r="E410" s="5"/>
      <c r="F410" s="5"/>
      <c r="I410" s="5"/>
      <c r="J410" s="5"/>
    </row>
    <row r="411" spans="2:10" s="7" customFormat="1" x14ac:dyDescent="0.2">
      <c r="B411" s="5"/>
      <c r="C411" s="5"/>
      <c r="D411" s="5"/>
      <c r="E411" s="5"/>
      <c r="F411" s="5"/>
      <c r="I411" s="5"/>
      <c r="J411" s="5"/>
    </row>
    <row r="412" spans="2:10" s="7" customFormat="1" x14ac:dyDescent="0.2">
      <c r="B412" s="5"/>
      <c r="C412" s="5"/>
      <c r="D412" s="5"/>
      <c r="E412" s="5"/>
      <c r="F412" s="5"/>
      <c r="I412" s="5"/>
      <c r="J412" s="5"/>
    </row>
    <row r="413" spans="2:10" s="7" customFormat="1" x14ac:dyDescent="0.2">
      <c r="B413" s="5"/>
      <c r="C413" s="5"/>
      <c r="D413" s="5"/>
      <c r="E413" s="5"/>
      <c r="F413" s="5"/>
      <c r="I413" s="5"/>
      <c r="J413" s="5"/>
    </row>
    <row r="414" spans="2:10" s="7" customFormat="1" x14ac:dyDescent="0.2">
      <c r="B414" s="5"/>
      <c r="C414" s="5"/>
      <c r="D414" s="5"/>
      <c r="E414" s="5"/>
      <c r="F414" s="5"/>
      <c r="I414" s="5"/>
      <c r="J414" s="5"/>
    </row>
    <row r="415" spans="2:10" s="7" customFormat="1" x14ac:dyDescent="0.2">
      <c r="B415" s="5"/>
      <c r="C415" s="5"/>
      <c r="D415" s="5"/>
      <c r="E415" s="5"/>
      <c r="F415" s="5"/>
      <c r="I415" s="5"/>
      <c r="J415" s="5"/>
    </row>
    <row r="416" spans="2:10" s="7" customFormat="1" x14ac:dyDescent="0.2">
      <c r="B416" s="5"/>
      <c r="C416" s="5"/>
      <c r="D416" s="5"/>
      <c r="E416" s="5"/>
      <c r="F416" s="5"/>
      <c r="I416" s="5"/>
      <c r="J416" s="5"/>
    </row>
    <row r="417" spans="2:10" s="7" customFormat="1" x14ac:dyDescent="0.2">
      <c r="B417" s="5"/>
      <c r="C417" s="5"/>
      <c r="D417" s="5"/>
      <c r="E417" s="5"/>
      <c r="F417" s="5"/>
      <c r="I417" s="5"/>
      <c r="J417" s="5"/>
    </row>
    <row r="418" spans="2:10" s="7" customFormat="1" x14ac:dyDescent="0.2">
      <c r="B418" s="5"/>
      <c r="C418" s="5"/>
      <c r="D418" s="5"/>
      <c r="E418" s="5"/>
      <c r="F418" s="5"/>
      <c r="I418" s="5"/>
      <c r="J418" s="5"/>
    </row>
    <row r="419" spans="2:10" s="7" customFormat="1" x14ac:dyDescent="0.2">
      <c r="B419" s="5"/>
      <c r="C419" s="5"/>
      <c r="D419" s="5"/>
      <c r="E419" s="5"/>
      <c r="F419" s="5"/>
      <c r="I419" s="5"/>
      <c r="J419" s="5"/>
    </row>
    <row r="420" spans="2:10" s="7" customFormat="1" x14ac:dyDescent="0.2">
      <c r="B420" s="5"/>
      <c r="C420" s="5"/>
      <c r="D420" s="5"/>
      <c r="E420" s="5"/>
      <c r="F420" s="5"/>
      <c r="I420" s="5"/>
      <c r="J420" s="5"/>
    </row>
    <row r="421" spans="2:10" s="7" customFormat="1" x14ac:dyDescent="0.2">
      <c r="B421" s="5"/>
      <c r="C421" s="5"/>
      <c r="D421" s="5"/>
      <c r="E421" s="5"/>
      <c r="F421" s="5"/>
      <c r="I421" s="5"/>
      <c r="J421" s="5"/>
    </row>
    <row r="422" spans="2:10" s="7" customFormat="1" x14ac:dyDescent="0.2">
      <c r="B422" s="5"/>
      <c r="C422" s="5"/>
      <c r="D422" s="5"/>
      <c r="E422" s="5"/>
      <c r="F422" s="5"/>
      <c r="I422" s="5"/>
      <c r="J422" s="5"/>
    </row>
    <row r="423" spans="2:10" s="7" customFormat="1" x14ac:dyDescent="0.2">
      <c r="B423" s="5"/>
      <c r="C423" s="5"/>
      <c r="D423" s="5"/>
      <c r="E423" s="5"/>
      <c r="F423" s="5"/>
      <c r="I423" s="5"/>
      <c r="J423" s="5"/>
    </row>
    <row r="424" spans="2:10" s="7" customFormat="1" x14ac:dyDescent="0.2">
      <c r="B424" s="5"/>
      <c r="C424" s="5"/>
      <c r="D424" s="5"/>
      <c r="E424" s="5"/>
      <c r="F424" s="5"/>
      <c r="I424" s="5"/>
      <c r="J424" s="5"/>
    </row>
    <row r="425" spans="2:10" s="7" customFormat="1" x14ac:dyDescent="0.2">
      <c r="B425" s="5"/>
      <c r="C425" s="5"/>
      <c r="D425" s="5"/>
      <c r="E425" s="5"/>
      <c r="F425" s="5"/>
      <c r="I425" s="5"/>
      <c r="J425" s="5"/>
    </row>
    <row r="426" spans="2:10" s="7" customFormat="1" x14ac:dyDescent="0.2">
      <c r="B426" s="5"/>
      <c r="C426" s="5"/>
      <c r="D426" s="5"/>
      <c r="E426" s="5"/>
      <c r="F426" s="5"/>
      <c r="I426" s="5"/>
      <c r="J426" s="5"/>
    </row>
    <row r="427" spans="2:10" s="7" customFormat="1" x14ac:dyDescent="0.2">
      <c r="B427" s="5"/>
      <c r="C427" s="5"/>
      <c r="D427" s="5"/>
      <c r="E427" s="5"/>
      <c r="F427" s="5"/>
      <c r="I427" s="5"/>
      <c r="J427" s="5"/>
    </row>
    <row r="428" spans="2:10" s="7" customFormat="1" x14ac:dyDescent="0.2">
      <c r="B428" s="5"/>
      <c r="C428" s="5"/>
      <c r="D428" s="5"/>
      <c r="E428" s="5"/>
      <c r="F428" s="5"/>
      <c r="I428" s="5"/>
      <c r="J428" s="5"/>
    </row>
    <row r="429" spans="2:10" s="7" customFormat="1" x14ac:dyDescent="0.2">
      <c r="B429" s="5"/>
      <c r="C429" s="5"/>
      <c r="D429" s="5"/>
      <c r="E429" s="5"/>
      <c r="F429" s="5"/>
      <c r="I429" s="5"/>
      <c r="J429" s="5"/>
    </row>
    <row r="430" spans="2:10" s="7" customFormat="1" x14ac:dyDescent="0.2">
      <c r="B430" s="5"/>
      <c r="C430" s="5"/>
      <c r="D430" s="5"/>
      <c r="E430" s="5"/>
      <c r="F430" s="5"/>
      <c r="I430" s="5"/>
      <c r="J430" s="5"/>
    </row>
    <row r="431" spans="2:10" s="7" customFormat="1" x14ac:dyDescent="0.2">
      <c r="B431" s="5"/>
      <c r="C431" s="5"/>
      <c r="D431" s="5"/>
      <c r="E431" s="5"/>
      <c r="F431" s="5"/>
      <c r="I431" s="5"/>
      <c r="J431" s="5"/>
    </row>
    <row r="432" spans="2:10" s="7" customFormat="1" x14ac:dyDescent="0.2">
      <c r="B432" s="5"/>
      <c r="C432" s="5"/>
      <c r="D432" s="5"/>
      <c r="E432" s="5"/>
      <c r="F432" s="5"/>
      <c r="I432" s="5"/>
      <c r="J432" s="5"/>
    </row>
    <row r="433" spans="2:10" s="7" customFormat="1" x14ac:dyDescent="0.2">
      <c r="B433" s="5"/>
      <c r="C433" s="5"/>
      <c r="D433" s="5"/>
      <c r="E433" s="5"/>
      <c r="F433" s="5"/>
      <c r="I433" s="5"/>
      <c r="J433" s="5"/>
    </row>
    <row r="434" spans="2:10" s="7" customFormat="1" x14ac:dyDescent="0.2">
      <c r="B434" s="5"/>
      <c r="C434" s="5"/>
      <c r="D434" s="5"/>
      <c r="E434" s="5"/>
      <c r="F434" s="5"/>
      <c r="I434" s="5"/>
      <c r="J434" s="5"/>
    </row>
    <row r="435" spans="2:10" s="7" customFormat="1" x14ac:dyDescent="0.2">
      <c r="B435" s="5"/>
      <c r="C435" s="5"/>
      <c r="D435" s="5"/>
      <c r="E435" s="5"/>
      <c r="F435" s="5"/>
      <c r="I435" s="5"/>
      <c r="J435" s="5"/>
    </row>
    <row r="436" spans="2:10" s="7" customFormat="1" x14ac:dyDescent="0.2">
      <c r="B436" s="5"/>
      <c r="C436" s="5"/>
      <c r="D436" s="5"/>
      <c r="E436" s="5"/>
      <c r="F436" s="5"/>
      <c r="I436" s="5"/>
      <c r="J436" s="5"/>
    </row>
    <row r="437" spans="2:10" s="7" customFormat="1" x14ac:dyDescent="0.2">
      <c r="B437" s="5"/>
      <c r="C437" s="5"/>
      <c r="D437" s="5"/>
      <c r="E437" s="5"/>
      <c r="F437" s="5"/>
      <c r="I437" s="5"/>
      <c r="J437" s="5"/>
    </row>
    <row r="438" spans="2:10" s="7" customFormat="1" x14ac:dyDescent="0.2">
      <c r="B438" s="5"/>
      <c r="C438" s="5"/>
      <c r="D438" s="5"/>
      <c r="E438" s="5"/>
      <c r="F438" s="5"/>
      <c r="I438" s="5"/>
      <c r="J438" s="5"/>
    </row>
    <row r="439" spans="2:10" s="7" customFormat="1" x14ac:dyDescent="0.2">
      <c r="B439" s="5"/>
      <c r="C439" s="5"/>
      <c r="D439" s="5"/>
      <c r="E439" s="5"/>
      <c r="F439" s="5"/>
      <c r="I439" s="5"/>
      <c r="J439" s="5"/>
    </row>
    <row r="440" spans="2:10" s="7" customFormat="1" x14ac:dyDescent="0.2">
      <c r="B440" s="5"/>
      <c r="C440" s="5"/>
      <c r="D440" s="5"/>
      <c r="E440" s="5"/>
      <c r="F440" s="5"/>
      <c r="I440" s="5"/>
      <c r="J440" s="5"/>
    </row>
    <row r="441" spans="2:10" s="7" customFormat="1" x14ac:dyDescent="0.2">
      <c r="B441" s="5"/>
      <c r="C441" s="5"/>
      <c r="D441" s="5"/>
      <c r="E441" s="5"/>
      <c r="F441" s="5"/>
      <c r="I441" s="5"/>
      <c r="J441" s="5"/>
    </row>
    <row r="442" spans="2:10" s="7" customFormat="1" x14ac:dyDescent="0.2">
      <c r="B442" s="5"/>
      <c r="C442" s="5"/>
      <c r="D442" s="5"/>
      <c r="E442" s="5"/>
      <c r="F442" s="5"/>
      <c r="I442" s="5"/>
      <c r="J442" s="5"/>
    </row>
    <row r="443" spans="2:10" s="7" customFormat="1" x14ac:dyDescent="0.2">
      <c r="B443" s="5"/>
      <c r="C443" s="5"/>
      <c r="D443" s="5"/>
      <c r="E443" s="5"/>
      <c r="F443" s="5"/>
      <c r="I443" s="5"/>
      <c r="J443" s="5"/>
    </row>
    <row r="444" spans="2:10" s="7" customFormat="1" x14ac:dyDescent="0.2">
      <c r="B444" s="5"/>
      <c r="C444" s="5"/>
      <c r="D444" s="5"/>
      <c r="E444" s="5"/>
      <c r="F444" s="5"/>
      <c r="I444" s="5"/>
      <c r="J444" s="5"/>
    </row>
    <row r="445" spans="2:10" s="7" customFormat="1" x14ac:dyDescent="0.2">
      <c r="B445" s="5"/>
      <c r="C445" s="5"/>
      <c r="D445" s="5"/>
      <c r="E445" s="5"/>
      <c r="F445" s="5"/>
      <c r="I445" s="5"/>
      <c r="J445" s="5"/>
    </row>
    <row r="446" spans="2:10" s="7" customFormat="1" x14ac:dyDescent="0.2">
      <c r="B446" s="5"/>
      <c r="C446" s="5"/>
      <c r="D446" s="5"/>
      <c r="E446" s="5"/>
      <c r="F446" s="5"/>
      <c r="I446" s="5"/>
      <c r="J446" s="5"/>
    </row>
    <row r="447" spans="2:10" s="7" customFormat="1" x14ac:dyDescent="0.2">
      <c r="B447" s="5"/>
      <c r="C447" s="5"/>
      <c r="D447" s="5"/>
      <c r="E447" s="5"/>
      <c r="F447" s="5"/>
      <c r="I447" s="5"/>
      <c r="J447" s="5"/>
    </row>
    <row r="448" spans="2:10" s="7" customFormat="1" x14ac:dyDescent="0.2">
      <c r="B448" s="5"/>
      <c r="C448" s="5"/>
      <c r="D448" s="5"/>
      <c r="E448" s="5"/>
      <c r="F448" s="5"/>
      <c r="I448" s="5"/>
      <c r="J448" s="5"/>
    </row>
    <row r="449" spans="2:10" s="7" customFormat="1" x14ac:dyDescent="0.2">
      <c r="B449" s="5"/>
      <c r="C449" s="5"/>
      <c r="D449" s="5"/>
      <c r="E449" s="5"/>
      <c r="F449" s="5"/>
      <c r="I449" s="5"/>
      <c r="J449" s="5"/>
    </row>
  </sheetData>
  <autoFilter ref="A1:M246" xr:uid="{DAD00364-664A-470B-8B0C-3CB3FB80AFDB}"/>
  <dataValidations count="1">
    <dataValidation type="time" allowBlank="1" showInputMessage="1" showErrorMessage="1" sqref="D33 D28:E32 D2:E11 F4:F10 F36:F64 F67:F73 F75:F127 F130:F136 F138:F191 F194:F200 D34:E299 F202:F252 F263:F299 F255:F261" xr:uid="{6A9ED02E-F05B-4272-8E88-3B478D69ECE7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B81AD09-D8B8-4385-96B4-27C272736A48}">
          <x14:formula1>
            <xm:f>Metadata!$H$2:$H$5</xm:f>
          </x14:formula1>
          <xm:sqref>A2:A299</xm:sqref>
        </x14:dataValidation>
        <x14:dataValidation type="list" allowBlank="1" showInputMessage="1" showErrorMessage="1" xr:uid="{62B198C3-8DBE-4539-A9B9-FF2C4B279CC8}">
          <x14:formula1>
            <xm:f>Metadata!$A$2:$A$15</xm:f>
          </x14:formula1>
          <xm:sqref>G2:G298</xm:sqref>
        </x14:dataValidation>
        <x14:dataValidation type="list" allowBlank="1" showInputMessage="1" showErrorMessage="1" xr:uid="{885F7634-5E07-457E-A946-B0CD60682D2D}">
          <x14:formula1>
            <xm:f>Metadata!$C$2:$C$15</xm:f>
          </x14:formula1>
          <xm:sqref>H2:H299</xm:sqref>
        </x14:dataValidation>
        <x14:dataValidation type="list" allowBlank="1" showInputMessage="1" showErrorMessage="1" xr:uid="{8231C3A7-A7B5-4F7E-BBA4-4468EFAAA71E}">
          <x14:formula1>
            <xm:f>Metadata!$C$3:$C$14</xm:f>
          </x14:formula1>
          <xm:sqref>B2:B299</xm:sqref>
        </x14:dataValidation>
        <x14:dataValidation type="list" allowBlank="1" showInputMessage="1" showErrorMessage="1" xr:uid="{C3B6E6ED-7D55-4293-9FE4-1D0463D32B5E}">
          <x14:formula1>
            <xm:f>Metadata!$F$2:$F$15</xm:f>
          </x14:formula1>
          <xm:sqref>I2:I299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1926-ACCD-4C59-8339-4F7A8C15C550}">
  <sheetPr codeName="Tabelle9">
    <pageSetUpPr fitToPage="1"/>
  </sheetPr>
  <dimension ref="A1:K449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11" sqref="A11"/>
      <selection pane="bottomRight" activeCell="C2" sqref="C2"/>
    </sheetView>
  </sheetViews>
  <sheetFormatPr baseColWidth="10" defaultColWidth="11.42578125" defaultRowHeight="14.25" x14ac:dyDescent="0.2"/>
  <cols>
    <col min="1" max="1" width="21.28515625" style="7" hidden="1" customWidth="1"/>
    <col min="2" max="2" width="15.8554687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7.710937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2" width="11.42578125" style="5"/>
    <col min="13" max="13" width="15.42578125" style="5" customWidth="1"/>
    <col min="14" max="16384" width="11.42578125" style="5"/>
  </cols>
  <sheetData>
    <row r="1" spans="1:11" s="18" customFormat="1" ht="60.75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1" s="13" customFormat="1" ht="29.25" thickBot="1" x14ac:dyDescent="0.3">
      <c r="A2" s="19" t="s">
        <v>47</v>
      </c>
      <c r="B2" s="10" t="s">
        <v>1</v>
      </c>
      <c r="C2" s="14">
        <v>46266</v>
      </c>
      <c r="D2" s="11"/>
      <c r="E2" s="11"/>
      <c r="F2" s="12">
        <f>+(E2-D2)*24</f>
        <v>0</v>
      </c>
      <c r="G2" s="20"/>
      <c r="H2" s="20"/>
      <c r="I2" s="9"/>
      <c r="J2" s="9"/>
      <c r="K2" s="9"/>
    </row>
    <row r="3" spans="1:11" s="13" customFormat="1" ht="29.25" thickBot="1" x14ac:dyDescent="0.3">
      <c r="A3" s="19" t="s">
        <v>47</v>
      </c>
      <c r="B3" s="10" t="s">
        <v>1</v>
      </c>
      <c r="C3" s="14">
        <v>46266</v>
      </c>
      <c r="D3" s="11"/>
      <c r="E3" s="11"/>
      <c r="F3" s="12">
        <f>+(E3-D3)*24</f>
        <v>0</v>
      </c>
      <c r="G3" s="20"/>
      <c r="H3" s="20"/>
      <c r="I3" s="9"/>
      <c r="J3" s="9"/>
      <c r="K3" s="9"/>
    </row>
    <row r="4" spans="1:11" s="13" customFormat="1" ht="29.25" thickBot="1" x14ac:dyDescent="0.3">
      <c r="A4" s="19" t="s">
        <v>47</v>
      </c>
      <c r="B4" s="10" t="s">
        <v>1</v>
      </c>
      <c r="C4" s="14">
        <v>46266</v>
      </c>
      <c r="D4" s="11"/>
      <c r="E4" s="11"/>
      <c r="F4" s="12">
        <f>+(E4-D4)*24</f>
        <v>0</v>
      </c>
      <c r="G4" s="20"/>
      <c r="H4" s="20"/>
      <c r="I4" s="9"/>
      <c r="J4" s="9"/>
      <c r="K4" s="9"/>
    </row>
    <row r="5" spans="1:11" s="13" customFormat="1" ht="29.25" thickBot="1" x14ac:dyDescent="0.3">
      <c r="A5" s="19" t="s">
        <v>47</v>
      </c>
      <c r="B5" s="10" t="s">
        <v>1</v>
      </c>
      <c r="C5" s="14">
        <v>46266</v>
      </c>
      <c r="D5" s="11"/>
      <c r="E5" s="11"/>
      <c r="F5" s="12">
        <f>+(E5-D5)*24</f>
        <v>0</v>
      </c>
      <c r="G5" s="20"/>
      <c r="H5" s="20"/>
      <c r="I5" s="9"/>
      <c r="J5" s="9"/>
      <c r="K5" s="9"/>
    </row>
    <row r="6" spans="1:11" s="13" customFormat="1" ht="29.25" thickBot="1" x14ac:dyDescent="0.3">
      <c r="A6" s="19" t="s">
        <v>47</v>
      </c>
      <c r="B6" s="10" t="s">
        <v>1</v>
      </c>
      <c r="C6" s="14">
        <v>46266</v>
      </c>
      <c r="D6" s="11"/>
      <c r="E6" s="11"/>
      <c r="F6" s="12">
        <f t="shared" ref="F6:F69" si="0">+(E6-D6)*24</f>
        <v>0</v>
      </c>
      <c r="G6" s="20"/>
      <c r="H6" s="20"/>
      <c r="I6" s="9"/>
      <c r="J6" s="9"/>
      <c r="K6" s="9"/>
    </row>
    <row r="7" spans="1:11" s="13" customFormat="1" ht="29.25" thickBot="1" x14ac:dyDescent="0.3">
      <c r="A7" s="19" t="s">
        <v>47</v>
      </c>
      <c r="B7" s="10" t="s">
        <v>1</v>
      </c>
      <c r="C7" s="14">
        <v>46266</v>
      </c>
      <c r="D7" s="11"/>
      <c r="E7" s="11"/>
      <c r="F7" s="12">
        <f t="shared" si="0"/>
        <v>0</v>
      </c>
      <c r="G7" s="20"/>
      <c r="H7" s="20"/>
      <c r="I7" s="9"/>
      <c r="J7" s="9"/>
      <c r="K7" s="9"/>
    </row>
    <row r="8" spans="1:11" s="13" customFormat="1" ht="13.9" customHeight="1" thickBot="1" x14ac:dyDescent="0.3">
      <c r="A8" s="19" t="s">
        <v>47</v>
      </c>
      <c r="B8" s="10" t="s">
        <v>1</v>
      </c>
      <c r="C8" s="14">
        <v>46266</v>
      </c>
      <c r="D8" s="11"/>
      <c r="E8" s="11"/>
      <c r="F8" s="12">
        <f t="shared" si="0"/>
        <v>0</v>
      </c>
      <c r="G8" s="20"/>
      <c r="H8" s="20"/>
      <c r="I8" s="9"/>
      <c r="J8" s="9"/>
      <c r="K8" s="9"/>
    </row>
    <row r="9" spans="1:11" s="13" customFormat="1" ht="29.25" thickBot="1" x14ac:dyDescent="0.3">
      <c r="A9" s="19" t="s">
        <v>47</v>
      </c>
      <c r="B9" s="10"/>
      <c r="C9" s="14">
        <v>46266</v>
      </c>
      <c r="D9" s="11"/>
      <c r="E9" s="11"/>
      <c r="F9" s="12">
        <f t="shared" si="0"/>
        <v>0</v>
      </c>
      <c r="G9" s="20"/>
      <c r="H9" s="20"/>
      <c r="I9" s="9"/>
      <c r="J9" s="9"/>
      <c r="K9" s="9"/>
    </row>
    <row r="10" spans="1:11" s="13" customFormat="1" ht="29.25" thickBot="1" x14ac:dyDescent="0.3">
      <c r="A10" s="19" t="s">
        <v>47</v>
      </c>
      <c r="B10" s="10" t="s">
        <v>1</v>
      </c>
      <c r="C10" s="14">
        <v>46266</v>
      </c>
      <c r="D10" s="11"/>
      <c r="E10" s="11"/>
      <c r="F10" s="12">
        <f t="shared" si="0"/>
        <v>0</v>
      </c>
      <c r="G10" s="20"/>
      <c r="H10" s="20"/>
      <c r="I10" s="9"/>
      <c r="J10" s="24"/>
      <c r="K10" s="9"/>
    </row>
    <row r="11" spans="1:11" s="13" customFormat="1" ht="29.25" thickBot="1" x14ac:dyDescent="0.3">
      <c r="A11" s="19" t="s">
        <v>47</v>
      </c>
      <c r="B11" s="10" t="s">
        <v>1</v>
      </c>
      <c r="C11" s="14">
        <v>46267</v>
      </c>
      <c r="D11" s="11"/>
      <c r="E11" s="11"/>
      <c r="F11" s="12">
        <f t="shared" si="0"/>
        <v>0</v>
      </c>
      <c r="G11" s="20"/>
      <c r="H11" s="20"/>
      <c r="I11" s="9"/>
      <c r="J11" s="24"/>
      <c r="K11" s="9"/>
    </row>
    <row r="12" spans="1:11" s="13" customFormat="1" ht="29.25" thickBot="1" x14ac:dyDescent="0.3">
      <c r="A12" s="19" t="s">
        <v>47</v>
      </c>
      <c r="B12" s="10" t="s">
        <v>1</v>
      </c>
      <c r="C12" s="14">
        <v>46267</v>
      </c>
      <c r="D12" s="11"/>
      <c r="E12" s="11"/>
      <c r="F12" s="12">
        <f t="shared" si="0"/>
        <v>0</v>
      </c>
      <c r="G12" s="20"/>
      <c r="H12" s="20"/>
      <c r="I12" s="9"/>
      <c r="J12" s="9"/>
      <c r="K12" s="9"/>
    </row>
    <row r="13" spans="1:11" s="13" customFormat="1" ht="29.25" thickBot="1" x14ac:dyDescent="0.3">
      <c r="A13" s="19" t="s">
        <v>47</v>
      </c>
      <c r="B13" s="10" t="s">
        <v>1</v>
      </c>
      <c r="C13" s="14">
        <v>46267</v>
      </c>
      <c r="D13" s="11"/>
      <c r="E13" s="11"/>
      <c r="F13" s="12">
        <f t="shared" si="0"/>
        <v>0</v>
      </c>
      <c r="G13" s="20"/>
      <c r="H13" s="20"/>
      <c r="I13" s="9"/>
      <c r="J13" s="9"/>
      <c r="K13" s="9"/>
    </row>
    <row r="14" spans="1:11" s="13" customFormat="1" ht="29.25" thickBot="1" x14ac:dyDescent="0.3">
      <c r="A14" s="19" t="s">
        <v>47</v>
      </c>
      <c r="B14" s="10" t="s">
        <v>1</v>
      </c>
      <c r="C14" s="14">
        <v>46267</v>
      </c>
      <c r="D14" s="11"/>
      <c r="E14" s="11"/>
      <c r="F14" s="12">
        <f t="shared" si="0"/>
        <v>0</v>
      </c>
      <c r="G14" s="20"/>
      <c r="H14" s="20"/>
      <c r="I14" s="9"/>
      <c r="J14" s="9"/>
      <c r="K14" s="9"/>
    </row>
    <row r="15" spans="1:11" s="13" customFormat="1" ht="29.25" thickBot="1" x14ac:dyDescent="0.3">
      <c r="A15" s="19" t="s">
        <v>47</v>
      </c>
      <c r="B15" s="10" t="s">
        <v>1</v>
      </c>
      <c r="C15" s="14">
        <v>46267</v>
      </c>
      <c r="D15" s="11"/>
      <c r="E15" s="11"/>
      <c r="F15" s="12">
        <f t="shared" si="0"/>
        <v>0</v>
      </c>
      <c r="G15" s="20"/>
      <c r="H15" s="20"/>
      <c r="I15" s="9"/>
      <c r="J15" s="9"/>
      <c r="K15" s="9"/>
    </row>
    <row r="16" spans="1:11" s="13" customFormat="1" ht="29.25" thickBot="1" x14ac:dyDescent="0.3">
      <c r="A16" s="19" t="s">
        <v>47</v>
      </c>
      <c r="B16" s="10" t="s">
        <v>1</v>
      </c>
      <c r="C16" s="14">
        <v>46267</v>
      </c>
      <c r="D16" s="11"/>
      <c r="E16" s="11"/>
      <c r="F16" s="12">
        <f t="shared" si="0"/>
        <v>0</v>
      </c>
      <c r="G16" s="20"/>
      <c r="H16" s="20"/>
      <c r="I16" s="9"/>
      <c r="J16" s="9"/>
      <c r="K16" s="9"/>
    </row>
    <row r="17" spans="1:11" s="13" customFormat="1" ht="29.25" thickBot="1" x14ac:dyDescent="0.3">
      <c r="A17" s="19" t="s">
        <v>47</v>
      </c>
      <c r="B17" s="10" t="s">
        <v>1</v>
      </c>
      <c r="C17" s="14">
        <v>46267</v>
      </c>
      <c r="D17" s="11"/>
      <c r="E17" s="11"/>
      <c r="F17" s="12">
        <f t="shared" si="0"/>
        <v>0</v>
      </c>
      <c r="G17" s="20"/>
      <c r="H17" s="20"/>
      <c r="I17" s="9"/>
      <c r="J17" s="9"/>
      <c r="K17" s="9"/>
    </row>
    <row r="18" spans="1:11" s="13" customFormat="1" ht="15.75" customHeight="1" thickBot="1" x14ac:dyDescent="0.3">
      <c r="A18" s="19" t="s">
        <v>47</v>
      </c>
      <c r="B18" s="10" t="s">
        <v>1</v>
      </c>
      <c r="C18" s="14">
        <v>46267</v>
      </c>
      <c r="D18" s="11"/>
      <c r="E18" s="11"/>
      <c r="F18" s="12">
        <f t="shared" si="0"/>
        <v>0</v>
      </c>
      <c r="G18" s="20"/>
      <c r="H18" s="20"/>
      <c r="I18" s="9"/>
      <c r="J18" s="9"/>
      <c r="K18" s="9"/>
    </row>
    <row r="19" spans="1:11" s="13" customFormat="1" ht="29.25" thickBot="1" x14ac:dyDescent="0.3">
      <c r="A19" s="19" t="s">
        <v>47</v>
      </c>
      <c r="B19" s="10" t="s">
        <v>1</v>
      </c>
      <c r="C19" s="14">
        <v>46267</v>
      </c>
      <c r="D19" s="11"/>
      <c r="E19" s="11"/>
      <c r="F19" s="12">
        <f t="shared" si="0"/>
        <v>0</v>
      </c>
      <c r="G19" s="20"/>
      <c r="H19" s="20"/>
      <c r="I19" s="9"/>
      <c r="J19" s="9"/>
      <c r="K19" s="9"/>
    </row>
    <row r="20" spans="1:11" s="13" customFormat="1" ht="29.25" thickBot="1" x14ac:dyDescent="0.3">
      <c r="A20" s="19" t="s">
        <v>47</v>
      </c>
      <c r="B20" s="10" t="s">
        <v>1</v>
      </c>
      <c r="C20" s="14">
        <v>46268</v>
      </c>
      <c r="D20" s="11"/>
      <c r="E20" s="11"/>
      <c r="F20" s="12">
        <f t="shared" si="0"/>
        <v>0</v>
      </c>
      <c r="G20" s="20"/>
      <c r="H20" s="20"/>
      <c r="I20" s="9"/>
      <c r="J20" s="9"/>
      <c r="K20" s="9"/>
    </row>
    <row r="21" spans="1:11" s="13" customFormat="1" ht="29.25" thickBot="1" x14ac:dyDescent="0.3">
      <c r="A21" s="19" t="s">
        <v>47</v>
      </c>
      <c r="B21" s="10" t="s">
        <v>1</v>
      </c>
      <c r="C21" s="14">
        <v>46268</v>
      </c>
      <c r="D21" s="11"/>
      <c r="E21" s="11"/>
      <c r="F21" s="12">
        <f t="shared" si="0"/>
        <v>0</v>
      </c>
      <c r="G21" s="20"/>
      <c r="H21" s="20"/>
      <c r="I21" s="9"/>
      <c r="J21" s="9"/>
      <c r="K21" s="9"/>
    </row>
    <row r="22" spans="1:11" s="13" customFormat="1" ht="29.25" thickBot="1" x14ac:dyDescent="0.3">
      <c r="A22" s="19" t="s">
        <v>47</v>
      </c>
      <c r="B22" s="10" t="s">
        <v>1</v>
      </c>
      <c r="C22" s="14">
        <v>46268</v>
      </c>
      <c r="D22" s="11"/>
      <c r="E22" s="11"/>
      <c r="F22" s="12">
        <f t="shared" si="0"/>
        <v>0</v>
      </c>
      <c r="G22" s="20"/>
      <c r="H22" s="20"/>
      <c r="I22" s="9"/>
      <c r="J22" s="9"/>
      <c r="K22" s="9"/>
    </row>
    <row r="23" spans="1:11" s="13" customFormat="1" ht="29.25" thickBot="1" x14ac:dyDescent="0.3">
      <c r="A23" s="19" t="s">
        <v>47</v>
      </c>
      <c r="B23" s="10" t="s">
        <v>1</v>
      </c>
      <c r="C23" s="14">
        <v>46268</v>
      </c>
      <c r="D23" s="11"/>
      <c r="E23" s="11"/>
      <c r="F23" s="12">
        <f t="shared" si="0"/>
        <v>0</v>
      </c>
      <c r="G23" s="20"/>
      <c r="H23" s="20"/>
      <c r="I23" s="9"/>
      <c r="J23" s="9"/>
      <c r="K23" s="9"/>
    </row>
    <row r="24" spans="1:11" s="13" customFormat="1" ht="29.25" thickBot="1" x14ac:dyDescent="0.3">
      <c r="A24" s="19" t="s">
        <v>47</v>
      </c>
      <c r="B24" s="10" t="s">
        <v>1</v>
      </c>
      <c r="C24" s="14">
        <v>46268</v>
      </c>
      <c r="D24" s="11"/>
      <c r="E24" s="11"/>
      <c r="F24" s="12">
        <f t="shared" si="0"/>
        <v>0</v>
      </c>
      <c r="G24" s="20"/>
      <c r="H24" s="20"/>
      <c r="I24" s="9"/>
      <c r="J24" s="9"/>
      <c r="K24" s="9"/>
    </row>
    <row r="25" spans="1:11" s="13" customFormat="1" ht="29.25" thickBot="1" x14ac:dyDescent="0.3">
      <c r="A25" s="19" t="s">
        <v>47</v>
      </c>
      <c r="B25" s="10" t="s">
        <v>1</v>
      </c>
      <c r="C25" s="14">
        <v>46268</v>
      </c>
      <c r="D25" s="11"/>
      <c r="E25" s="11"/>
      <c r="F25" s="12">
        <f t="shared" si="0"/>
        <v>0</v>
      </c>
      <c r="G25" s="20"/>
      <c r="H25" s="20"/>
      <c r="I25" s="9"/>
      <c r="J25" s="9"/>
      <c r="K25" s="9"/>
    </row>
    <row r="26" spans="1:11" s="13" customFormat="1" ht="29.25" thickBot="1" x14ac:dyDescent="0.3">
      <c r="A26" s="19" t="s">
        <v>47</v>
      </c>
      <c r="B26" s="10" t="s">
        <v>1</v>
      </c>
      <c r="C26" s="14">
        <v>46268</v>
      </c>
      <c r="D26" s="11"/>
      <c r="E26" s="11"/>
      <c r="F26" s="12">
        <f t="shared" si="0"/>
        <v>0</v>
      </c>
      <c r="G26" s="20"/>
      <c r="H26" s="20"/>
      <c r="I26" s="9"/>
      <c r="J26" s="9"/>
      <c r="K26" s="9"/>
    </row>
    <row r="27" spans="1:11" s="13" customFormat="1" ht="29.25" thickBot="1" x14ac:dyDescent="0.3">
      <c r="A27" s="19" t="s">
        <v>47</v>
      </c>
      <c r="B27" s="10" t="s">
        <v>1</v>
      </c>
      <c r="C27" s="14">
        <v>46268</v>
      </c>
      <c r="D27" s="11"/>
      <c r="E27" s="11"/>
      <c r="F27" s="12">
        <f t="shared" si="0"/>
        <v>0</v>
      </c>
      <c r="G27" s="20"/>
      <c r="H27" s="20"/>
      <c r="I27" s="9"/>
      <c r="J27" s="9"/>
      <c r="K27" s="9"/>
    </row>
    <row r="28" spans="1:11" s="13" customFormat="1" ht="29.25" thickBot="1" x14ac:dyDescent="0.3">
      <c r="A28" s="19" t="s">
        <v>47</v>
      </c>
      <c r="B28" s="10" t="s">
        <v>1</v>
      </c>
      <c r="C28" s="14">
        <v>46268</v>
      </c>
      <c r="D28" s="11"/>
      <c r="E28" s="11"/>
      <c r="F28" s="12">
        <f t="shared" si="0"/>
        <v>0</v>
      </c>
      <c r="G28" s="20"/>
      <c r="H28" s="20"/>
      <c r="I28" s="9"/>
      <c r="J28" s="9"/>
      <c r="K28" s="9"/>
    </row>
    <row r="29" spans="1:11" s="13" customFormat="1" ht="29.25" thickBot="1" x14ac:dyDescent="0.3">
      <c r="A29" s="19" t="s">
        <v>47</v>
      </c>
      <c r="B29" s="10" t="s">
        <v>1</v>
      </c>
      <c r="C29" s="14">
        <v>46269</v>
      </c>
      <c r="D29" s="11"/>
      <c r="E29" s="11"/>
      <c r="F29" s="12">
        <f t="shared" si="0"/>
        <v>0</v>
      </c>
      <c r="G29" s="20"/>
      <c r="H29" s="20"/>
      <c r="I29" s="9"/>
      <c r="J29" s="9"/>
      <c r="K29" s="9"/>
    </row>
    <row r="30" spans="1:11" s="13" customFormat="1" ht="29.25" thickBot="1" x14ac:dyDescent="0.3">
      <c r="A30" s="19" t="s">
        <v>47</v>
      </c>
      <c r="B30" s="10" t="s">
        <v>1</v>
      </c>
      <c r="C30" s="14">
        <v>46269</v>
      </c>
      <c r="D30" s="11"/>
      <c r="E30" s="11"/>
      <c r="F30" s="12">
        <f t="shared" si="0"/>
        <v>0</v>
      </c>
      <c r="G30" s="20"/>
      <c r="H30" s="20"/>
      <c r="I30" s="9"/>
      <c r="J30" s="9"/>
      <c r="K30" s="9"/>
    </row>
    <row r="31" spans="1:11" s="13" customFormat="1" ht="29.25" thickBot="1" x14ac:dyDescent="0.3">
      <c r="A31" s="19" t="s">
        <v>47</v>
      </c>
      <c r="B31" s="10" t="s">
        <v>1</v>
      </c>
      <c r="C31" s="14">
        <v>46269</v>
      </c>
      <c r="D31" s="11"/>
      <c r="E31" s="11"/>
      <c r="F31" s="12">
        <f t="shared" si="0"/>
        <v>0</v>
      </c>
      <c r="G31" s="20"/>
      <c r="H31" s="20"/>
      <c r="I31" s="9"/>
      <c r="J31" s="9"/>
      <c r="K31" s="9"/>
    </row>
    <row r="32" spans="1:11" s="13" customFormat="1" ht="29.25" thickBot="1" x14ac:dyDescent="0.3">
      <c r="A32" s="19" t="s">
        <v>47</v>
      </c>
      <c r="B32" s="10" t="s">
        <v>1</v>
      </c>
      <c r="C32" s="14">
        <v>46269</v>
      </c>
      <c r="D32" s="11"/>
      <c r="E32" s="11"/>
      <c r="F32" s="12">
        <f t="shared" si="0"/>
        <v>0</v>
      </c>
      <c r="G32" s="20"/>
      <c r="H32" s="20"/>
      <c r="I32" s="9"/>
      <c r="J32" s="9"/>
      <c r="K32" s="9"/>
    </row>
    <row r="33" spans="1:11" s="13" customFormat="1" ht="29.25" thickBot="1" x14ac:dyDescent="0.3">
      <c r="A33" s="19" t="s">
        <v>47</v>
      </c>
      <c r="B33" s="10" t="s">
        <v>1</v>
      </c>
      <c r="C33" s="14">
        <v>46269</v>
      </c>
      <c r="D33" s="11"/>
      <c r="E33" s="11"/>
      <c r="F33" s="12">
        <f t="shared" si="0"/>
        <v>0</v>
      </c>
      <c r="G33" s="20"/>
      <c r="H33" s="20"/>
      <c r="I33" s="9"/>
      <c r="J33" s="9"/>
      <c r="K33" s="9"/>
    </row>
    <row r="34" spans="1:11" s="13" customFormat="1" ht="29.25" thickBot="1" x14ac:dyDescent="0.3">
      <c r="A34" s="19" t="s">
        <v>47</v>
      </c>
      <c r="B34" s="10" t="s">
        <v>1</v>
      </c>
      <c r="C34" s="14">
        <v>46269</v>
      </c>
      <c r="D34" s="11"/>
      <c r="E34" s="11"/>
      <c r="F34" s="12">
        <f t="shared" si="0"/>
        <v>0</v>
      </c>
      <c r="G34" s="20"/>
      <c r="H34" s="20"/>
      <c r="I34" s="9"/>
      <c r="J34" s="9"/>
      <c r="K34" s="9"/>
    </row>
    <row r="35" spans="1:11" s="13" customFormat="1" ht="29.25" thickBot="1" x14ac:dyDescent="0.3">
      <c r="A35" s="19" t="s">
        <v>47</v>
      </c>
      <c r="B35" s="10" t="s">
        <v>1</v>
      </c>
      <c r="C35" s="14">
        <v>46269</v>
      </c>
      <c r="D35" s="11"/>
      <c r="E35" s="11"/>
      <c r="F35" s="12">
        <f t="shared" si="0"/>
        <v>0</v>
      </c>
      <c r="G35" s="20"/>
      <c r="H35" s="20"/>
      <c r="I35" s="9"/>
      <c r="J35" s="9"/>
      <c r="K35" s="9"/>
    </row>
    <row r="36" spans="1:11" s="13" customFormat="1" ht="29.25" thickBot="1" x14ac:dyDescent="0.3">
      <c r="A36" s="19" t="s">
        <v>47</v>
      </c>
      <c r="B36" s="10" t="s">
        <v>1</v>
      </c>
      <c r="C36" s="14">
        <v>46269</v>
      </c>
      <c r="D36" s="11"/>
      <c r="E36" s="11"/>
      <c r="F36" s="12">
        <f t="shared" si="0"/>
        <v>0</v>
      </c>
      <c r="G36" s="20"/>
      <c r="H36" s="20"/>
      <c r="I36" s="9"/>
      <c r="J36" s="9"/>
      <c r="K36" s="9"/>
    </row>
    <row r="37" spans="1:11" s="13" customFormat="1" ht="29.25" thickBot="1" x14ac:dyDescent="0.3">
      <c r="A37" s="19" t="s">
        <v>47</v>
      </c>
      <c r="B37" s="10" t="s">
        <v>1</v>
      </c>
      <c r="C37" s="14">
        <v>46269</v>
      </c>
      <c r="D37" s="11"/>
      <c r="E37" s="11"/>
      <c r="F37" s="12">
        <f t="shared" si="0"/>
        <v>0</v>
      </c>
      <c r="G37" s="20"/>
      <c r="H37" s="20"/>
      <c r="I37" s="9"/>
      <c r="J37" s="9"/>
      <c r="K37" s="9"/>
    </row>
    <row r="38" spans="1:11" s="13" customFormat="1" ht="29.25" thickBot="1" x14ac:dyDescent="0.3">
      <c r="A38" s="19" t="s">
        <v>47</v>
      </c>
      <c r="B38" s="10" t="s">
        <v>1</v>
      </c>
      <c r="C38" s="14">
        <v>46270</v>
      </c>
      <c r="D38" s="11">
        <v>0.35416666666666669</v>
      </c>
      <c r="E38" s="11">
        <v>0.6875</v>
      </c>
      <c r="F38" s="12">
        <f>+(E38-D38)*24</f>
        <v>8</v>
      </c>
      <c r="G38" s="20" t="s">
        <v>21</v>
      </c>
      <c r="H38" s="20" t="s">
        <v>30</v>
      </c>
      <c r="I38" s="9"/>
      <c r="J38" s="9" t="s">
        <v>71</v>
      </c>
      <c r="K38" s="9"/>
    </row>
    <row r="39" spans="1:11" s="13" customFormat="1" ht="29.25" thickBot="1" x14ac:dyDescent="0.3">
      <c r="A39" s="19" t="s">
        <v>47</v>
      </c>
      <c r="B39" s="10" t="s">
        <v>1</v>
      </c>
      <c r="C39" s="14">
        <v>46270</v>
      </c>
      <c r="D39" s="11"/>
      <c r="E39" s="11"/>
      <c r="F39" s="12"/>
      <c r="G39" s="20"/>
      <c r="H39" s="20"/>
      <c r="I39" s="9"/>
      <c r="J39" s="9"/>
      <c r="K39" s="9"/>
    </row>
    <row r="40" spans="1:11" s="13" customFormat="1" ht="29.25" thickBot="1" x14ac:dyDescent="0.3">
      <c r="A40" s="19" t="s">
        <v>47</v>
      </c>
      <c r="B40" s="10" t="s">
        <v>1</v>
      </c>
      <c r="C40" s="14">
        <v>46270</v>
      </c>
      <c r="D40" s="11"/>
      <c r="E40" s="11"/>
      <c r="F40" s="12">
        <f t="shared" ref="F40:F46" si="1">+(E40-D40)*24</f>
        <v>0</v>
      </c>
      <c r="G40" s="20"/>
      <c r="H40" s="20"/>
      <c r="I40" s="9"/>
      <c r="J40" s="9"/>
      <c r="K40" s="9"/>
    </row>
    <row r="41" spans="1:11" s="13" customFormat="1" ht="29.25" thickBot="1" x14ac:dyDescent="0.3">
      <c r="A41" s="19" t="s">
        <v>47</v>
      </c>
      <c r="B41" s="10" t="s">
        <v>1</v>
      </c>
      <c r="C41" s="14">
        <v>46270</v>
      </c>
      <c r="D41" s="11"/>
      <c r="E41" s="11"/>
      <c r="F41" s="12">
        <f t="shared" si="1"/>
        <v>0</v>
      </c>
      <c r="G41" s="20"/>
      <c r="H41" s="20"/>
      <c r="I41" s="9"/>
      <c r="J41" s="9"/>
      <c r="K41" s="9"/>
    </row>
    <row r="42" spans="1:11" s="13" customFormat="1" ht="29.25" thickBot="1" x14ac:dyDescent="0.3">
      <c r="A42" s="19" t="s">
        <v>47</v>
      </c>
      <c r="B42" s="10" t="s">
        <v>1</v>
      </c>
      <c r="C42" s="14">
        <v>46270</v>
      </c>
      <c r="D42" s="11"/>
      <c r="E42" s="11"/>
      <c r="F42" s="12">
        <f t="shared" si="1"/>
        <v>0</v>
      </c>
      <c r="G42" s="20"/>
      <c r="H42" s="20"/>
      <c r="I42" s="9"/>
      <c r="J42" s="9"/>
      <c r="K42" s="9"/>
    </row>
    <row r="43" spans="1:11" s="13" customFormat="1" ht="29.25" thickBot="1" x14ac:dyDescent="0.3">
      <c r="A43" s="19" t="s">
        <v>47</v>
      </c>
      <c r="B43" s="10" t="s">
        <v>1</v>
      </c>
      <c r="C43" s="14">
        <v>46270</v>
      </c>
      <c r="D43" s="11"/>
      <c r="E43" s="11"/>
      <c r="F43" s="12">
        <f t="shared" si="1"/>
        <v>0</v>
      </c>
      <c r="G43" s="20"/>
      <c r="H43" s="20"/>
      <c r="I43" s="9"/>
      <c r="J43" s="9"/>
      <c r="K43" s="9"/>
    </row>
    <row r="44" spans="1:11" s="13" customFormat="1" ht="29.25" thickBot="1" x14ac:dyDescent="0.3">
      <c r="A44" s="19" t="s">
        <v>47</v>
      </c>
      <c r="B44" s="10" t="s">
        <v>1</v>
      </c>
      <c r="C44" s="14">
        <v>46270</v>
      </c>
      <c r="D44" s="11"/>
      <c r="E44" s="11"/>
      <c r="F44" s="12">
        <f t="shared" si="1"/>
        <v>0</v>
      </c>
      <c r="G44" s="20"/>
      <c r="H44" s="20"/>
      <c r="I44" s="9"/>
      <c r="J44" s="9"/>
      <c r="K44" s="9"/>
    </row>
    <row r="45" spans="1:11" s="13" customFormat="1" ht="29.25" thickBot="1" x14ac:dyDescent="0.3">
      <c r="A45" s="19" t="s">
        <v>47</v>
      </c>
      <c r="B45" s="10" t="s">
        <v>1</v>
      </c>
      <c r="C45" s="14">
        <v>46270</v>
      </c>
      <c r="D45" s="11"/>
      <c r="E45" s="11"/>
      <c r="F45" s="12">
        <f t="shared" si="1"/>
        <v>0</v>
      </c>
      <c r="G45" s="20"/>
      <c r="H45" s="20"/>
      <c r="I45" s="9"/>
      <c r="J45" s="9"/>
      <c r="K45" s="9"/>
    </row>
    <row r="46" spans="1:11" s="13" customFormat="1" ht="29.25" thickBot="1" x14ac:dyDescent="0.3">
      <c r="A46" s="19" t="s">
        <v>47</v>
      </c>
      <c r="B46" s="10" t="s">
        <v>1</v>
      </c>
      <c r="C46" s="14">
        <v>46270</v>
      </c>
      <c r="D46" s="11"/>
      <c r="E46" s="11"/>
      <c r="F46" s="12">
        <f t="shared" si="1"/>
        <v>0</v>
      </c>
      <c r="G46" s="20"/>
      <c r="H46" s="20"/>
      <c r="I46" s="9"/>
      <c r="J46" s="9"/>
      <c r="K46" s="9"/>
    </row>
    <row r="47" spans="1:11" s="13" customFormat="1" ht="29.25" thickBot="1" x14ac:dyDescent="0.3">
      <c r="A47" s="19" t="s">
        <v>47</v>
      </c>
      <c r="B47" s="10" t="s">
        <v>1</v>
      </c>
      <c r="C47" s="14">
        <v>46271</v>
      </c>
      <c r="D47" s="11">
        <v>0.35416666666666669</v>
      </c>
      <c r="E47" s="11">
        <v>0.6875</v>
      </c>
      <c r="F47" s="12">
        <f>+(E47-D47)*24</f>
        <v>8</v>
      </c>
      <c r="G47" s="20" t="s">
        <v>21</v>
      </c>
      <c r="H47" s="20" t="s">
        <v>30</v>
      </c>
      <c r="I47" s="9"/>
      <c r="J47" s="9" t="s">
        <v>71</v>
      </c>
      <c r="K47" s="9"/>
    </row>
    <row r="48" spans="1:11" s="13" customFormat="1" ht="29.25" thickBot="1" x14ac:dyDescent="0.3">
      <c r="A48" s="19" t="s">
        <v>47</v>
      </c>
      <c r="B48" s="10" t="s">
        <v>1</v>
      </c>
      <c r="C48" s="14">
        <v>46271</v>
      </c>
      <c r="D48" s="11"/>
      <c r="E48" s="11"/>
      <c r="F48" s="12">
        <f t="shared" si="0"/>
        <v>0</v>
      </c>
      <c r="G48" s="20"/>
      <c r="H48" s="20"/>
      <c r="I48" s="9"/>
      <c r="J48" s="9"/>
      <c r="K48" s="9"/>
    </row>
    <row r="49" spans="1:11" s="13" customFormat="1" ht="13.9" customHeight="1" thickBot="1" x14ac:dyDescent="0.3">
      <c r="A49" s="19" t="s">
        <v>47</v>
      </c>
      <c r="B49" s="10" t="s">
        <v>1</v>
      </c>
      <c r="C49" s="14">
        <v>46271</v>
      </c>
      <c r="D49" s="11"/>
      <c r="E49" s="11"/>
      <c r="F49" s="12">
        <f t="shared" si="0"/>
        <v>0</v>
      </c>
      <c r="G49" s="20"/>
      <c r="H49" s="20"/>
      <c r="I49" s="9"/>
      <c r="J49" s="9"/>
      <c r="K49" s="9"/>
    </row>
    <row r="50" spans="1:11" s="13" customFormat="1" ht="29.25" thickBot="1" x14ac:dyDescent="0.3">
      <c r="A50" s="19" t="s">
        <v>47</v>
      </c>
      <c r="B50" s="10" t="s">
        <v>1</v>
      </c>
      <c r="C50" s="14">
        <v>46271</v>
      </c>
      <c r="D50" s="11"/>
      <c r="E50" s="11"/>
      <c r="F50" s="12">
        <f t="shared" si="0"/>
        <v>0</v>
      </c>
      <c r="G50" s="20"/>
      <c r="H50" s="20"/>
      <c r="I50" s="9"/>
      <c r="J50" s="9"/>
      <c r="K50" s="9"/>
    </row>
    <row r="51" spans="1:11" s="13" customFormat="1" ht="29.25" thickBot="1" x14ac:dyDescent="0.3">
      <c r="A51" s="19" t="s">
        <v>47</v>
      </c>
      <c r="B51" s="10" t="s">
        <v>1</v>
      </c>
      <c r="C51" s="14">
        <v>46271</v>
      </c>
      <c r="D51" s="11"/>
      <c r="E51" s="11"/>
      <c r="F51" s="12">
        <f t="shared" si="0"/>
        <v>0</v>
      </c>
      <c r="G51" s="20"/>
      <c r="H51" s="20"/>
      <c r="I51" s="9"/>
      <c r="J51" s="9"/>
      <c r="K51" s="9"/>
    </row>
    <row r="52" spans="1:11" s="13" customFormat="1" ht="29.25" thickBot="1" x14ac:dyDescent="0.3">
      <c r="A52" s="19" t="s">
        <v>47</v>
      </c>
      <c r="B52" s="10" t="s">
        <v>1</v>
      </c>
      <c r="C52" s="14">
        <v>46271</v>
      </c>
      <c r="D52" s="11"/>
      <c r="E52" s="11"/>
      <c r="F52" s="12">
        <f t="shared" si="0"/>
        <v>0</v>
      </c>
      <c r="G52" s="20"/>
      <c r="H52" s="20"/>
      <c r="I52" s="9"/>
      <c r="J52" s="9"/>
      <c r="K52" s="9"/>
    </row>
    <row r="53" spans="1:11" s="13" customFormat="1" ht="29.25" thickBot="1" x14ac:dyDescent="0.3">
      <c r="A53" s="19" t="s">
        <v>47</v>
      </c>
      <c r="B53" s="10"/>
      <c r="C53" s="14">
        <v>46271</v>
      </c>
      <c r="D53" s="11"/>
      <c r="E53" s="11"/>
      <c r="F53" s="12">
        <f t="shared" si="0"/>
        <v>0</v>
      </c>
      <c r="G53" s="20"/>
      <c r="H53" s="20"/>
      <c r="I53" s="9"/>
      <c r="J53" s="9"/>
      <c r="K53" s="9"/>
    </row>
    <row r="54" spans="1:11" s="13" customFormat="1" ht="29.25" thickBot="1" x14ac:dyDescent="0.3">
      <c r="A54" s="19" t="s">
        <v>47</v>
      </c>
      <c r="B54" s="10"/>
      <c r="C54" s="14">
        <v>46271</v>
      </c>
      <c r="D54" s="11"/>
      <c r="E54" s="11"/>
      <c r="F54" s="12">
        <f t="shared" si="0"/>
        <v>0</v>
      </c>
      <c r="G54" s="20"/>
      <c r="H54" s="20"/>
      <c r="I54" s="9"/>
      <c r="J54" s="9"/>
      <c r="K54" s="9"/>
    </row>
    <row r="55" spans="1:11" s="13" customFormat="1" ht="29.25" thickBot="1" x14ac:dyDescent="0.3">
      <c r="A55" s="19" t="s">
        <v>47</v>
      </c>
      <c r="B55" s="10"/>
      <c r="C55" s="14">
        <v>46271</v>
      </c>
      <c r="D55" s="11"/>
      <c r="E55" s="11"/>
      <c r="F55" s="12">
        <f t="shared" si="0"/>
        <v>0</v>
      </c>
      <c r="G55" s="20"/>
      <c r="H55" s="20"/>
      <c r="I55" s="9"/>
      <c r="J55" s="9"/>
      <c r="K55" s="9"/>
    </row>
    <row r="56" spans="1:11" s="13" customFormat="1" ht="29.25" thickBot="1" x14ac:dyDescent="0.3">
      <c r="A56" s="19" t="s">
        <v>47</v>
      </c>
      <c r="B56" s="10"/>
      <c r="C56" s="14">
        <v>46272</v>
      </c>
      <c r="D56" s="11"/>
      <c r="E56" s="11"/>
      <c r="F56" s="12">
        <f t="shared" si="0"/>
        <v>0</v>
      </c>
      <c r="G56" s="20"/>
      <c r="H56" s="20"/>
      <c r="I56" s="9"/>
      <c r="J56" s="9"/>
      <c r="K56" s="9"/>
    </row>
    <row r="57" spans="1:11" s="13" customFormat="1" ht="29.25" thickBot="1" x14ac:dyDescent="0.3">
      <c r="A57" s="19" t="s">
        <v>47</v>
      </c>
      <c r="B57" s="10"/>
      <c r="C57" s="14">
        <v>46272</v>
      </c>
      <c r="D57" s="11"/>
      <c r="E57" s="11"/>
      <c r="F57" s="12">
        <f t="shared" si="0"/>
        <v>0</v>
      </c>
      <c r="G57" s="20"/>
      <c r="H57" s="20"/>
      <c r="I57" s="9"/>
      <c r="J57" s="9"/>
      <c r="K57" s="9"/>
    </row>
    <row r="58" spans="1:11" s="13" customFormat="1" ht="29.25" thickBot="1" x14ac:dyDescent="0.3">
      <c r="A58" s="19" t="s">
        <v>47</v>
      </c>
      <c r="B58" s="10"/>
      <c r="C58" s="14">
        <v>46272</v>
      </c>
      <c r="D58" s="11"/>
      <c r="E58" s="11"/>
      <c r="F58" s="12">
        <f t="shared" si="0"/>
        <v>0</v>
      </c>
      <c r="G58" s="20"/>
      <c r="H58" s="20"/>
      <c r="I58" s="9"/>
      <c r="J58" s="9"/>
      <c r="K58" s="9"/>
    </row>
    <row r="59" spans="1:11" s="13" customFormat="1" ht="29.25" thickBot="1" x14ac:dyDescent="0.3">
      <c r="A59" s="19" t="s">
        <v>47</v>
      </c>
      <c r="B59" s="10"/>
      <c r="C59" s="14">
        <v>46272</v>
      </c>
      <c r="D59" s="11"/>
      <c r="E59" s="11"/>
      <c r="F59" s="12">
        <f t="shared" si="0"/>
        <v>0</v>
      </c>
      <c r="G59" s="20"/>
      <c r="H59" s="20"/>
      <c r="I59" s="9"/>
      <c r="J59" s="9"/>
      <c r="K59" s="9"/>
    </row>
    <row r="60" spans="1:11" s="13" customFormat="1" ht="29.25" thickBot="1" x14ac:dyDescent="0.3">
      <c r="A60" s="19" t="s">
        <v>47</v>
      </c>
      <c r="B60" s="10"/>
      <c r="C60" s="14">
        <v>46272</v>
      </c>
      <c r="D60" s="11"/>
      <c r="E60" s="11"/>
      <c r="F60" s="12">
        <f t="shared" si="0"/>
        <v>0</v>
      </c>
      <c r="G60" s="20"/>
      <c r="H60" s="20"/>
      <c r="I60" s="9"/>
      <c r="J60" s="9"/>
      <c r="K60" s="9"/>
    </row>
    <row r="61" spans="1:11" s="13" customFormat="1" ht="29.25" thickBot="1" x14ac:dyDescent="0.3">
      <c r="A61" s="19" t="s">
        <v>47</v>
      </c>
      <c r="B61" s="10"/>
      <c r="C61" s="14">
        <v>46272</v>
      </c>
      <c r="D61" s="11"/>
      <c r="E61" s="11"/>
      <c r="F61" s="12">
        <f t="shared" si="0"/>
        <v>0</v>
      </c>
      <c r="G61" s="20"/>
      <c r="H61" s="20"/>
      <c r="I61" s="9"/>
      <c r="J61" s="9"/>
      <c r="K61" s="9"/>
    </row>
    <row r="62" spans="1:11" s="13" customFormat="1" ht="29.25" thickBot="1" x14ac:dyDescent="0.3">
      <c r="A62" s="19" t="s">
        <v>47</v>
      </c>
      <c r="B62" s="10"/>
      <c r="C62" s="14">
        <v>46272</v>
      </c>
      <c r="D62" s="11"/>
      <c r="E62" s="11"/>
      <c r="F62" s="12">
        <f t="shared" si="0"/>
        <v>0</v>
      </c>
      <c r="G62" s="20"/>
      <c r="H62" s="20"/>
      <c r="I62" s="9"/>
      <c r="J62" s="9"/>
      <c r="K62" s="9"/>
    </row>
    <row r="63" spans="1:11" s="13" customFormat="1" ht="29.25" thickBot="1" x14ac:dyDescent="0.3">
      <c r="A63" s="19" t="s">
        <v>47</v>
      </c>
      <c r="B63" s="10"/>
      <c r="C63" s="14">
        <v>46272</v>
      </c>
      <c r="D63" s="11"/>
      <c r="E63" s="11"/>
      <c r="F63" s="12">
        <f t="shared" si="0"/>
        <v>0</v>
      </c>
      <c r="G63" s="20"/>
      <c r="H63" s="20"/>
      <c r="I63" s="9"/>
      <c r="J63" s="9"/>
      <c r="K63" s="9"/>
    </row>
    <row r="64" spans="1:11" s="13" customFormat="1" ht="29.25" thickBot="1" x14ac:dyDescent="0.3">
      <c r="A64" s="19" t="s">
        <v>47</v>
      </c>
      <c r="B64" s="10"/>
      <c r="C64" s="14">
        <v>46272</v>
      </c>
      <c r="D64" s="11"/>
      <c r="E64" s="11"/>
      <c r="F64" s="12">
        <f t="shared" si="0"/>
        <v>0</v>
      </c>
      <c r="G64" s="20"/>
      <c r="H64" s="20"/>
      <c r="I64" s="9"/>
      <c r="J64" s="9"/>
      <c r="K64" s="9"/>
    </row>
    <row r="65" spans="1:11" s="13" customFormat="1" ht="29.25" thickBot="1" x14ac:dyDescent="0.3">
      <c r="A65" s="19" t="s">
        <v>47</v>
      </c>
      <c r="B65" s="10"/>
      <c r="C65" s="14">
        <v>46273</v>
      </c>
      <c r="D65" s="11"/>
      <c r="E65" s="11"/>
      <c r="F65" s="12">
        <f t="shared" si="0"/>
        <v>0</v>
      </c>
      <c r="G65" s="20"/>
      <c r="H65" s="20"/>
      <c r="I65" s="9"/>
      <c r="J65" s="9"/>
      <c r="K65" s="9"/>
    </row>
    <row r="66" spans="1:11" s="13" customFormat="1" ht="29.25" thickBot="1" x14ac:dyDescent="0.3">
      <c r="A66" s="19" t="s">
        <v>47</v>
      </c>
      <c r="B66" s="10"/>
      <c r="C66" s="14">
        <v>46273</v>
      </c>
      <c r="D66" s="11"/>
      <c r="E66" s="11"/>
      <c r="F66" s="12">
        <f t="shared" si="0"/>
        <v>0</v>
      </c>
      <c r="G66" s="20"/>
      <c r="H66" s="20"/>
      <c r="I66" s="9"/>
      <c r="J66" s="9"/>
      <c r="K66" s="9"/>
    </row>
    <row r="67" spans="1:11" s="13" customFormat="1" ht="29.25" thickBot="1" x14ac:dyDescent="0.3">
      <c r="A67" s="19" t="s">
        <v>47</v>
      </c>
      <c r="B67" s="10"/>
      <c r="C67" s="14">
        <v>46273</v>
      </c>
      <c r="D67" s="11"/>
      <c r="E67" s="11"/>
      <c r="F67" s="12">
        <f t="shared" si="0"/>
        <v>0</v>
      </c>
      <c r="G67" s="20"/>
      <c r="H67" s="20"/>
      <c r="I67" s="9"/>
      <c r="J67" s="9"/>
      <c r="K67" s="9"/>
    </row>
    <row r="68" spans="1:11" s="13" customFormat="1" ht="29.25" thickBot="1" x14ac:dyDescent="0.3">
      <c r="A68" s="19" t="s">
        <v>47</v>
      </c>
      <c r="B68" s="10"/>
      <c r="C68" s="14">
        <v>46273</v>
      </c>
      <c r="D68" s="11"/>
      <c r="E68" s="11"/>
      <c r="F68" s="12">
        <f t="shared" si="0"/>
        <v>0</v>
      </c>
      <c r="G68" s="20"/>
      <c r="H68" s="20"/>
      <c r="I68" s="9"/>
      <c r="J68" s="9"/>
      <c r="K68" s="9"/>
    </row>
    <row r="69" spans="1:11" s="13" customFormat="1" ht="29.25" thickBot="1" x14ac:dyDescent="0.3">
      <c r="A69" s="19" t="s">
        <v>47</v>
      </c>
      <c r="B69" s="10"/>
      <c r="C69" s="14">
        <v>46273</v>
      </c>
      <c r="D69" s="11"/>
      <c r="E69" s="11"/>
      <c r="F69" s="12">
        <f t="shared" si="0"/>
        <v>0</v>
      </c>
      <c r="G69" s="20"/>
      <c r="H69" s="20"/>
      <c r="I69" s="9"/>
      <c r="J69" s="9"/>
      <c r="K69" s="9"/>
    </row>
    <row r="70" spans="1:11" s="13" customFormat="1" ht="29.25" thickBot="1" x14ac:dyDescent="0.3">
      <c r="A70" s="19" t="s">
        <v>47</v>
      </c>
      <c r="B70" s="10"/>
      <c r="C70" s="14">
        <v>46273</v>
      </c>
      <c r="D70" s="11"/>
      <c r="E70" s="11"/>
      <c r="F70" s="12">
        <f t="shared" ref="F70:F133" si="2">+(E70-D70)*24</f>
        <v>0</v>
      </c>
      <c r="G70" s="20"/>
      <c r="H70" s="20"/>
      <c r="I70" s="9"/>
      <c r="J70" s="9"/>
      <c r="K70" s="9"/>
    </row>
    <row r="71" spans="1:11" s="13" customFormat="1" ht="29.25" thickBot="1" x14ac:dyDescent="0.3">
      <c r="A71" s="19" t="s">
        <v>47</v>
      </c>
      <c r="B71" s="10"/>
      <c r="C71" s="14">
        <v>46273</v>
      </c>
      <c r="D71" s="11"/>
      <c r="E71" s="11"/>
      <c r="F71" s="12">
        <f t="shared" si="2"/>
        <v>0</v>
      </c>
      <c r="G71" s="20"/>
      <c r="H71" s="20"/>
      <c r="I71" s="9"/>
      <c r="J71" s="9"/>
      <c r="K71" s="9"/>
    </row>
    <row r="72" spans="1:11" s="13" customFormat="1" ht="29.25" thickBot="1" x14ac:dyDescent="0.3">
      <c r="A72" s="19" t="s">
        <v>47</v>
      </c>
      <c r="B72" s="10"/>
      <c r="C72" s="14">
        <v>46273</v>
      </c>
      <c r="D72" s="11"/>
      <c r="E72" s="11"/>
      <c r="F72" s="12">
        <f t="shared" si="2"/>
        <v>0</v>
      </c>
      <c r="G72" s="20"/>
      <c r="H72" s="20"/>
      <c r="I72" s="9"/>
      <c r="J72" s="9"/>
      <c r="K72" s="9"/>
    </row>
    <row r="73" spans="1:11" s="13" customFormat="1" ht="29.25" thickBot="1" x14ac:dyDescent="0.3">
      <c r="A73" s="19" t="s">
        <v>47</v>
      </c>
      <c r="B73" s="10"/>
      <c r="C73" s="14">
        <v>46273</v>
      </c>
      <c r="D73" s="11"/>
      <c r="E73" s="11"/>
      <c r="F73" s="12">
        <f t="shared" si="2"/>
        <v>0</v>
      </c>
      <c r="G73" s="20"/>
      <c r="H73" s="20"/>
      <c r="I73" s="9"/>
      <c r="J73" s="9"/>
      <c r="K73" s="9"/>
    </row>
    <row r="74" spans="1:11" s="13" customFormat="1" ht="29.25" thickBot="1" x14ac:dyDescent="0.3">
      <c r="A74" s="19" t="s">
        <v>47</v>
      </c>
      <c r="B74" s="10"/>
      <c r="C74" s="14">
        <v>46274</v>
      </c>
      <c r="D74" s="11"/>
      <c r="E74" s="11"/>
      <c r="F74" s="12">
        <f t="shared" si="2"/>
        <v>0</v>
      </c>
      <c r="G74" s="20"/>
      <c r="H74" s="20"/>
      <c r="I74" s="9"/>
      <c r="J74" s="9"/>
      <c r="K74" s="9"/>
    </row>
    <row r="75" spans="1:11" s="13" customFormat="1" ht="29.25" thickBot="1" x14ac:dyDescent="0.3">
      <c r="A75" s="19" t="s">
        <v>47</v>
      </c>
      <c r="B75" s="10"/>
      <c r="C75" s="14">
        <v>46274</v>
      </c>
      <c r="D75" s="11"/>
      <c r="E75" s="11"/>
      <c r="F75" s="12">
        <f t="shared" si="2"/>
        <v>0</v>
      </c>
      <c r="G75" s="20"/>
      <c r="H75" s="20"/>
      <c r="I75" s="9"/>
      <c r="J75" s="9"/>
      <c r="K75" s="9"/>
    </row>
    <row r="76" spans="1:11" s="13" customFormat="1" ht="29.25" thickBot="1" x14ac:dyDescent="0.3">
      <c r="A76" s="19" t="s">
        <v>47</v>
      </c>
      <c r="B76" s="10"/>
      <c r="C76" s="14">
        <v>46274</v>
      </c>
      <c r="D76" s="11"/>
      <c r="E76" s="11"/>
      <c r="F76" s="12">
        <f t="shared" si="2"/>
        <v>0</v>
      </c>
      <c r="G76" s="20"/>
      <c r="H76" s="20"/>
      <c r="I76" s="9"/>
      <c r="J76" s="9"/>
      <c r="K76" s="9"/>
    </row>
    <row r="77" spans="1:11" s="13" customFormat="1" ht="29.25" thickBot="1" x14ac:dyDescent="0.3">
      <c r="A77" s="19" t="s">
        <v>47</v>
      </c>
      <c r="B77" s="10"/>
      <c r="C77" s="14">
        <v>46274</v>
      </c>
      <c r="D77" s="11"/>
      <c r="E77" s="11"/>
      <c r="F77" s="12">
        <f t="shared" si="2"/>
        <v>0</v>
      </c>
      <c r="G77" s="20"/>
      <c r="H77" s="20"/>
      <c r="I77" s="9"/>
      <c r="J77" s="9"/>
      <c r="K77" s="9"/>
    </row>
    <row r="78" spans="1:11" s="13" customFormat="1" ht="29.25" thickBot="1" x14ac:dyDescent="0.3">
      <c r="A78" s="19" t="s">
        <v>47</v>
      </c>
      <c r="B78" s="10"/>
      <c r="C78" s="14">
        <v>46274</v>
      </c>
      <c r="D78" s="11"/>
      <c r="E78" s="11"/>
      <c r="F78" s="12">
        <f t="shared" si="2"/>
        <v>0</v>
      </c>
      <c r="G78" s="20"/>
      <c r="H78" s="20"/>
      <c r="I78" s="9"/>
      <c r="J78" s="9"/>
      <c r="K78" s="9"/>
    </row>
    <row r="79" spans="1:11" s="13" customFormat="1" ht="29.25" thickBot="1" x14ac:dyDescent="0.3">
      <c r="A79" s="19" t="s">
        <v>47</v>
      </c>
      <c r="B79" s="10"/>
      <c r="C79" s="14">
        <v>46274</v>
      </c>
      <c r="D79" s="11"/>
      <c r="E79" s="11"/>
      <c r="F79" s="12">
        <f t="shared" si="2"/>
        <v>0</v>
      </c>
      <c r="G79" s="20"/>
      <c r="H79" s="20"/>
      <c r="I79" s="9"/>
      <c r="J79" s="9"/>
      <c r="K79" s="9"/>
    </row>
    <row r="80" spans="1:11" s="13" customFormat="1" ht="29.25" thickBot="1" x14ac:dyDescent="0.3">
      <c r="A80" s="19" t="s">
        <v>47</v>
      </c>
      <c r="B80" s="10"/>
      <c r="C80" s="14">
        <v>46274</v>
      </c>
      <c r="D80" s="11"/>
      <c r="E80" s="11"/>
      <c r="F80" s="12">
        <f t="shared" si="2"/>
        <v>0</v>
      </c>
      <c r="G80" s="20"/>
      <c r="H80" s="20"/>
      <c r="I80" s="9"/>
      <c r="J80" s="9"/>
      <c r="K80" s="9"/>
    </row>
    <row r="81" spans="1:11" s="13" customFormat="1" ht="29.25" thickBot="1" x14ac:dyDescent="0.3">
      <c r="A81" s="19" t="s">
        <v>47</v>
      </c>
      <c r="B81" s="10"/>
      <c r="C81" s="14">
        <v>46274</v>
      </c>
      <c r="D81" s="11"/>
      <c r="E81" s="11"/>
      <c r="F81" s="12">
        <f t="shared" si="2"/>
        <v>0</v>
      </c>
      <c r="G81" s="20"/>
      <c r="H81" s="20"/>
      <c r="I81" s="9"/>
      <c r="J81" s="9"/>
      <c r="K81" s="9"/>
    </row>
    <row r="82" spans="1:11" s="13" customFormat="1" ht="29.25" thickBot="1" x14ac:dyDescent="0.3">
      <c r="A82" s="19" t="s">
        <v>47</v>
      </c>
      <c r="B82" s="10"/>
      <c r="C82" s="14">
        <v>46274</v>
      </c>
      <c r="D82" s="11"/>
      <c r="E82" s="11"/>
      <c r="F82" s="12">
        <f t="shared" si="2"/>
        <v>0</v>
      </c>
      <c r="G82" s="20"/>
      <c r="H82" s="20"/>
      <c r="I82" s="9"/>
      <c r="J82" s="9"/>
      <c r="K82" s="9"/>
    </row>
    <row r="83" spans="1:11" s="13" customFormat="1" ht="29.25" thickBot="1" x14ac:dyDescent="0.3">
      <c r="A83" s="19" t="s">
        <v>47</v>
      </c>
      <c r="B83" s="10"/>
      <c r="C83" s="14">
        <v>46275</v>
      </c>
      <c r="D83" s="11"/>
      <c r="E83" s="11"/>
      <c r="F83" s="12">
        <f t="shared" si="2"/>
        <v>0</v>
      </c>
      <c r="G83" s="20"/>
      <c r="H83" s="20"/>
      <c r="I83" s="9"/>
      <c r="J83" s="9"/>
      <c r="K83" s="9"/>
    </row>
    <row r="84" spans="1:11" s="13" customFormat="1" ht="29.25" thickBot="1" x14ac:dyDescent="0.3">
      <c r="A84" s="19" t="s">
        <v>47</v>
      </c>
      <c r="B84" s="10"/>
      <c r="C84" s="14">
        <v>46275</v>
      </c>
      <c r="D84" s="11"/>
      <c r="E84" s="11"/>
      <c r="F84" s="12">
        <f t="shared" si="2"/>
        <v>0</v>
      </c>
      <c r="G84" s="20"/>
      <c r="H84" s="20"/>
      <c r="I84" s="9"/>
      <c r="J84" s="9"/>
      <c r="K84" s="9"/>
    </row>
    <row r="85" spans="1:11" s="13" customFormat="1" ht="29.25" thickBot="1" x14ac:dyDescent="0.3">
      <c r="A85" s="19" t="s">
        <v>47</v>
      </c>
      <c r="B85" s="10"/>
      <c r="C85" s="14">
        <v>46275</v>
      </c>
      <c r="D85" s="11"/>
      <c r="E85" s="11"/>
      <c r="F85" s="12">
        <f t="shared" si="2"/>
        <v>0</v>
      </c>
      <c r="G85" s="20"/>
      <c r="H85" s="20"/>
      <c r="I85" s="9"/>
      <c r="J85" s="9"/>
      <c r="K85" s="9"/>
    </row>
    <row r="86" spans="1:11" s="13" customFormat="1" ht="29.25" thickBot="1" x14ac:dyDescent="0.3">
      <c r="A86" s="19" t="s">
        <v>47</v>
      </c>
      <c r="B86" s="10"/>
      <c r="C86" s="14">
        <v>46275</v>
      </c>
      <c r="D86" s="11"/>
      <c r="E86" s="11"/>
      <c r="F86" s="12">
        <f t="shared" si="2"/>
        <v>0</v>
      </c>
      <c r="G86" s="20"/>
      <c r="H86" s="20"/>
      <c r="I86" s="9"/>
      <c r="J86" s="9"/>
      <c r="K86" s="9"/>
    </row>
    <row r="87" spans="1:11" s="13" customFormat="1" ht="29.25" thickBot="1" x14ac:dyDescent="0.3">
      <c r="A87" s="19" t="s">
        <v>47</v>
      </c>
      <c r="B87" s="10"/>
      <c r="C87" s="14">
        <v>46275</v>
      </c>
      <c r="D87" s="11"/>
      <c r="E87" s="11"/>
      <c r="F87" s="12">
        <f t="shared" si="2"/>
        <v>0</v>
      </c>
      <c r="G87" s="20"/>
      <c r="H87" s="20"/>
      <c r="I87" s="9"/>
      <c r="J87" s="9"/>
      <c r="K87" s="9"/>
    </row>
    <row r="88" spans="1:11" s="13" customFormat="1" ht="29.25" thickBot="1" x14ac:dyDescent="0.3">
      <c r="A88" s="19" t="s">
        <v>47</v>
      </c>
      <c r="B88" s="10"/>
      <c r="C88" s="14">
        <v>46275</v>
      </c>
      <c r="D88" s="11"/>
      <c r="E88" s="11"/>
      <c r="F88" s="12">
        <f t="shared" si="2"/>
        <v>0</v>
      </c>
      <c r="G88" s="20"/>
      <c r="H88" s="20"/>
      <c r="I88" s="9"/>
      <c r="J88" s="9"/>
      <c r="K88" s="9"/>
    </row>
    <row r="89" spans="1:11" s="13" customFormat="1" ht="29.25" thickBot="1" x14ac:dyDescent="0.3">
      <c r="A89" s="19" t="s">
        <v>47</v>
      </c>
      <c r="B89" s="10"/>
      <c r="C89" s="14">
        <v>46275</v>
      </c>
      <c r="D89" s="11"/>
      <c r="E89" s="11"/>
      <c r="F89" s="12">
        <f t="shared" si="2"/>
        <v>0</v>
      </c>
      <c r="G89" s="20"/>
      <c r="H89" s="20"/>
      <c r="I89" s="9"/>
      <c r="J89" s="9"/>
      <c r="K89" s="9"/>
    </row>
    <row r="90" spans="1:11" s="13" customFormat="1" ht="29.25" thickBot="1" x14ac:dyDescent="0.3">
      <c r="A90" s="19" t="s">
        <v>47</v>
      </c>
      <c r="B90" s="10"/>
      <c r="C90" s="14">
        <v>46275</v>
      </c>
      <c r="D90" s="11"/>
      <c r="E90" s="11"/>
      <c r="F90" s="12">
        <f t="shared" si="2"/>
        <v>0</v>
      </c>
      <c r="G90" s="20"/>
      <c r="H90" s="20"/>
      <c r="I90" s="9"/>
      <c r="J90" s="9"/>
      <c r="K90" s="9"/>
    </row>
    <row r="91" spans="1:11" s="13" customFormat="1" ht="29.25" thickBot="1" x14ac:dyDescent="0.3">
      <c r="A91" s="19" t="s">
        <v>47</v>
      </c>
      <c r="B91" s="10"/>
      <c r="C91" s="14">
        <v>46275</v>
      </c>
      <c r="D91" s="11"/>
      <c r="E91" s="11"/>
      <c r="F91" s="12">
        <f t="shared" si="2"/>
        <v>0</v>
      </c>
      <c r="G91" s="20"/>
      <c r="H91" s="20"/>
      <c r="I91" s="9"/>
      <c r="J91" s="9"/>
      <c r="K91" s="9"/>
    </row>
    <row r="92" spans="1:11" s="13" customFormat="1" ht="29.25" thickBot="1" x14ac:dyDescent="0.3">
      <c r="A92" s="19" t="s">
        <v>47</v>
      </c>
      <c r="B92" s="10"/>
      <c r="C92" s="14">
        <v>46276</v>
      </c>
      <c r="D92" s="11"/>
      <c r="E92" s="11"/>
      <c r="F92" s="12">
        <f t="shared" si="2"/>
        <v>0</v>
      </c>
      <c r="G92" s="20"/>
      <c r="H92" s="20"/>
      <c r="I92" s="9"/>
      <c r="J92" s="9"/>
      <c r="K92" s="9"/>
    </row>
    <row r="93" spans="1:11" s="13" customFormat="1" ht="29.25" thickBot="1" x14ac:dyDescent="0.3">
      <c r="A93" s="19" t="s">
        <v>47</v>
      </c>
      <c r="B93" s="10"/>
      <c r="C93" s="14">
        <v>46276</v>
      </c>
      <c r="D93" s="11"/>
      <c r="E93" s="11"/>
      <c r="F93" s="12">
        <f t="shared" si="2"/>
        <v>0</v>
      </c>
      <c r="G93" s="20"/>
      <c r="H93" s="20"/>
      <c r="I93" s="9"/>
      <c r="J93" s="9"/>
      <c r="K93" s="9"/>
    </row>
    <row r="94" spans="1:11" s="13" customFormat="1" ht="29.25" thickBot="1" x14ac:dyDescent="0.3">
      <c r="A94" s="19" t="s">
        <v>47</v>
      </c>
      <c r="B94" s="10"/>
      <c r="C94" s="14">
        <v>46276</v>
      </c>
      <c r="D94" s="11"/>
      <c r="E94" s="11"/>
      <c r="F94" s="12">
        <f t="shared" si="2"/>
        <v>0</v>
      </c>
      <c r="G94" s="20"/>
      <c r="H94" s="20"/>
      <c r="I94" s="9"/>
      <c r="J94" s="9"/>
      <c r="K94" s="9"/>
    </row>
    <row r="95" spans="1:11" s="13" customFormat="1" ht="29.25" thickBot="1" x14ac:dyDescent="0.3">
      <c r="A95" s="19" t="s">
        <v>47</v>
      </c>
      <c r="B95" s="10"/>
      <c r="C95" s="14">
        <v>46276</v>
      </c>
      <c r="D95" s="11"/>
      <c r="E95" s="11"/>
      <c r="F95" s="12">
        <f t="shared" si="2"/>
        <v>0</v>
      </c>
      <c r="G95" s="20"/>
      <c r="H95" s="20"/>
      <c r="I95" s="9"/>
      <c r="J95" s="9"/>
      <c r="K95" s="9"/>
    </row>
    <row r="96" spans="1:11" s="13" customFormat="1" ht="29.25" thickBot="1" x14ac:dyDescent="0.3">
      <c r="A96" s="19" t="s">
        <v>47</v>
      </c>
      <c r="B96" s="10"/>
      <c r="C96" s="14">
        <v>46276</v>
      </c>
      <c r="D96" s="11"/>
      <c r="E96" s="11"/>
      <c r="F96" s="12">
        <f t="shared" si="2"/>
        <v>0</v>
      </c>
      <c r="G96" s="20"/>
      <c r="H96" s="20"/>
      <c r="I96" s="9"/>
      <c r="J96" s="9"/>
      <c r="K96" s="9"/>
    </row>
    <row r="97" spans="1:11" s="13" customFormat="1" ht="29.25" thickBot="1" x14ac:dyDescent="0.3">
      <c r="A97" s="19" t="s">
        <v>47</v>
      </c>
      <c r="B97" s="10"/>
      <c r="C97" s="14">
        <v>46276</v>
      </c>
      <c r="D97" s="11"/>
      <c r="E97" s="11"/>
      <c r="F97" s="12">
        <f t="shared" si="2"/>
        <v>0</v>
      </c>
      <c r="G97" s="20"/>
      <c r="H97" s="20"/>
      <c r="I97" s="9"/>
      <c r="J97" s="9"/>
      <c r="K97" s="9"/>
    </row>
    <row r="98" spans="1:11" s="13" customFormat="1" ht="29.25" thickBot="1" x14ac:dyDescent="0.3">
      <c r="A98" s="19" t="s">
        <v>47</v>
      </c>
      <c r="B98" s="10"/>
      <c r="C98" s="14">
        <v>46276</v>
      </c>
      <c r="D98" s="11"/>
      <c r="E98" s="11"/>
      <c r="F98" s="12">
        <f t="shared" si="2"/>
        <v>0</v>
      </c>
      <c r="G98" s="20"/>
      <c r="H98" s="20"/>
      <c r="I98" s="9"/>
      <c r="J98" s="9"/>
      <c r="K98" s="9"/>
    </row>
    <row r="99" spans="1:11" s="13" customFormat="1" ht="29.25" thickBot="1" x14ac:dyDescent="0.3">
      <c r="A99" s="19" t="s">
        <v>47</v>
      </c>
      <c r="B99" s="10"/>
      <c r="C99" s="14">
        <v>46276</v>
      </c>
      <c r="D99" s="11"/>
      <c r="E99" s="11"/>
      <c r="F99" s="12">
        <f t="shared" si="2"/>
        <v>0</v>
      </c>
      <c r="G99" s="20"/>
      <c r="H99" s="20"/>
      <c r="I99" s="9"/>
      <c r="J99" s="9"/>
      <c r="K99" s="9"/>
    </row>
    <row r="100" spans="1:11" s="13" customFormat="1" ht="29.25" thickBot="1" x14ac:dyDescent="0.3">
      <c r="A100" s="19" t="s">
        <v>47</v>
      </c>
      <c r="B100" s="10"/>
      <c r="C100" s="14">
        <v>46276</v>
      </c>
      <c r="D100" s="11"/>
      <c r="E100" s="11"/>
      <c r="F100" s="12">
        <f t="shared" si="2"/>
        <v>0</v>
      </c>
      <c r="G100" s="20"/>
      <c r="H100" s="20"/>
      <c r="I100" s="9"/>
      <c r="J100" s="9"/>
      <c r="K100" s="9"/>
    </row>
    <row r="101" spans="1:11" s="13" customFormat="1" ht="29.25" thickBot="1" x14ac:dyDescent="0.3">
      <c r="A101" s="19" t="s">
        <v>47</v>
      </c>
      <c r="B101" s="10"/>
      <c r="C101" s="14">
        <v>46277</v>
      </c>
      <c r="D101" s="11">
        <v>0.35416666666666669</v>
      </c>
      <c r="E101" s="11">
        <v>0.6875</v>
      </c>
      <c r="F101" s="12">
        <f>+(E101-D101)*24</f>
        <v>8</v>
      </c>
      <c r="G101" s="20" t="s">
        <v>21</v>
      </c>
      <c r="H101" s="20" t="s">
        <v>30</v>
      </c>
      <c r="I101" s="9"/>
      <c r="J101" s="9" t="s">
        <v>71</v>
      </c>
      <c r="K101" s="9"/>
    </row>
    <row r="102" spans="1:11" s="13" customFormat="1" ht="29.25" thickBot="1" x14ac:dyDescent="0.3">
      <c r="A102" s="19" t="s">
        <v>47</v>
      </c>
      <c r="B102" s="10"/>
      <c r="C102" s="14">
        <v>46277</v>
      </c>
      <c r="D102" s="11"/>
      <c r="E102" s="11"/>
      <c r="F102" s="12"/>
      <c r="G102" s="20"/>
      <c r="H102" s="20"/>
      <c r="I102" s="9"/>
      <c r="J102" s="9"/>
      <c r="K102" s="9"/>
    </row>
    <row r="103" spans="1:11" s="13" customFormat="1" ht="29.25" thickBot="1" x14ac:dyDescent="0.3">
      <c r="A103" s="19" t="s">
        <v>47</v>
      </c>
      <c r="B103" s="10"/>
      <c r="C103" s="14">
        <v>46277</v>
      </c>
      <c r="D103" s="11"/>
      <c r="E103" s="11"/>
      <c r="F103" s="12">
        <f t="shared" ref="F103:F109" si="3">+(E103-D103)*24</f>
        <v>0</v>
      </c>
      <c r="G103" s="20"/>
      <c r="H103" s="20"/>
      <c r="I103" s="9"/>
      <c r="J103" s="9"/>
      <c r="K103" s="9"/>
    </row>
    <row r="104" spans="1:11" s="13" customFormat="1" ht="29.25" thickBot="1" x14ac:dyDescent="0.3">
      <c r="A104" s="19" t="s">
        <v>47</v>
      </c>
      <c r="B104" s="10"/>
      <c r="C104" s="14">
        <v>46277</v>
      </c>
      <c r="D104" s="11"/>
      <c r="E104" s="11"/>
      <c r="F104" s="12">
        <f t="shared" si="3"/>
        <v>0</v>
      </c>
      <c r="G104" s="20"/>
      <c r="H104" s="20"/>
      <c r="I104" s="9"/>
      <c r="J104" s="9"/>
      <c r="K104" s="9"/>
    </row>
    <row r="105" spans="1:11" s="13" customFormat="1" ht="29.25" thickBot="1" x14ac:dyDescent="0.3">
      <c r="A105" s="19" t="s">
        <v>47</v>
      </c>
      <c r="B105" s="10"/>
      <c r="C105" s="14">
        <v>46277</v>
      </c>
      <c r="D105" s="11"/>
      <c r="E105" s="11"/>
      <c r="F105" s="12">
        <f t="shared" si="3"/>
        <v>0</v>
      </c>
      <c r="G105" s="20"/>
      <c r="H105" s="20"/>
      <c r="I105" s="9"/>
      <c r="J105" s="9"/>
      <c r="K105" s="9"/>
    </row>
    <row r="106" spans="1:11" s="13" customFormat="1" ht="29.25" thickBot="1" x14ac:dyDescent="0.3">
      <c r="A106" s="19" t="s">
        <v>47</v>
      </c>
      <c r="B106" s="10"/>
      <c r="C106" s="14">
        <v>46277</v>
      </c>
      <c r="D106" s="11"/>
      <c r="E106" s="11"/>
      <c r="F106" s="12">
        <f t="shared" si="3"/>
        <v>0</v>
      </c>
      <c r="G106" s="20"/>
      <c r="H106" s="20"/>
      <c r="I106" s="9"/>
      <c r="J106" s="9"/>
      <c r="K106" s="9"/>
    </row>
    <row r="107" spans="1:11" s="13" customFormat="1" ht="29.25" thickBot="1" x14ac:dyDescent="0.3">
      <c r="A107" s="19" t="s">
        <v>47</v>
      </c>
      <c r="B107" s="10"/>
      <c r="C107" s="14">
        <v>46277</v>
      </c>
      <c r="D107" s="11"/>
      <c r="E107" s="11"/>
      <c r="F107" s="12">
        <f t="shared" si="3"/>
        <v>0</v>
      </c>
      <c r="G107" s="20"/>
      <c r="H107" s="20"/>
      <c r="I107" s="9"/>
      <c r="J107" s="9"/>
      <c r="K107" s="9"/>
    </row>
    <row r="108" spans="1:11" s="13" customFormat="1" ht="29.25" thickBot="1" x14ac:dyDescent="0.3">
      <c r="A108" s="19" t="s">
        <v>47</v>
      </c>
      <c r="B108" s="10"/>
      <c r="C108" s="14">
        <v>46277</v>
      </c>
      <c r="D108" s="11"/>
      <c r="E108" s="11"/>
      <c r="F108" s="12">
        <f t="shared" si="3"/>
        <v>0</v>
      </c>
      <c r="G108" s="20"/>
      <c r="H108" s="20"/>
      <c r="I108" s="9"/>
      <c r="J108" s="9"/>
      <c r="K108" s="9"/>
    </row>
    <row r="109" spans="1:11" s="13" customFormat="1" ht="29.25" thickBot="1" x14ac:dyDescent="0.3">
      <c r="A109" s="19" t="s">
        <v>47</v>
      </c>
      <c r="B109" s="10"/>
      <c r="C109" s="14">
        <v>46277</v>
      </c>
      <c r="D109" s="11"/>
      <c r="E109" s="11"/>
      <c r="F109" s="12">
        <f t="shared" si="3"/>
        <v>0</v>
      </c>
      <c r="G109" s="20"/>
      <c r="H109" s="20"/>
      <c r="I109" s="9"/>
      <c r="J109" s="9"/>
      <c r="K109" s="9"/>
    </row>
    <row r="110" spans="1:11" s="13" customFormat="1" ht="29.25" thickBot="1" x14ac:dyDescent="0.3">
      <c r="A110" s="19" t="s">
        <v>47</v>
      </c>
      <c r="B110" s="10"/>
      <c r="C110" s="14">
        <v>46278</v>
      </c>
      <c r="D110" s="11">
        <v>0.35416666666666669</v>
      </c>
      <c r="E110" s="11">
        <v>0.6875</v>
      </c>
      <c r="F110" s="12">
        <f>+(E110-D110)*24</f>
        <v>8</v>
      </c>
      <c r="G110" s="20" t="s">
        <v>21</v>
      </c>
      <c r="H110" s="20" t="s">
        <v>30</v>
      </c>
      <c r="I110" s="9"/>
      <c r="J110" s="9" t="s">
        <v>71</v>
      </c>
      <c r="K110" s="9"/>
    </row>
    <row r="111" spans="1:11" s="13" customFormat="1" ht="29.25" thickBot="1" x14ac:dyDescent="0.3">
      <c r="A111" s="19" t="s">
        <v>47</v>
      </c>
      <c r="B111" s="10"/>
      <c r="C111" s="14">
        <v>46278</v>
      </c>
      <c r="D111" s="11"/>
      <c r="E111" s="11"/>
      <c r="F111" s="12">
        <f t="shared" si="2"/>
        <v>0</v>
      </c>
      <c r="G111" s="20"/>
      <c r="H111" s="20"/>
      <c r="I111" s="9"/>
      <c r="J111" s="9"/>
      <c r="K111" s="9"/>
    </row>
    <row r="112" spans="1:11" s="13" customFormat="1" ht="29.25" thickBot="1" x14ac:dyDescent="0.3">
      <c r="A112" s="19" t="s">
        <v>47</v>
      </c>
      <c r="B112" s="10"/>
      <c r="C112" s="14">
        <v>46278</v>
      </c>
      <c r="D112" s="11"/>
      <c r="E112" s="11"/>
      <c r="F112" s="12">
        <f t="shared" si="2"/>
        <v>0</v>
      </c>
      <c r="G112" s="20"/>
      <c r="H112" s="20"/>
      <c r="I112" s="9"/>
      <c r="J112" s="9"/>
      <c r="K112" s="9"/>
    </row>
    <row r="113" spans="1:11" s="13" customFormat="1" ht="29.25" thickBot="1" x14ac:dyDescent="0.3">
      <c r="A113" s="19" t="s">
        <v>47</v>
      </c>
      <c r="B113" s="10"/>
      <c r="C113" s="14">
        <v>46278</v>
      </c>
      <c r="D113" s="11"/>
      <c r="E113" s="11"/>
      <c r="F113" s="12">
        <f t="shared" si="2"/>
        <v>0</v>
      </c>
      <c r="G113" s="20"/>
      <c r="H113" s="20"/>
      <c r="I113" s="9"/>
      <c r="J113" s="9"/>
      <c r="K113" s="9"/>
    </row>
    <row r="114" spans="1:11" s="13" customFormat="1" ht="29.25" thickBot="1" x14ac:dyDescent="0.3">
      <c r="A114" s="19" t="s">
        <v>47</v>
      </c>
      <c r="B114" s="10"/>
      <c r="C114" s="14">
        <v>46278</v>
      </c>
      <c r="D114" s="11"/>
      <c r="E114" s="11"/>
      <c r="F114" s="12">
        <f t="shared" si="2"/>
        <v>0</v>
      </c>
      <c r="G114" s="20"/>
      <c r="H114" s="20"/>
      <c r="I114" s="9"/>
      <c r="J114" s="9"/>
      <c r="K114" s="9"/>
    </row>
    <row r="115" spans="1:11" s="13" customFormat="1" ht="29.25" thickBot="1" x14ac:dyDescent="0.3">
      <c r="A115" s="19" t="s">
        <v>47</v>
      </c>
      <c r="B115" s="10"/>
      <c r="C115" s="14">
        <v>46278</v>
      </c>
      <c r="D115" s="11"/>
      <c r="E115" s="11"/>
      <c r="F115" s="12">
        <f t="shared" si="2"/>
        <v>0</v>
      </c>
      <c r="G115" s="20"/>
      <c r="H115" s="20"/>
      <c r="I115" s="9"/>
      <c r="J115" s="9"/>
      <c r="K115" s="9"/>
    </row>
    <row r="116" spans="1:11" s="13" customFormat="1" ht="29.25" thickBot="1" x14ac:dyDescent="0.3">
      <c r="A116" s="19" t="s">
        <v>47</v>
      </c>
      <c r="B116" s="10"/>
      <c r="C116" s="14">
        <v>46278</v>
      </c>
      <c r="D116" s="11"/>
      <c r="E116" s="11"/>
      <c r="F116" s="12">
        <f t="shared" si="2"/>
        <v>0</v>
      </c>
      <c r="G116" s="20"/>
      <c r="H116" s="20"/>
      <c r="I116" s="9"/>
      <c r="J116" s="9"/>
      <c r="K116" s="9"/>
    </row>
    <row r="117" spans="1:11" s="13" customFormat="1" ht="29.25" thickBot="1" x14ac:dyDescent="0.3">
      <c r="A117" s="19" t="s">
        <v>47</v>
      </c>
      <c r="B117" s="10"/>
      <c r="C117" s="14">
        <v>46278</v>
      </c>
      <c r="D117" s="11"/>
      <c r="E117" s="11"/>
      <c r="F117" s="12">
        <f t="shared" si="2"/>
        <v>0</v>
      </c>
      <c r="G117" s="20"/>
      <c r="H117" s="20"/>
      <c r="I117" s="9"/>
      <c r="J117" s="9"/>
      <c r="K117" s="9"/>
    </row>
    <row r="118" spans="1:11" s="13" customFormat="1" ht="29.25" thickBot="1" x14ac:dyDescent="0.3">
      <c r="A118" s="19" t="s">
        <v>47</v>
      </c>
      <c r="B118" s="10"/>
      <c r="C118" s="14">
        <v>46278</v>
      </c>
      <c r="D118" s="11"/>
      <c r="E118" s="11"/>
      <c r="F118" s="12">
        <f t="shared" si="2"/>
        <v>0</v>
      </c>
      <c r="G118" s="20"/>
      <c r="H118" s="20"/>
      <c r="I118" s="9"/>
      <c r="J118" s="9"/>
      <c r="K118" s="9"/>
    </row>
    <row r="119" spans="1:11" s="13" customFormat="1" ht="29.25" thickBot="1" x14ac:dyDescent="0.3">
      <c r="A119" s="19" t="s">
        <v>47</v>
      </c>
      <c r="B119" s="10"/>
      <c r="C119" s="14">
        <v>46279</v>
      </c>
      <c r="D119" s="11"/>
      <c r="E119" s="11"/>
      <c r="F119" s="12">
        <f t="shared" si="2"/>
        <v>0</v>
      </c>
      <c r="G119" s="20"/>
      <c r="H119" s="20"/>
      <c r="I119" s="9"/>
      <c r="J119" s="9"/>
      <c r="K119" s="9"/>
    </row>
    <row r="120" spans="1:11" s="13" customFormat="1" ht="29.25" thickBot="1" x14ac:dyDescent="0.3">
      <c r="A120" s="19" t="s">
        <v>47</v>
      </c>
      <c r="B120" s="10"/>
      <c r="C120" s="14">
        <v>46279</v>
      </c>
      <c r="D120" s="11"/>
      <c r="E120" s="11"/>
      <c r="F120" s="12">
        <f t="shared" si="2"/>
        <v>0</v>
      </c>
      <c r="G120" s="20"/>
      <c r="H120" s="20"/>
      <c r="I120" s="9"/>
      <c r="J120" s="9"/>
      <c r="K120" s="9"/>
    </row>
    <row r="121" spans="1:11" s="13" customFormat="1" ht="29.25" thickBot="1" x14ac:dyDescent="0.3">
      <c r="A121" s="19" t="s">
        <v>47</v>
      </c>
      <c r="B121" s="10"/>
      <c r="C121" s="14">
        <v>46279</v>
      </c>
      <c r="D121" s="11"/>
      <c r="E121" s="11"/>
      <c r="F121" s="12">
        <f t="shared" si="2"/>
        <v>0</v>
      </c>
      <c r="G121" s="20"/>
      <c r="H121" s="20"/>
      <c r="I121" s="9"/>
      <c r="J121" s="9"/>
      <c r="K121" s="9"/>
    </row>
    <row r="122" spans="1:11" s="13" customFormat="1" ht="29.25" thickBot="1" x14ac:dyDescent="0.3">
      <c r="A122" s="19" t="s">
        <v>47</v>
      </c>
      <c r="B122" s="10"/>
      <c r="C122" s="14">
        <v>46279</v>
      </c>
      <c r="D122" s="11"/>
      <c r="E122" s="11"/>
      <c r="F122" s="12">
        <f t="shared" si="2"/>
        <v>0</v>
      </c>
      <c r="G122" s="20"/>
      <c r="H122" s="20"/>
      <c r="I122" s="9"/>
      <c r="J122" s="9"/>
      <c r="K122" s="9"/>
    </row>
    <row r="123" spans="1:11" s="13" customFormat="1" ht="29.25" thickBot="1" x14ac:dyDescent="0.3">
      <c r="A123" s="19" t="s">
        <v>47</v>
      </c>
      <c r="B123" s="10"/>
      <c r="C123" s="14">
        <v>46279</v>
      </c>
      <c r="D123" s="11"/>
      <c r="E123" s="11"/>
      <c r="F123" s="12">
        <f t="shared" si="2"/>
        <v>0</v>
      </c>
      <c r="G123" s="20"/>
      <c r="H123" s="20"/>
      <c r="I123" s="9"/>
      <c r="J123" s="9"/>
      <c r="K123" s="9"/>
    </row>
    <row r="124" spans="1:11" s="13" customFormat="1" ht="29.25" thickBot="1" x14ac:dyDescent="0.3">
      <c r="A124" s="19" t="s">
        <v>47</v>
      </c>
      <c r="B124" s="10"/>
      <c r="C124" s="14">
        <v>46279</v>
      </c>
      <c r="D124" s="11"/>
      <c r="E124" s="11"/>
      <c r="F124" s="12">
        <f t="shared" si="2"/>
        <v>0</v>
      </c>
      <c r="G124" s="20"/>
      <c r="H124" s="20"/>
      <c r="I124" s="9"/>
      <c r="J124" s="9"/>
      <c r="K124" s="9"/>
    </row>
    <row r="125" spans="1:11" s="13" customFormat="1" ht="29.25" thickBot="1" x14ac:dyDescent="0.3">
      <c r="A125" s="19" t="s">
        <v>47</v>
      </c>
      <c r="B125" s="10"/>
      <c r="C125" s="14">
        <v>46279</v>
      </c>
      <c r="D125" s="11"/>
      <c r="E125" s="11"/>
      <c r="F125" s="12">
        <f t="shared" si="2"/>
        <v>0</v>
      </c>
      <c r="G125" s="20"/>
      <c r="H125" s="20"/>
      <c r="I125" s="9"/>
      <c r="J125" s="9"/>
      <c r="K125" s="9"/>
    </row>
    <row r="126" spans="1:11" s="13" customFormat="1" ht="29.25" thickBot="1" x14ac:dyDescent="0.3">
      <c r="A126" s="19" t="s">
        <v>47</v>
      </c>
      <c r="B126" s="10"/>
      <c r="C126" s="14">
        <v>46279</v>
      </c>
      <c r="D126" s="11"/>
      <c r="E126" s="11"/>
      <c r="F126" s="12">
        <f t="shared" si="2"/>
        <v>0</v>
      </c>
      <c r="G126" s="20"/>
      <c r="H126" s="20"/>
      <c r="I126" s="9"/>
      <c r="J126" s="9"/>
      <c r="K126" s="9"/>
    </row>
    <row r="127" spans="1:11" s="13" customFormat="1" ht="29.25" thickBot="1" x14ac:dyDescent="0.3">
      <c r="A127" s="19" t="s">
        <v>47</v>
      </c>
      <c r="B127" s="10"/>
      <c r="C127" s="14">
        <v>46279</v>
      </c>
      <c r="D127" s="11"/>
      <c r="E127" s="11"/>
      <c r="F127" s="12">
        <f t="shared" si="2"/>
        <v>0</v>
      </c>
      <c r="G127" s="20"/>
      <c r="H127" s="20"/>
      <c r="I127" s="9"/>
      <c r="J127" s="9"/>
      <c r="K127" s="9"/>
    </row>
    <row r="128" spans="1:11" s="13" customFormat="1" ht="29.25" thickBot="1" x14ac:dyDescent="0.3">
      <c r="A128" s="19" t="s">
        <v>47</v>
      </c>
      <c r="B128" s="10"/>
      <c r="C128" s="14">
        <v>46280</v>
      </c>
      <c r="D128" s="11"/>
      <c r="E128" s="11"/>
      <c r="F128" s="12">
        <f t="shared" si="2"/>
        <v>0</v>
      </c>
      <c r="G128" s="20"/>
      <c r="H128" s="20"/>
      <c r="I128" s="9"/>
      <c r="J128" s="9"/>
      <c r="K128" s="9"/>
    </row>
    <row r="129" spans="1:11" s="13" customFormat="1" ht="29.25" thickBot="1" x14ac:dyDescent="0.3">
      <c r="A129" s="19" t="s">
        <v>47</v>
      </c>
      <c r="B129" s="10"/>
      <c r="C129" s="14">
        <v>46280</v>
      </c>
      <c r="D129" s="11"/>
      <c r="E129" s="11"/>
      <c r="F129" s="12">
        <f t="shared" si="2"/>
        <v>0</v>
      </c>
      <c r="G129" s="20"/>
      <c r="H129" s="20"/>
      <c r="I129" s="9"/>
      <c r="J129" s="9"/>
      <c r="K129" s="9"/>
    </row>
    <row r="130" spans="1:11" s="13" customFormat="1" ht="29.25" thickBot="1" x14ac:dyDescent="0.3">
      <c r="A130" s="19" t="s">
        <v>47</v>
      </c>
      <c r="B130" s="10"/>
      <c r="C130" s="14">
        <v>46280</v>
      </c>
      <c r="D130" s="11"/>
      <c r="E130" s="11"/>
      <c r="F130" s="12">
        <f t="shared" si="2"/>
        <v>0</v>
      </c>
      <c r="G130" s="20"/>
      <c r="H130" s="20"/>
      <c r="I130" s="9"/>
      <c r="J130" s="9"/>
      <c r="K130" s="9"/>
    </row>
    <row r="131" spans="1:11" s="13" customFormat="1" ht="29.25" thickBot="1" x14ac:dyDescent="0.3">
      <c r="A131" s="19" t="s">
        <v>47</v>
      </c>
      <c r="B131" s="10"/>
      <c r="C131" s="14">
        <v>46280</v>
      </c>
      <c r="D131" s="11"/>
      <c r="E131" s="11"/>
      <c r="F131" s="12">
        <f t="shared" si="2"/>
        <v>0</v>
      </c>
      <c r="G131" s="20"/>
      <c r="H131" s="20"/>
      <c r="I131" s="9"/>
      <c r="J131" s="9"/>
      <c r="K131" s="9"/>
    </row>
    <row r="132" spans="1:11" s="13" customFormat="1" ht="29.25" thickBot="1" x14ac:dyDescent="0.3">
      <c r="A132" s="19" t="s">
        <v>47</v>
      </c>
      <c r="B132" s="10"/>
      <c r="C132" s="14">
        <v>46280</v>
      </c>
      <c r="D132" s="11"/>
      <c r="E132" s="11"/>
      <c r="F132" s="12">
        <f t="shared" si="2"/>
        <v>0</v>
      </c>
      <c r="G132" s="20"/>
      <c r="H132" s="20"/>
      <c r="I132" s="9"/>
      <c r="J132" s="9"/>
      <c r="K132" s="9"/>
    </row>
    <row r="133" spans="1:11" s="13" customFormat="1" ht="29.25" thickBot="1" x14ac:dyDescent="0.3">
      <c r="A133" s="19" t="s">
        <v>47</v>
      </c>
      <c r="B133" s="10"/>
      <c r="C133" s="14">
        <v>46280</v>
      </c>
      <c r="D133" s="11"/>
      <c r="E133" s="11"/>
      <c r="F133" s="12">
        <f t="shared" si="2"/>
        <v>0</v>
      </c>
      <c r="G133" s="20"/>
      <c r="H133" s="20"/>
      <c r="I133" s="9"/>
      <c r="J133" s="9"/>
      <c r="K133" s="9"/>
    </row>
    <row r="134" spans="1:11" s="13" customFormat="1" ht="29.25" thickBot="1" x14ac:dyDescent="0.3">
      <c r="A134" s="19" t="s">
        <v>47</v>
      </c>
      <c r="B134" s="10"/>
      <c r="C134" s="14">
        <v>46280</v>
      </c>
      <c r="D134" s="11"/>
      <c r="E134" s="11"/>
      <c r="F134" s="12">
        <f t="shared" ref="F134:F197" si="4">+(E134-D134)*24</f>
        <v>0</v>
      </c>
      <c r="G134" s="20"/>
      <c r="H134" s="20"/>
      <c r="I134" s="9"/>
      <c r="J134" s="9"/>
      <c r="K134" s="9"/>
    </row>
    <row r="135" spans="1:11" s="13" customFormat="1" ht="29.25" thickBot="1" x14ac:dyDescent="0.3">
      <c r="A135" s="19" t="s">
        <v>47</v>
      </c>
      <c r="B135" s="10"/>
      <c r="C135" s="14">
        <v>46280</v>
      </c>
      <c r="D135" s="11"/>
      <c r="E135" s="11"/>
      <c r="F135" s="12">
        <f t="shared" si="4"/>
        <v>0</v>
      </c>
      <c r="G135" s="20"/>
      <c r="H135" s="20"/>
      <c r="I135" s="9"/>
      <c r="J135" s="9"/>
      <c r="K135" s="9"/>
    </row>
    <row r="136" spans="1:11" s="13" customFormat="1" ht="29.25" thickBot="1" x14ac:dyDescent="0.3">
      <c r="A136" s="19" t="s">
        <v>47</v>
      </c>
      <c r="B136" s="10"/>
      <c r="C136" s="14">
        <v>46280</v>
      </c>
      <c r="D136" s="11"/>
      <c r="E136" s="11"/>
      <c r="F136" s="12">
        <f t="shared" si="4"/>
        <v>0</v>
      </c>
      <c r="G136" s="20"/>
      <c r="H136" s="20"/>
      <c r="I136" s="9"/>
      <c r="J136" s="9"/>
      <c r="K136" s="9"/>
    </row>
    <row r="137" spans="1:11" s="13" customFormat="1" ht="29.25" thickBot="1" x14ac:dyDescent="0.3">
      <c r="A137" s="19" t="s">
        <v>47</v>
      </c>
      <c r="B137" s="10"/>
      <c r="C137" s="14">
        <v>46281</v>
      </c>
      <c r="D137" s="11"/>
      <c r="E137" s="11"/>
      <c r="F137" s="12">
        <f t="shared" si="4"/>
        <v>0</v>
      </c>
      <c r="G137" s="20"/>
      <c r="H137" s="20"/>
      <c r="I137" s="9"/>
      <c r="J137" s="9"/>
      <c r="K137" s="9"/>
    </row>
    <row r="138" spans="1:11" s="13" customFormat="1" ht="29.25" thickBot="1" x14ac:dyDescent="0.3">
      <c r="A138" s="19" t="s">
        <v>47</v>
      </c>
      <c r="B138" s="10"/>
      <c r="C138" s="14">
        <v>46281</v>
      </c>
      <c r="D138" s="11"/>
      <c r="E138" s="11"/>
      <c r="F138" s="12">
        <f t="shared" si="4"/>
        <v>0</v>
      </c>
      <c r="G138" s="20"/>
      <c r="H138" s="20"/>
      <c r="I138" s="9"/>
      <c r="J138" s="9"/>
      <c r="K138" s="9"/>
    </row>
    <row r="139" spans="1:11" s="13" customFormat="1" ht="29.25" thickBot="1" x14ac:dyDescent="0.3">
      <c r="A139" s="19" t="s">
        <v>47</v>
      </c>
      <c r="B139" s="10"/>
      <c r="C139" s="14">
        <v>46281</v>
      </c>
      <c r="D139" s="11"/>
      <c r="E139" s="11"/>
      <c r="F139" s="12">
        <f t="shared" si="4"/>
        <v>0</v>
      </c>
      <c r="G139" s="20"/>
      <c r="H139" s="20"/>
      <c r="I139" s="9"/>
      <c r="J139" s="9"/>
      <c r="K139" s="9"/>
    </row>
    <row r="140" spans="1:11" s="13" customFormat="1" ht="29.25" thickBot="1" x14ac:dyDescent="0.3">
      <c r="A140" s="19" t="s">
        <v>47</v>
      </c>
      <c r="B140" s="10"/>
      <c r="C140" s="14">
        <v>46281</v>
      </c>
      <c r="D140" s="11"/>
      <c r="E140" s="11"/>
      <c r="F140" s="12">
        <f t="shared" si="4"/>
        <v>0</v>
      </c>
      <c r="G140" s="20"/>
      <c r="H140" s="20"/>
      <c r="I140" s="9"/>
      <c r="J140" s="9"/>
      <c r="K140" s="9"/>
    </row>
    <row r="141" spans="1:11" s="13" customFormat="1" ht="29.25" thickBot="1" x14ac:dyDescent="0.3">
      <c r="A141" s="19" t="s">
        <v>47</v>
      </c>
      <c r="B141" s="10"/>
      <c r="C141" s="14">
        <v>46281</v>
      </c>
      <c r="D141" s="11"/>
      <c r="E141" s="11"/>
      <c r="F141" s="12">
        <f t="shared" si="4"/>
        <v>0</v>
      </c>
      <c r="G141" s="20"/>
      <c r="H141" s="20"/>
      <c r="I141" s="9"/>
      <c r="J141" s="9"/>
      <c r="K141" s="9"/>
    </row>
    <row r="142" spans="1:11" s="13" customFormat="1" ht="29.25" thickBot="1" x14ac:dyDescent="0.3">
      <c r="A142" s="19" t="s">
        <v>47</v>
      </c>
      <c r="B142" s="10"/>
      <c r="C142" s="14">
        <v>46281</v>
      </c>
      <c r="D142" s="11"/>
      <c r="E142" s="11"/>
      <c r="F142" s="12">
        <f t="shared" si="4"/>
        <v>0</v>
      </c>
      <c r="G142" s="20"/>
      <c r="H142" s="20"/>
      <c r="I142" s="9"/>
      <c r="J142" s="9"/>
      <c r="K142" s="9"/>
    </row>
    <row r="143" spans="1:11" s="13" customFormat="1" ht="29.25" thickBot="1" x14ac:dyDescent="0.3">
      <c r="A143" s="19" t="s">
        <v>47</v>
      </c>
      <c r="B143" s="10"/>
      <c r="C143" s="14">
        <v>46281</v>
      </c>
      <c r="D143" s="11"/>
      <c r="E143" s="11"/>
      <c r="F143" s="12">
        <f t="shared" si="4"/>
        <v>0</v>
      </c>
      <c r="G143" s="20"/>
      <c r="H143" s="20"/>
      <c r="I143" s="9"/>
      <c r="J143" s="9"/>
      <c r="K143" s="9"/>
    </row>
    <row r="144" spans="1:11" s="13" customFormat="1" ht="29.25" thickBot="1" x14ac:dyDescent="0.3">
      <c r="A144" s="19" t="s">
        <v>47</v>
      </c>
      <c r="B144" s="10"/>
      <c r="C144" s="14">
        <v>46281</v>
      </c>
      <c r="D144" s="11"/>
      <c r="E144" s="11"/>
      <c r="F144" s="12">
        <f t="shared" si="4"/>
        <v>0</v>
      </c>
      <c r="G144" s="20"/>
      <c r="H144" s="20"/>
      <c r="I144" s="9"/>
      <c r="J144" s="9"/>
      <c r="K144" s="9"/>
    </row>
    <row r="145" spans="1:11" s="13" customFormat="1" ht="29.25" thickBot="1" x14ac:dyDescent="0.3">
      <c r="A145" s="19" t="s">
        <v>47</v>
      </c>
      <c r="B145" s="10"/>
      <c r="C145" s="14">
        <v>46281</v>
      </c>
      <c r="D145" s="11"/>
      <c r="E145" s="11"/>
      <c r="F145" s="12">
        <f t="shared" si="4"/>
        <v>0</v>
      </c>
      <c r="G145" s="20"/>
      <c r="H145" s="20"/>
      <c r="I145" s="9"/>
      <c r="J145" s="9"/>
      <c r="K145" s="9"/>
    </row>
    <row r="146" spans="1:11" s="13" customFormat="1" ht="29.25" thickBot="1" x14ac:dyDescent="0.3">
      <c r="A146" s="19" t="s">
        <v>47</v>
      </c>
      <c r="B146" s="10"/>
      <c r="C146" s="14">
        <v>46282</v>
      </c>
      <c r="D146" s="11"/>
      <c r="E146" s="11"/>
      <c r="F146" s="12">
        <f t="shared" si="4"/>
        <v>0</v>
      </c>
      <c r="G146" s="20"/>
      <c r="H146" s="20"/>
      <c r="I146" s="9"/>
      <c r="J146" s="9"/>
      <c r="K146" s="9"/>
    </row>
    <row r="147" spans="1:11" s="13" customFormat="1" ht="29.25" thickBot="1" x14ac:dyDescent="0.3">
      <c r="A147" s="19" t="s">
        <v>47</v>
      </c>
      <c r="B147" s="10"/>
      <c r="C147" s="14">
        <v>46282</v>
      </c>
      <c r="D147" s="11"/>
      <c r="E147" s="11"/>
      <c r="F147" s="12">
        <f t="shared" si="4"/>
        <v>0</v>
      </c>
      <c r="G147" s="20"/>
      <c r="H147" s="20"/>
      <c r="I147" s="9"/>
      <c r="J147" s="9"/>
      <c r="K147" s="9"/>
    </row>
    <row r="148" spans="1:11" s="13" customFormat="1" ht="29.25" thickBot="1" x14ac:dyDescent="0.3">
      <c r="A148" s="19" t="s">
        <v>47</v>
      </c>
      <c r="B148" s="10"/>
      <c r="C148" s="14">
        <v>46282</v>
      </c>
      <c r="D148" s="11"/>
      <c r="E148" s="11"/>
      <c r="F148" s="12">
        <f t="shared" si="4"/>
        <v>0</v>
      </c>
      <c r="G148" s="20"/>
      <c r="H148" s="20"/>
      <c r="I148" s="9"/>
      <c r="J148" s="9"/>
      <c r="K148" s="9"/>
    </row>
    <row r="149" spans="1:11" s="13" customFormat="1" ht="29.25" thickBot="1" x14ac:dyDescent="0.3">
      <c r="A149" s="19" t="s">
        <v>47</v>
      </c>
      <c r="B149" s="10"/>
      <c r="C149" s="14">
        <v>46282</v>
      </c>
      <c r="D149" s="11"/>
      <c r="E149" s="11"/>
      <c r="F149" s="12">
        <f t="shared" si="4"/>
        <v>0</v>
      </c>
      <c r="G149" s="20"/>
      <c r="H149" s="20"/>
      <c r="I149" s="9"/>
      <c r="J149" s="9"/>
      <c r="K149" s="9"/>
    </row>
    <row r="150" spans="1:11" s="13" customFormat="1" ht="29.25" thickBot="1" x14ac:dyDescent="0.3">
      <c r="A150" s="19" t="s">
        <v>47</v>
      </c>
      <c r="B150" s="10"/>
      <c r="C150" s="14">
        <v>46282</v>
      </c>
      <c r="D150" s="11"/>
      <c r="E150" s="11"/>
      <c r="F150" s="12">
        <f t="shared" si="4"/>
        <v>0</v>
      </c>
      <c r="G150" s="20"/>
      <c r="H150" s="20"/>
      <c r="I150" s="9"/>
      <c r="J150" s="9"/>
      <c r="K150" s="9"/>
    </row>
    <row r="151" spans="1:11" s="13" customFormat="1" ht="29.25" thickBot="1" x14ac:dyDescent="0.3">
      <c r="A151" s="19" t="s">
        <v>47</v>
      </c>
      <c r="B151" s="10"/>
      <c r="C151" s="14">
        <v>46282</v>
      </c>
      <c r="D151" s="11"/>
      <c r="E151" s="11"/>
      <c r="F151" s="12">
        <f t="shared" si="4"/>
        <v>0</v>
      </c>
      <c r="G151" s="20"/>
      <c r="H151" s="20"/>
      <c r="I151" s="9"/>
      <c r="J151" s="9"/>
      <c r="K151" s="9"/>
    </row>
    <row r="152" spans="1:11" s="13" customFormat="1" ht="29.25" thickBot="1" x14ac:dyDescent="0.3">
      <c r="A152" s="19" t="s">
        <v>47</v>
      </c>
      <c r="B152" s="10"/>
      <c r="C152" s="14">
        <v>46282</v>
      </c>
      <c r="D152" s="11"/>
      <c r="E152" s="11"/>
      <c r="F152" s="12">
        <f t="shared" si="4"/>
        <v>0</v>
      </c>
      <c r="G152" s="20"/>
      <c r="H152" s="20"/>
      <c r="I152" s="9"/>
      <c r="J152" s="9"/>
      <c r="K152" s="9"/>
    </row>
    <row r="153" spans="1:11" s="13" customFormat="1" ht="29.25" thickBot="1" x14ac:dyDescent="0.3">
      <c r="A153" s="19" t="s">
        <v>47</v>
      </c>
      <c r="B153" s="10"/>
      <c r="C153" s="14">
        <v>46282</v>
      </c>
      <c r="D153" s="11"/>
      <c r="E153" s="11"/>
      <c r="F153" s="12">
        <f t="shared" si="4"/>
        <v>0</v>
      </c>
      <c r="G153" s="20"/>
      <c r="H153" s="20"/>
      <c r="I153" s="9"/>
      <c r="J153" s="9"/>
      <c r="K153" s="9"/>
    </row>
    <row r="154" spans="1:11" s="13" customFormat="1" ht="29.25" thickBot="1" x14ac:dyDescent="0.3">
      <c r="A154" s="19" t="s">
        <v>47</v>
      </c>
      <c r="B154" s="10"/>
      <c r="C154" s="14">
        <v>46282</v>
      </c>
      <c r="D154" s="11"/>
      <c r="E154" s="11"/>
      <c r="F154" s="12">
        <f t="shared" si="4"/>
        <v>0</v>
      </c>
      <c r="G154" s="20"/>
      <c r="H154" s="20"/>
      <c r="I154" s="9"/>
      <c r="J154" s="9"/>
      <c r="K154" s="9"/>
    </row>
    <row r="155" spans="1:11" s="13" customFormat="1" ht="29.25" thickBot="1" x14ac:dyDescent="0.3">
      <c r="A155" s="19" t="s">
        <v>47</v>
      </c>
      <c r="B155" s="10"/>
      <c r="C155" s="14">
        <v>46283</v>
      </c>
      <c r="D155" s="11"/>
      <c r="E155" s="11"/>
      <c r="F155" s="12">
        <f t="shared" si="4"/>
        <v>0</v>
      </c>
      <c r="G155" s="20"/>
      <c r="H155" s="20"/>
      <c r="I155" s="9"/>
      <c r="J155" s="9"/>
      <c r="K155" s="9"/>
    </row>
    <row r="156" spans="1:11" s="13" customFormat="1" ht="29.25" thickBot="1" x14ac:dyDescent="0.3">
      <c r="A156" s="19" t="s">
        <v>47</v>
      </c>
      <c r="B156" s="10"/>
      <c r="C156" s="14">
        <v>46283</v>
      </c>
      <c r="D156" s="11"/>
      <c r="E156" s="11"/>
      <c r="F156" s="12">
        <f t="shared" si="4"/>
        <v>0</v>
      </c>
      <c r="G156" s="20"/>
      <c r="H156" s="20"/>
      <c r="I156" s="9"/>
      <c r="J156" s="9"/>
      <c r="K156" s="9"/>
    </row>
    <row r="157" spans="1:11" s="13" customFormat="1" ht="29.25" thickBot="1" x14ac:dyDescent="0.3">
      <c r="A157" s="19" t="s">
        <v>47</v>
      </c>
      <c r="B157" s="10"/>
      <c r="C157" s="14">
        <v>46283</v>
      </c>
      <c r="D157" s="11"/>
      <c r="E157" s="11"/>
      <c r="F157" s="12">
        <f t="shared" si="4"/>
        <v>0</v>
      </c>
      <c r="G157" s="20"/>
      <c r="H157" s="20"/>
      <c r="I157" s="9"/>
      <c r="J157" s="9"/>
      <c r="K157" s="9"/>
    </row>
    <row r="158" spans="1:11" s="13" customFormat="1" ht="29.25" thickBot="1" x14ac:dyDescent="0.3">
      <c r="A158" s="19" t="s">
        <v>47</v>
      </c>
      <c r="B158" s="10"/>
      <c r="C158" s="14">
        <v>46283</v>
      </c>
      <c r="D158" s="11"/>
      <c r="E158" s="11"/>
      <c r="F158" s="12">
        <f t="shared" si="4"/>
        <v>0</v>
      </c>
      <c r="G158" s="20"/>
      <c r="H158" s="20"/>
      <c r="I158" s="9"/>
      <c r="J158" s="9"/>
      <c r="K158" s="9"/>
    </row>
    <row r="159" spans="1:11" s="13" customFormat="1" ht="29.25" thickBot="1" x14ac:dyDescent="0.3">
      <c r="A159" s="19" t="s">
        <v>47</v>
      </c>
      <c r="B159" s="10"/>
      <c r="C159" s="14">
        <v>46283</v>
      </c>
      <c r="D159" s="11"/>
      <c r="E159" s="11"/>
      <c r="F159" s="12">
        <f t="shared" si="4"/>
        <v>0</v>
      </c>
      <c r="G159" s="20"/>
      <c r="H159" s="20"/>
      <c r="I159" s="9"/>
      <c r="J159" s="9"/>
      <c r="K159" s="9"/>
    </row>
    <row r="160" spans="1:11" s="13" customFormat="1" ht="29.25" thickBot="1" x14ac:dyDescent="0.3">
      <c r="A160" s="19" t="s">
        <v>47</v>
      </c>
      <c r="B160" s="10"/>
      <c r="C160" s="14">
        <v>46283</v>
      </c>
      <c r="D160" s="11"/>
      <c r="E160" s="11"/>
      <c r="F160" s="12">
        <f t="shared" si="4"/>
        <v>0</v>
      </c>
      <c r="G160" s="20"/>
      <c r="H160" s="20"/>
      <c r="I160" s="9"/>
      <c r="J160" s="9"/>
      <c r="K160" s="9"/>
    </row>
    <row r="161" spans="1:11" s="13" customFormat="1" ht="29.25" thickBot="1" x14ac:dyDescent="0.3">
      <c r="A161" s="19" t="s">
        <v>47</v>
      </c>
      <c r="B161" s="10"/>
      <c r="C161" s="14">
        <v>46283</v>
      </c>
      <c r="D161" s="11"/>
      <c r="E161" s="11"/>
      <c r="F161" s="12">
        <f t="shared" si="4"/>
        <v>0</v>
      </c>
      <c r="G161" s="20"/>
      <c r="H161" s="20"/>
      <c r="I161" s="9"/>
      <c r="J161" s="9"/>
      <c r="K161" s="9"/>
    </row>
    <row r="162" spans="1:11" s="13" customFormat="1" ht="29.25" thickBot="1" x14ac:dyDescent="0.3">
      <c r="A162" s="19" t="s">
        <v>47</v>
      </c>
      <c r="B162" s="10"/>
      <c r="C162" s="14">
        <v>46283</v>
      </c>
      <c r="D162" s="11"/>
      <c r="E162" s="11"/>
      <c r="F162" s="12">
        <f t="shared" si="4"/>
        <v>0</v>
      </c>
      <c r="G162" s="20"/>
      <c r="H162" s="20"/>
      <c r="I162" s="9"/>
      <c r="J162" s="9"/>
      <c r="K162" s="9"/>
    </row>
    <row r="163" spans="1:11" s="13" customFormat="1" ht="29.25" thickBot="1" x14ac:dyDescent="0.3">
      <c r="A163" s="19" t="s">
        <v>47</v>
      </c>
      <c r="B163" s="10"/>
      <c r="C163" s="14">
        <v>46283</v>
      </c>
      <c r="D163" s="11"/>
      <c r="E163" s="11"/>
      <c r="F163" s="12">
        <f t="shared" si="4"/>
        <v>0</v>
      </c>
      <c r="G163" s="20"/>
      <c r="H163" s="20"/>
      <c r="I163" s="9"/>
      <c r="J163" s="9"/>
      <c r="K163" s="9"/>
    </row>
    <row r="164" spans="1:11" s="13" customFormat="1" ht="29.25" thickBot="1" x14ac:dyDescent="0.3">
      <c r="A164" s="19" t="s">
        <v>47</v>
      </c>
      <c r="B164" s="10"/>
      <c r="C164" s="14">
        <v>46284</v>
      </c>
      <c r="D164" s="11">
        <v>0.35416666666666669</v>
      </c>
      <c r="E164" s="11">
        <v>0.6875</v>
      </c>
      <c r="F164" s="12">
        <f>+(E164-D164)*24</f>
        <v>8</v>
      </c>
      <c r="G164" s="20" t="s">
        <v>21</v>
      </c>
      <c r="H164" s="20" t="s">
        <v>30</v>
      </c>
      <c r="I164" s="9"/>
      <c r="J164" s="9" t="s">
        <v>71</v>
      </c>
      <c r="K164" s="9"/>
    </row>
    <row r="165" spans="1:11" s="13" customFormat="1" ht="29.25" thickBot="1" x14ac:dyDescent="0.3">
      <c r="A165" s="19" t="s">
        <v>47</v>
      </c>
      <c r="B165" s="10"/>
      <c r="C165" s="14">
        <v>46284</v>
      </c>
      <c r="D165" s="11"/>
      <c r="E165" s="11"/>
      <c r="F165" s="12"/>
      <c r="G165" s="20"/>
      <c r="H165" s="20"/>
      <c r="I165" s="9"/>
      <c r="J165" s="9"/>
      <c r="K165" s="9"/>
    </row>
    <row r="166" spans="1:11" s="13" customFormat="1" ht="29.25" thickBot="1" x14ac:dyDescent="0.3">
      <c r="A166" s="19" t="s">
        <v>47</v>
      </c>
      <c r="B166" s="10"/>
      <c r="C166" s="14">
        <v>46284</v>
      </c>
      <c r="D166" s="11"/>
      <c r="E166" s="11"/>
      <c r="F166" s="12">
        <f t="shared" ref="F166:F172" si="5">+(E166-D166)*24</f>
        <v>0</v>
      </c>
      <c r="G166" s="20"/>
      <c r="H166" s="20"/>
      <c r="I166" s="9"/>
      <c r="J166" s="9"/>
      <c r="K166" s="9"/>
    </row>
    <row r="167" spans="1:11" s="13" customFormat="1" ht="29.25" thickBot="1" x14ac:dyDescent="0.3">
      <c r="A167" s="19" t="s">
        <v>47</v>
      </c>
      <c r="B167" s="10"/>
      <c r="C167" s="14">
        <v>46284</v>
      </c>
      <c r="D167" s="11"/>
      <c r="E167" s="11"/>
      <c r="F167" s="12">
        <f t="shared" si="5"/>
        <v>0</v>
      </c>
      <c r="G167" s="20"/>
      <c r="H167" s="20"/>
      <c r="I167" s="9"/>
      <c r="J167" s="9"/>
      <c r="K167" s="9"/>
    </row>
    <row r="168" spans="1:11" s="13" customFormat="1" ht="29.25" thickBot="1" x14ac:dyDescent="0.3">
      <c r="A168" s="19" t="s">
        <v>47</v>
      </c>
      <c r="B168" s="10"/>
      <c r="C168" s="14">
        <v>46284</v>
      </c>
      <c r="D168" s="11"/>
      <c r="E168" s="11"/>
      <c r="F168" s="12">
        <f t="shared" si="5"/>
        <v>0</v>
      </c>
      <c r="G168" s="20"/>
      <c r="H168" s="20"/>
      <c r="I168" s="9"/>
      <c r="J168" s="9"/>
      <c r="K168" s="9"/>
    </row>
    <row r="169" spans="1:11" s="13" customFormat="1" ht="29.25" thickBot="1" x14ac:dyDescent="0.3">
      <c r="A169" s="19" t="s">
        <v>47</v>
      </c>
      <c r="B169" s="10"/>
      <c r="C169" s="14">
        <v>46284</v>
      </c>
      <c r="D169" s="11"/>
      <c r="E169" s="11"/>
      <c r="F169" s="12">
        <f t="shared" si="5"/>
        <v>0</v>
      </c>
      <c r="G169" s="20"/>
      <c r="H169" s="20"/>
      <c r="I169" s="9"/>
      <c r="J169" s="9"/>
      <c r="K169" s="9"/>
    </row>
    <row r="170" spans="1:11" s="13" customFormat="1" ht="29.25" thickBot="1" x14ac:dyDescent="0.3">
      <c r="A170" s="19" t="s">
        <v>47</v>
      </c>
      <c r="B170" s="10"/>
      <c r="C170" s="14">
        <v>46284</v>
      </c>
      <c r="D170" s="11"/>
      <c r="E170" s="11"/>
      <c r="F170" s="12">
        <f t="shared" si="5"/>
        <v>0</v>
      </c>
      <c r="G170" s="20"/>
      <c r="H170" s="20"/>
      <c r="I170" s="9"/>
      <c r="J170" s="9"/>
      <c r="K170" s="9"/>
    </row>
    <row r="171" spans="1:11" s="13" customFormat="1" ht="29.25" thickBot="1" x14ac:dyDescent="0.3">
      <c r="A171" s="19" t="s">
        <v>47</v>
      </c>
      <c r="B171" s="10"/>
      <c r="C171" s="14">
        <v>46284</v>
      </c>
      <c r="D171" s="11"/>
      <c r="E171" s="11"/>
      <c r="F171" s="12">
        <f t="shared" si="5"/>
        <v>0</v>
      </c>
      <c r="G171" s="20"/>
      <c r="H171" s="20"/>
      <c r="I171" s="9"/>
      <c r="J171" s="9"/>
      <c r="K171" s="9"/>
    </row>
    <row r="172" spans="1:11" s="13" customFormat="1" ht="29.25" thickBot="1" x14ac:dyDescent="0.3">
      <c r="A172" s="19" t="s">
        <v>47</v>
      </c>
      <c r="B172" s="10"/>
      <c r="C172" s="14">
        <v>46284</v>
      </c>
      <c r="D172" s="11"/>
      <c r="E172" s="11"/>
      <c r="F172" s="12">
        <f t="shared" si="5"/>
        <v>0</v>
      </c>
      <c r="G172" s="20"/>
      <c r="H172" s="20"/>
      <c r="I172" s="9"/>
      <c r="J172" s="9"/>
      <c r="K172" s="9"/>
    </row>
    <row r="173" spans="1:11" s="13" customFormat="1" ht="29.25" thickBot="1" x14ac:dyDescent="0.3">
      <c r="A173" s="19" t="s">
        <v>47</v>
      </c>
      <c r="B173" s="10"/>
      <c r="C173" s="14">
        <v>46285</v>
      </c>
      <c r="D173" s="11">
        <v>0.35416666666666669</v>
      </c>
      <c r="E173" s="11">
        <v>0.6875</v>
      </c>
      <c r="F173" s="12">
        <f>+(E173-D173)*24</f>
        <v>8</v>
      </c>
      <c r="G173" s="20" t="s">
        <v>21</v>
      </c>
      <c r="H173" s="20" t="s">
        <v>30</v>
      </c>
      <c r="I173" s="9"/>
      <c r="J173" s="9" t="s">
        <v>71</v>
      </c>
      <c r="K173" s="9"/>
    </row>
    <row r="174" spans="1:11" s="13" customFormat="1" ht="29.25" thickBot="1" x14ac:dyDescent="0.3">
      <c r="A174" s="19" t="s">
        <v>47</v>
      </c>
      <c r="B174" s="10"/>
      <c r="C174" s="14">
        <v>46285</v>
      </c>
      <c r="D174" s="11"/>
      <c r="E174" s="11"/>
      <c r="F174" s="12">
        <f t="shared" si="4"/>
        <v>0</v>
      </c>
      <c r="G174" s="20"/>
      <c r="H174" s="20"/>
      <c r="I174" s="9"/>
      <c r="J174" s="9"/>
      <c r="K174" s="9"/>
    </row>
    <row r="175" spans="1:11" s="13" customFormat="1" ht="29.25" thickBot="1" x14ac:dyDescent="0.3">
      <c r="A175" s="19" t="s">
        <v>47</v>
      </c>
      <c r="B175" s="10"/>
      <c r="C175" s="14">
        <v>46285</v>
      </c>
      <c r="D175" s="11"/>
      <c r="E175" s="11"/>
      <c r="F175" s="12">
        <f t="shared" si="4"/>
        <v>0</v>
      </c>
      <c r="G175" s="20"/>
      <c r="H175" s="20"/>
      <c r="I175" s="9"/>
      <c r="J175" s="9"/>
      <c r="K175" s="9"/>
    </row>
    <row r="176" spans="1:11" s="13" customFormat="1" ht="29.25" thickBot="1" x14ac:dyDescent="0.3">
      <c r="A176" s="19" t="s">
        <v>47</v>
      </c>
      <c r="B176" s="10"/>
      <c r="C176" s="14">
        <v>46285</v>
      </c>
      <c r="D176" s="11"/>
      <c r="E176" s="11"/>
      <c r="F176" s="12">
        <f t="shared" si="4"/>
        <v>0</v>
      </c>
      <c r="G176" s="20"/>
      <c r="H176" s="20"/>
      <c r="I176" s="9"/>
      <c r="J176" s="9"/>
      <c r="K176" s="9"/>
    </row>
    <row r="177" spans="1:11" s="13" customFormat="1" ht="29.25" thickBot="1" x14ac:dyDescent="0.3">
      <c r="A177" s="19" t="s">
        <v>47</v>
      </c>
      <c r="B177" s="10"/>
      <c r="C177" s="14">
        <v>46285</v>
      </c>
      <c r="D177" s="11"/>
      <c r="E177" s="11"/>
      <c r="F177" s="12">
        <f t="shared" si="4"/>
        <v>0</v>
      </c>
      <c r="G177" s="20"/>
      <c r="H177" s="20"/>
      <c r="I177" s="9"/>
      <c r="J177" s="9"/>
      <c r="K177" s="9"/>
    </row>
    <row r="178" spans="1:11" s="13" customFormat="1" ht="29.25" thickBot="1" x14ac:dyDescent="0.3">
      <c r="A178" s="19" t="s">
        <v>47</v>
      </c>
      <c r="B178" s="10"/>
      <c r="C178" s="14">
        <v>46285</v>
      </c>
      <c r="D178" s="11"/>
      <c r="E178" s="11"/>
      <c r="F178" s="12">
        <f t="shared" si="4"/>
        <v>0</v>
      </c>
      <c r="G178" s="20"/>
      <c r="H178" s="20"/>
      <c r="I178" s="9"/>
      <c r="J178" s="9"/>
      <c r="K178" s="9"/>
    </row>
    <row r="179" spans="1:11" s="13" customFormat="1" ht="29.25" thickBot="1" x14ac:dyDescent="0.3">
      <c r="A179" s="19" t="s">
        <v>47</v>
      </c>
      <c r="B179" s="10"/>
      <c r="C179" s="14">
        <v>46285</v>
      </c>
      <c r="D179" s="11"/>
      <c r="E179" s="11"/>
      <c r="F179" s="12">
        <f t="shared" si="4"/>
        <v>0</v>
      </c>
      <c r="G179" s="20"/>
      <c r="H179" s="20"/>
      <c r="I179" s="9"/>
      <c r="J179" s="9"/>
      <c r="K179" s="9"/>
    </row>
    <row r="180" spans="1:11" s="13" customFormat="1" ht="29.25" thickBot="1" x14ac:dyDescent="0.3">
      <c r="A180" s="19" t="s">
        <v>47</v>
      </c>
      <c r="B180" s="10"/>
      <c r="C180" s="14">
        <v>46285</v>
      </c>
      <c r="D180" s="11"/>
      <c r="E180" s="11"/>
      <c r="F180" s="12">
        <f t="shared" si="4"/>
        <v>0</v>
      </c>
      <c r="G180" s="20"/>
      <c r="H180" s="20"/>
      <c r="I180" s="9"/>
      <c r="J180" s="9"/>
      <c r="K180" s="9"/>
    </row>
    <row r="181" spans="1:11" s="13" customFormat="1" ht="29.25" thickBot="1" x14ac:dyDescent="0.3">
      <c r="A181" s="19" t="s">
        <v>47</v>
      </c>
      <c r="B181" s="10"/>
      <c r="C181" s="14">
        <v>46285</v>
      </c>
      <c r="D181" s="11"/>
      <c r="E181" s="11"/>
      <c r="F181" s="12">
        <f t="shared" si="4"/>
        <v>0</v>
      </c>
      <c r="G181" s="20"/>
      <c r="H181" s="20"/>
      <c r="I181" s="9"/>
      <c r="J181" s="9"/>
      <c r="K181" s="9"/>
    </row>
    <row r="182" spans="1:11" s="13" customFormat="1" ht="29.25" thickBot="1" x14ac:dyDescent="0.3">
      <c r="A182" s="19" t="s">
        <v>47</v>
      </c>
      <c r="B182" s="10"/>
      <c r="C182" s="14">
        <v>46286</v>
      </c>
      <c r="D182" s="11"/>
      <c r="E182" s="11"/>
      <c r="F182" s="12">
        <f t="shared" si="4"/>
        <v>0</v>
      </c>
      <c r="G182" s="20"/>
      <c r="H182" s="20"/>
      <c r="I182" s="9"/>
      <c r="J182" s="9"/>
      <c r="K182" s="9"/>
    </row>
    <row r="183" spans="1:11" s="13" customFormat="1" ht="29.25" thickBot="1" x14ac:dyDescent="0.3">
      <c r="A183" s="19" t="s">
        <v>47</v>
      </c>
      <c r="B183" s="10"/>
      <c r="C183" s="14">
        <v>46286</v>
      </c>
      <c r="D183" s="11"/>
      <c r="E183" s="11"/>
      <c r="F183" s="12">
        <f t="shared" si="4"/>
        <v>0</v>
      </c>
      <c r="G183" s="20"/>
      <c r="H183" s="20"/>
      <c r="I183" s="9"/>
      <c r="J183" s="9"/>
      <c r="K183" s="9"/>
    </row>
    <row r="184" spans="1:11" s="13" customFormat="1" ht="29.25" thickBot="1" x14ac:dyDescent="0.3">
      <c r="A184" s="19" t="s">
        <v>47</v>
      </c>
      <c r="B184" s="10"/>
      <c r="C184" s="14">
        <v>46286</v>
      </c>
      <c r="D184" s="11"/>
      <c r="E184" s="11"/>
      <c r="F184" s="12">
        <f t="shared" si="4"/>
        <v>0</v>
      </c>
      <c r="G184" s="20"/>
      <c r="H184" s="20"/>
      <c r="I184" s="9"/>
      <c r="J184" s="9"/>
      <c r="K184" s="9"/>
    </row>
    <row r="185" spans="1:11" s="13" customFormat="1" ht="29.25" thickBot="1" x14ac:dyDescent="0.3">
      <c r="A185" s="19" t="s">
        <v>47</v>
      </c>
      <c r="B185" s="10"/>
      <c r="C185" s="14">
        <v>46286</v>
      </c>
      <c r="D185" s="11"/>
      <c r="E185" s="11"/>
      <c r="F185" s="12">
        <f t="shared" si="4"/>
        <v>0</v>
      </c>
      <c r="G185" s="20"/>
      <c r="H185" s="20"/>
      <c r="I185" s="9"/>
      <c r="J185" s="9"/>
      <c r="K185" s="9"/>
    </row>
    <row r="186" spans="1:11" s="13" customFormat="1" ht="29.25" thickBot="1" x14ac:dyDescent="0.3">
      <c r="A186" s="19" t="s">
        <v>47</v>
      </c>
      <c r="B186" s="10"/>
      <c r="C186" s="14">
        <v>46286</v>
      </c>
      <c r="D186" s="11"/>
      <c r="E186" s="11"/>
      <c r="F186" s="12">
        <f t="shared" si="4"/>
        <v>0</v>
      </c>
      <c r="G186" s="20"/>
      <c r="H186" s="20"/>
      <c r="I186" s="9"/>
      <c r="J186" s="9"/>
      <c r="K186" s="9"/>
    </row>
    <row r="187" spans="1:11" s="13" customFormat="1" ht="29.25" thickBot="1" x14ac:dyDescent="0.3">
      <c r="A187" s="19" t="s">
        <v>47</v>
      </c>
      <c r="B187" s="10"/>
      <c r="C187" s="14">
        <v>46286</v>
      </c>
      <c r="D187" s="11"/>
      <c r="E187" s="11"/>
      <c r="F187" s="12">
        <f t="shared" si="4"/>
        <v>0</v>
      </c>
      <c r="G187" s="20"/>
      <c r="H187" s="20"/>
      <c r="I187" s="9"/>
      <c r="J187" s="9"/>
      <c r="K187" s="9"/>
    </row>
    <row r="188" spans="1:11" s="13" customFormat="1" ht="29.25" thickBot="1" x14ac:dyDescent="0.3">
      <c r="A188" s="19" t="s">
        <v>47</v>
      </c>
      <c r="B188" s="10"/>
      <c r="C188" s="14">
        <v>46286</v>
      </c>
      <c r="D188" s="11"/>
      <c r="E188" s="11"/>
      <c r="F188" s="12">
        <f t="shared" si="4"/>
        <v>0</v>
      </c>
      <c r="G188" s="20"/>
      <c r="H188" s="20"/>
      <c r="I188" s="9"/>
      <c r="J188" s="9"/>
      <c r="K188" s="9"/>
    </row>
    <row r="189" spans="1:11" s="13" customFormat="1" ht="29.25" thickBot="1" x14ac:dyDescent="0.3">
      <c r="A189" s="19" t="s">
        <v>47</v>
      </c>
      <c r="B189" s="10"/>
      <c r="C189" s="14">
        <v>46286</v>
      </c>
      <c r="D189" s="11"/>
      <c r="E189" s="11"/>
      <c r="F189" s="12">
        <f t="shared" si="4"/>
        <v>0</v>
      </c>
      <c r="G189" s="20"/>
      <c r="H189" s="20"/>
      <c r="I189" s="9"/>
      <c r="J189" s="9"/>
      <c r="K189" s="9"/>
    </row>
    <row r="190" spans="1:11" s="13" customFormat="1" ht="29.25" thickBot="1" x14ac:dyDescent="0.3">
      <c r="A190" s="19" t="s">
        <v>47</v>
      </c>
      <c r="B190" s="10"/>
      <c r="C190" s="14">
        <v>46287</v>
      </c>
      <c r="D190" s="11"/>
      <c r="E190" s="11"/>
      <c r="F190" s="12">
        <f t="shared" si="4"/>
        <v>0</v>
      </c>
      <c r="G190" s="20"/>
      <c r="H190" s="20"/>
      <c r="I190" s="9"/>
      <c r="J190" s="9"/>
      <c r="K190" s="9"/>
    </row>
    <row r="191" spans="1:11" s="13" customFormat="1" ht="29.25" thickBot="1" x14ac:dyDescent="0.3">
      <c r="A191" s="19" t="s">
        <v>47</v>
      </c>
      <c r="B191" s="10"/>
      <c r="C191" s="14">
        <v>46287</v>
      </c>
      <c r="D191" s="11"/>
      <c r="E191" s="11"/>
      <c r="F191" s="12">
        <f t="shared" si="4"/>
        <v>0</v>
      </c>
      <c r="G191" s="20"/>
      <c r="H191" s="20"/>
      <c r="I191" s="9"/>
      <c r="J191" s="9"/>
      <c r="K191" s="9"/>
    </row>
    <row r="192" spans="1:11" s="13" customFormat="1" ht="29.25" thickBot="1" x14ac:dyDescent="0.3">
      <c r="A192" s="19" t="s">
        <v>47</v>
      </c>
      <c r="B192" s="10"/>
      <c r="C192" s="14">
        <v>46287</v>
      </c>
      <c r="D192" s="11"/>
      <c r="E192" s="11"/>
      <c r="F192" s="12">
        <f t="shared" si="4"/>
        <v>0</v>
      </c>
      <c r="G192" s="20"/>
      <c r="H192" s="20"/>
      <c r="I192" s="9"/>
      <c r="J192" s="9"/>
      <c r="K192" s="9"/>
    </row>
    <row r="193" spans="1:11" s="13" customFormat="1" ht="29.25" thickBot="1" x14ac:dyDescent="0.3">
      <c r="A193" s="19" t="s">
        <v>47</v>
      </c>
      <c r="B193" s="10"/>
      <c r="C193" s="14">
        <v>46287</v>
      </c>
      <c r="D193" s="11"/>
      <c r="E193" s="11"/>
      <c r="F193" s="12">
        <f t="shared" si="4"/>
        <v>0</v>
      </c>
      <c r="G193" s="20"/>
      <c r="H193" s="20"/>
      <c r="I193" s="9"/>
      <c r="J193" s="9"/>
      <c r="K193" s="9"/>
    </row>
    <row r="194" spans="1:11" s="13" customFormat="1" ht="29.25" thickBot="1" x14ac:dyDescent="0.3">
      <c r="A194" s="19" t="s">
        <v>47</v>
      </c>
      <c r="B194" s="10"/>
      <c r="C194" s="14">
        <v>46287</v>
      </c>
      <c r="D194" s="11"/>
      <c r="E194" s="11"/>
      <c r="F194" s="12">
        <f t="shared" si="4"/>
        <v>0</v>
      </c>
      <c r="G194" s="20"/>
      <c r="H194" s="20"/>
      <c r="I194" s="9"/>
      <c r="J194" s="9"/>
      <c r="K194" s="9"/>
    </row>
    <row r="195" spans="1:11" s="13" customFormat="1" ht="29.25" thickBot="1" x14ac:dyDescent="0.3">
      <c r="A195" s="19" t="s">
        <v>47</v>
      </c>
      <c r="B195" s="10"/>
      <c r="C195" s="14">
        <v>46287</v>
      </c>
      <c r="D195" s="11"/>
      <c r="E195" s="11"/>
      <c r="F195" s="12">
        <f t="shared" si="4"/>
        <v>0</v>
      </c>
      <c r="G195" s="20"/>
      <c r="H195" s="20"/>
      <c r="I195" s="9"/>
      <c r="J195" s="9"/>
      <c r="K195" s="9"/>
    </row>
    <row r="196" spans="1:11" s="13" customFormat="1" ht="29.25" thickBot="1" x14ac:dyDescent="0.3">
      <c r="A196" s="19" t="s">
        <v>47</v>
      </c>
      <c r="B196" s="10"/>
      <c r="C196" s="14">
        <v>46287</v>
      </c>
      <c r="D196" s="11"/>
      <c r="E196" s="11"/>
      <c r="F196" s="12">
        <f t="shared" si="4"/>
        <v>0</v>
      </c>
      <c r="G196" s="20"/>
      <c r="H196" s="20"/>
      <c r="I196" s="9"/>
      <c r="J196" s="9"/>
      <c r="K196" s="9"/>
    </row>
    <row r="197" spans="1:11" s="13" customFormat="1" ht="29.25" thickBot="1" x14ac:dyDescent="0.3">
      <c r="A197" s="19" t="s">
        <v>47</v>
      </c>
      <c r="B197" s="10"/>
      <c r="C197" s="14">
        <v>46287</v>
      </c>
      <c r="D197" s="11"/>
      <c r="E197" s="11"/>
      <c r="F197" s="12">
        <f t="shared" si="4"/>
        <v>0</v>
      </c>
      <c r="G197" s="20"/>
      <c r="H197" s="20"/>
      <c r="I197" s="9"/>
      <c r="J197" s="9"/>
      <c r="K197" s="9"/>
    </row>
    <row r="198" spans="1:11" s="13" customFormat="1" ht="29.25" thickBot="1" x14ac:dyDescent="0.3">
      <c r="A198" s="19" t="s">
        <v>47</v>
      </c>
      <c r="B198" s="10"/>
      <c r="C198" s="14">
        <v>46287</v>
      </c>
      <c r="D198" s="11"/>
      <c r="E198" s="11"/>
      <c r="F198" s="12">
        <f t="shared" ref="F198:F261" si="6">+(E198-D198)*24</f>
        <v>0</v>
      </c>
      <c r="G198" s="20"/>
      <c r="H198" s="20"/>
      <c r="I198" s="9"/>
      <c r="J198" s="9"/>
      <c r="K198" s="9"/>
    </row>
    <row r="199" spans="1:11" s="13" customFormat="1" ht="29.25" thickBot="1" x14ac:dyDescent="0.3">
      <c r="A199" s="19" t="s">
        <v>47</v>
      </c>
      <c r="B199" s="10"/>
      <c r="C199" s="14">
        <v>46288</v>
      </c>
      <c r="D199" s="11"/>
      <c r="E199" s="11"/>
      <c r="F199" s="12">
        <f t="shared" si="6"/>
        <v>0</v>
      </c>
      <c r="G199" s="20"/>
      <c r="H199" s="20"/>
      <c r="I199" s="9"/>
      <c r="J199" s="9"/>
      <c r="K199" s="9"/>
    </row>
    <row r="200" spans="1:11" s="13" customFormat="1" ht="29.25" thickBot="1" x14ac:dyDescent="0.3">
      <c r="A200" s="19" t="s">
        <v>47</v>
      </c>
      <c r="B200" s="10"/>
      <c r="C200" s="14">
        <v>46288</v>
      </c>
      <c r="D200" s="11"/>
      <c r="E200" s="11"/>
      <c r="F200" s="12">
        <f t="shared" si="6"/>
        <v>0</v>
      </c>
      <c r="G200" s="20"/>
      <c r="H200" s="20"/>
      <c r="I200" s="9"/>
      <c r="J200" s="9"/>
      <c r="K200" s="9"/>
    </row>
    <row r="201" spans="1:11" s="13" customFormat="1" ht="29.25" thickBot="1" x14ac:dyDescent="0.3">
      <c r="A201" s="19" t="s">
        <v>47</v>
      </c>
      <c r="B201" s="10"/>
      <c r="C201" s="14">
        <v>46288</v>
      </c>
      <c r="D201" s="11"/>
      <c r="E201" s="11"/>
      <c r="F201" s="12">
        <f t="shared" si="6"/>
        <v>0</v>
      </c>
      <c r="G201" s="20"/>
      <c r="H201" s="20"/>
      <c r="I201" s="9"/>
      <c r="J201" s="9"/>
      <c r="K201" s="9"/>
    </row>
    <row r="202" spans="1:11" s="13" customFormat="1" ht="29.25" thickBot="1" x14ac:dyDescent="0.3">
      <c r="A202" s="19" t="s">
        <v>47</v>
      </c>
      <c r="B202" s="10"/>
      <c r="C202" s="14">
        <v>46288</v>
      </c>
      <c r="D202" s="11"/>
      <c r="E202" s="11"/>
      <c r="F202" s="12">
        <f t="shared" si="6"/>
        <v>0</v>
      </c>
      <c r="G202" s="20"/>
      <c r="H202" s="20"/>
      <c r="I202" s="9"/>
      <c r="J202" s="9"/>
      <c r="K202" s="9"/>
    </row>
    <row r="203" spans="1:11" s="13" customFormat="1" ht="29.25" thickBot="1" x14ac:dyDescent="0.3">
      <c r="A203" s="19" t="s">
        <v>47</v>
      </c>
      <c r="B203" s="10"/>
      <c r="C203" s="14">
        <v>46288</v>
      </c>
      <c r="D203" s="11"/>
      <c r="E203" s="11"/>
      <c r="F203" s="12">
        <f t="shared" si="6"/>
        <v>0</v>
      </c>
      <c r="G203" s="20"/>
      <c r="H203" s="20"/>
      <c r="I203" s="9"/>
      <c r="J203" s="9"/>
      <c r="K203" s="9"/>
    </row>
    <row r="204" spans="1:11" s="13" customFormat="1" ht="29.25" thickBot="1" x14ac:dyDescent="0.3">
      <c r="A204" s="19" t="s">
        <v>47</v>
      </c>
      <c r="B204" s="10"/>
      <c r="C204" s="14">
        <v>46288</v>
      </c>
      <c r="D204" s="11"/>
      <c r="E204" s="11"/>
      <c r="F204" s="12">
        <f t="shared" si="6"/>
        <v>0</v>
      </c>
      <c r="G204" s="20"/>
      <c r="H204" s="20"/>
      <c r="I204" s="9"/>
      <c r="J204" s="9"/>
      <c r="K204" s="9"/>
    </row>
    <row r="205" spans="1:11" s="13" customFormat="1" ht="29.25" thickBot="1" x14ac:dyDescent="0.3">
      <c r="A205" s="19" t="s">
        <v>47</v>
      </c>
      <c r="B205" s="10"/>
      <c r="C205" s="14">
        <v>46288</v>
      </c>
      <c r="D205" s="11"/>
      <c r="E205" s="11"/>
      <c r="F205" s="12">
        <f t="shared" si="6"/>
        <v>0</v>
      </c>
      <c r="G205" s="20"/>
      <c r="H205" s="20"/>
      <c r="I205" s="9"/>
      <c r="J205" s="9"/>
      <c r="K205" s="9"/>
    </row>
    <row r="206" spans="1:11" s="13" customFormat="1" ht="29.25" thickBot="1" x14ac:dyDescent="0.3">
      <c r="A206" s="19" t="s">
        <v>47</v>
      </c>
      <c r="B206" s="10"/>
      <c r="C206" s="14">
        <v>46288</v>
      </c>
      <c r="D206" s="11"/>
      <c r="E206" s="11"/>
      <c r="F206" s="12">
        <f t="shared" si="6"/>
        <v>0</v>
      </c>
      <c r="G206" s="20"/>
      <c r="H206" s="20"/>
      <c r="I206" s="9"/>
      <c r="J206" s="9"/>
      <c r="K206" s="9"/>
    </row>
    <row r="207" spans="1:11" s="13" customFormat="1" ht="29.25" thickBot="1" x14ac:dyDescent="0.3">
      <c r="A207" s="19" t="s">
        <v>47</v>
      </c>
      <c r="B207" s="10"/>
      <c r="C207" s="14">
        <v>46288</v>
      </c>
      <c r="D207" s="11"/>
      <c r="E207" s="11"/>
      <c r="F207" s="12">
        <f t="shared" si="6"/>
        <v>0</v>
      </c>
      <c r="G207" s="20"/>
      <c r="H207" s="20"/>
      <c r="I207" s="9"/>
      <c r="J207" s="9"/>
      <c r="K207" s="9"/>
    </row>
    <row r="208" spans="1:11" s="13" customFormat="1" ht="29.25" thickBot="1" x14ac:dyDescent="0.3">
      <c r="A208" s="19" t="s">
        <v>47</v>
      </c>
      <c r="B208" s="10"/>
      <c r="C208" s="14">
        <v>46289</v>
      </c>
      <c r="D208" s="11"/>
      <c r="E208" s="11"/>
      <c r="F208" s="12">
        <f t="shared" si="6"/>
        <v>0</v>
      </c>
      <c r="G208" s="20"/>
      <c r="H208" s="20"/>
      <c r="I208" s="9"/>
      <c r="J208" s="9"/>
      <c r="K208" s="9"/>
    </row>
    <row r="209" spans="1:11" s="13" customFormat="1" ht="29.25" thickBot="1" x14ac:dyDescent="0.3">
      <c r="A209" s="19" t="s">
        <v>47</v>
      </c>
      <c r="B209" s="10"/>
      <c r="C209" s="14">
        <v>46289</v>
      </c>
      <c r="D209" s="11"/>
      <c r="E209" s="11"/>
      <c r="F209" s="12">
        <f t="shared" si="6"/>
        <v>0</v>
      </c>
      <c r="G209" s="20"/>
      <c r="H209" s="20"/>
      <c r="I209" s="9"/>
      <c r="J209" s="9"/>
      <c r="K209" s="9"/>
    </row>
    <row r="210" spans="1:11" s="13" customFormat="1" ht="29.25" thickBot="1" x14ac:dyDescent="0.3">
      <c r="A210" s="19" t="s">
        <v>47</v>
      </c>
      <c r="B210" s="10"/>
      <c r="C210" s="14">
        <v>46289</v>
      </c>
      <c r="D210" s="11"/>
      <c r="E210" s="11"/>
      <c r="F210" s="12">
        <f t="shared" si="6"/>
        <v>0</v>
      </c>
      <c r="G210" s="20"/>
      <c r="H210" s="20"/>
      <c r="I210" s="9"/>
      <c r="J210" s="9"/>
      <c r="K210" s="9"/>
    </row>
    <row r="211" spans="1:11" s="13" customFormat="1" ht="29.25" thickBot="1" x14ac:dyDescent="0.3">
      <c r="A211" s="19" t="s">
        <v>47</v>
      </c>
      <c r="B211" s="10"/>
      <c r="C211" s="14">
        <v>46289</v>
      </c>
      <c r="D211" s="11"/>
      <c r="E211" s="11"/>
      <c r="F211" s="12">
        <f t="shared" si="6"/>
        <v>0</v>
      </c>
      <c r="G211" s="20"/>
      <c r="H211" s="20"/>
      <c r="I211" s="9"/>
      <c r="J211" s="9"/>
      <c r="K211" s="9"/>
    </row>
    <row r="212" spans="1:11" s="13" customFormat="1" ht="29.25" thickBot="1" x14ac:dyDescent="0.3">
      <c r="A212" s="19" t="s">
        <v>47</v>
      </c>
      <c r="B212" s="10"/>
      <c r="C212" s="14">
        <v>46289</v>
      </c>
      <c r="D212" s="11"/>
      <c r="E212" s="11"/>
      <c r="F212" s="12">
        <f t="shared" si="6"/>
        <v>0</v>
      </c>
      <c r="G212" s="20"/>
      <c r="H212" s="20"/>
      <c r="I212" s="9"/>
      <c r="J212" s="9"/>
      <c r="K212" s="9"/>
    </row>
    <row r="213" spans="1:11" s="13" customFormat="1" ht="29.25" thickBot="1" x14ac:dyDescent="0.3">
      <c r="A213" s="19" t="s">
        <v>47</v>
      </c>
      <c r="B213" s="10"/>
      <c r="C213" s="14">
        <v>46289</v>
      </c>
      <c r="D213" s="11"/>
      <c r="E213" s="11"/>
      <c r="F213" s="12">
        <f t="shared" si="6"/>
        <v>0</v>
      </c>
      <c r="G213" s="20"/>
      <c r="H213" s="20"/>
      <c r="I213" s="9"/>
      <c r="J213" s="9"/>
      <c r="K213" s="9"/>
    </row>
    <row r="214" spans="1:11" s="13" customFormat="1" ht="29.25" thickBot="1" x14ac:dyDescent="0.3">
      <c r="A214" s="19" t="s">
        <v>47</v>
      </c>
      <c r="B214" s="10"/>
      <c r="C214" s="14">
        <v>46289</v>
      </c>
      <c r="D214" s="11"/>
      <c r="E214" s="11"/>
      <c r="F214" s="12">
        <f t="shared" si="6"/>
        <v>0</v>
      </c>
      <c r="G214" s="20"/>
      <c r="H214" s="20"/>
      <c r="I214" s="9"/>
      <c r="J214" s="9"/>
      <c r="K214" s="9"/>
    </row>
    <row r="215" spans="1:11" s="13" customFormat="1" ht="29.25" thickBot="1" x14ac:dyDescent="0.3">
      <c r="A215" s="19" t="s">
        <v>47</v>
      </c>
      <c r="B215" s="10"/>
      <c r="C215" s="14">
        <v>46289</v>
      </c>
      <c r="D215" s="11"/>
      <c r="E215" s="11"/>
      <c r="F215" s="12">
        <f t="shared" si="6"/>
        <v>0</v>
      </c>
      <c r="G215" s="20"/>
      <c r="H215" s="20"/>
      <c r="I215" s="9"/>
      <c r="J215" s="9"/>
      <c r="K215" s="9"/>
    </row>
    <row r="216" spans="1:11" s="13" customFormat="1" ht="29.25" thickBot="1" x14ac:dyDescent="0.3">
      <c r="A216" s="19" t="s">
        <v>47</v>
      </c>
      <c r="B216" s="10"/>
      <c r="C216" s="14">
        <v>46289</v>
      </c>
      <c r="D216" s="11"/>
      <c r="E216" s="11"/>
      <c r="F216" s="12">
        <f t="shared" si="6"/>
        <v>0</v>
      </c>
      <c r="G216" s="20"/>
      <c r="H216" s="20"/>
      <c r="I216" s="9"/>
      <c r="J216" s="9"/>
      <c r="K216" s="9"/>
    </row>
    <row r="217" spans="1:11" s="13" customFormat="1" ht="29.25" thickBot="1" x14ac:dyDescent="0.3">
      <c r="A217" s="19" t="s">
        <v>47</v>
      </c>
      <c r="B217" s="10"/>
      <c r="C217" s="14">
        <v>46290</v>
      </c>
      <c r="D217" s="11"/>
      <c r="E217" s="11"/>
      <c r="F217" s="12">
        <f t="shared" si="6"/>
        <v>0</v>
      </c>
      <c r="G217" s="20"/>
      <c r="H217" s="20"/>
      <c r="I217" s="9"/>
      <c r="J217" s="9"/>
      <c r="K217" s="9"/>
    </row>
    <row r="218" spans="1:11" s="13" customFormat="1" ht="29.25" thickBot="1" x14ac:dyDescent="0.3">
      <c r="A218" s="19" t="s">
        <v>47</v>
      </c>
      <c r="B218" s="10"/>
      <c r="C218" s="14">
        <v>46290</v>
      </c>
      <c r="D218" s="11"/>
      <c r="E218" s="11"/>
      <c r="F218" s="12">
        <f t="shared" si="6"/>
        <v>0</v>
      </c>
      <c r="G218" s="20"/>
      <c r="H218" s="20"/>
      <c r="I218" s="9"/>
      <c r="J218" s="9"/>
      <c r="K218" s="9"/>
    </row>
    <row r="219" spans="1:11" ht="29.25" thickBot="1" x14ac:dyDescent="0.25">
      <c r="A219" s="19" t="s">
        <v>47</v>
      </c>
      <c r="B219" s="10"/>
      <c r="C219" s="14">
        <v>46290</v>
      </c>
      <c r="D219" s="11"/>
      <c r="E219" s="11"/>
      <c r="F219" s="12">
        <f t="shared" si="6"/>
        <v>0</v>
      </c>
      <c r="G219" s="20"/>
      <c r="H219" s="20"/>
      <c r="I219" s="9"/>
      <c r="J219" s="9"/>
      <c r="K219" s="9"/>
    </row>
    <row r="220" spans="1:11" ht="29.25" thickBot="1" x14ac:dyDescent="0.25">
      <c r="A220" s="19" t="s">
        <v>47</v>
      </c>
      <c r="B220" s="10"/>
      <c r="C220" s="14">
        <v>46290</v>
      </c>
      <c r="D220" s="11"/>
      <c r="E220" s="11"/>
      <c r="F220" s="12">
        <f t="shared" si="6"/>
        <v>0</v>
      </c>
      <c r="G220" s="20"/>
      <c r="H220" s="20"/>
      <c r="I220" s="9"/>
      <c r="J220" s="9"/>
      <c r="K220" s="9"/>
    </row>
    <row r="221" spans="1:11" ht="29.25" thickBot="1" x14ac:dyDescent="0.25">
      <c r="A221" s="19" t="s">
        <v>47</v>
      </c>
      <c r="B221" s="10"/>
      <c r="C221" s="14">
        <v>46290</v>
      </c>
      <c r="D221" s="11"/>
      <c r="E221" s="11"/>
      <c r="F221" s="12">
        <f t="shared" si="6"/>
        <v>0</v>
      </c>
      <c r="G221" s="20"/>
      <c r="H221" s="20"/>
      <c r="I221" s="9"/>
      <c r="J221" s="9"/>
      <c r="K221" s="9"/>
    </row>
    <row r="222" spans="1:11" ht="29.25" thickBot="1" x14ac:dyDescent="0.25">
      <c r="A222" s="19" t="s">
        <v>47</v>
      </c>
      <c r="B222" s="10"/>
      <c r="C222" s="14">
        <v>46290</v>
      </c>
      <c r="D222" s="11"/>
      <c r="E222" s="11"/>
      <c r="F222" s="12">
        <f t="shared" si="6"/>
        <v>0</v>
      </c>
      <c r="G222" s="20"/>
      <c r="H222" s="20"/>
      <c r="I222" s="9"/>
      <c r="J222" s="9"/>
      <c r="K222" s="9"/>
    </row>
    <row r="223" spans="1:11" ht="29.25" thickBot="1" x14ac:dyDescent="0.25">
      <c r="A223" s="19" t="s">
        <v>47</v>
      </c>
      <c r="B223" s="10"/>
      <c r="C223" s="14">
        <v>46290</v>
      </c>
      <c r="D223" s="11"/>
      <c r="E223" s="11"/>
      <c r="F223" s="12">
        <f t="shared" si="6"/>
        <v>0</v>
      </c>
      <c r="G223" s="20"/>
      <c r="H223" s="20"/>
      <c r="I223" s="9"/>
      <c r="J223" s="9"/>
      <c r="K223" s="9"/>
    </row>
    <row r="224" spans="1:11" ht="29.25" thickBot="1" x14ac:dyDescent="0.25">
      <c r="A224" s="19" t="s">
        <v>47</v>
      </c>
      <c r="B224" s="10"/>
      <c r="C224" s="14">
        <v>46290</v>
      </c>
      <c r="D224" s="11"/>
      <c r="E224" s="11"/>
      <c r="F224" s="12">
        <f t="shared" si="6"/>
        <v>0</v>
      </c>
      <c r="G224" s="20"/>
      <c r="H224" s="20"/>
      <c r="I224" s="9"/>
      <c r="J224" s="9"/>
      <c r="K224" s="9"/>
    </row>
    <row r="225" spans="1:11" ht="29.25" thickBot="1" x14ac:dyDescent="0.25">
      <c r="A225" s="19" t="s">
        <v>47</v>
      </c>
      <c r="B225" s="10"/>
      <c r="C225" s="14">
        <v>46290</v>
      </c>
      <c r="D225" s="11"/>
      <c r="E225" s="11"/>
      <c r="F225" s="12">
        <f t="shared" si="6"/>
        <v>0</v>
      </c>
      <c r="G225" s="20"/>
      <c r="H225" s="20"/>
      <c r="I225" s="9"/>
      <c r="J225" s="9"/>
      <c r="K225" s="9"/>
    </row>
    <row r="226" spans="1:11" ht="29.25" thickBot="1" x14ac:dyDescent="0.25">
      <c r="A226" s="19" t="s">
        <v>47</v>
      </c>
      <c r="B226" s="10"/>
      <c r="C226" s="14">
        <v>46291</v>
      </c>
      <c r="D226" s="11">
        <v>0.35416666666666669</v>
      </c>
      <c r="E226" s="11">
        <v>0.6875</v>
      </c>
      <c r="F226" s="12">
        <f>+(E226-D226)*24</f>
        <v>8</v>
      </c>
      <c r="G226" s="20" t="s">
        <v>21</v>
      </c>
      <c r="H226" s="20" t="s">
        <v>30</v>
      </c>
      <c r="I226" s="9"/>
      <c r="J226" s="9" t="s">
        <v>71</v>
      </c>
      <c r="K226" s="9"/>
    </row>
    <row r="227" spans="1:11" ht="29.25" thickBot="1" x14ac:dyDescent="0.25">
      <c r="A227" s="19" t="s">
        <v>47</v>
      </c>
      <c r="B227" s="10"/>
      <c r="C227" s="14">
        <v>46291</v>
      </c>
      <c r="D227" s="11"/>
      <c r="E227" s="11"/>
      <c r="F227" s="12"/>
      <c r="G227" s="20"/>
      <c r="H227" s="20"/>
      <c r="I227" s="9"/>
      <c r="J227" s="9"/>
      <c r="K227" s="9"/>
    </row>
    <row r="228" spans="1:11" ht="29.25" thickBot="1" x14ac:dyDescent="0.25">
      <c r="A228" s="19" t="s">
        <v>47</v>
      </c>
      <c r="B228" s="10"/>
      <c r="C228" s="14">
        <v>46291</v>
      </c>
      <c r="D228" s="11"/>
      <c r="E228" s="11"/>
      <c r="F228" s="12">
        <f t="shared" ref="F228:F234" si="7">+(E228-D228)*24</f>
        <v>0</v>
      </c>
      <c r="G228" s="20"/>
      <c r="H228" s="20"/>
      <c r="I228" s="9"/>
      <c r="J228" s="9"/>
      <c r="K228" s="9"/>
    </row>
    <row r="229" spans="1:11" ht="29.25" thickBot="1" x14ac:dyDescent="0.25">
      <c r="A229" s="19" t="s">
        <v>47</v>
      </c>
      <c r="B229" s="10"/>
      <c r="C229" s="14">
        <v>46291</v>
      </c>
      <c r="D229" s="11"/>
      <c r="E229" s="11"/>
      <c r="F229" s="12">
        <f t="shared" si="7"/>
        <v>0</v>
      </c>
      <c r="G229" s="20"/>
      <c r="H229" s="20"/>
      <c r="I229" s="9"/>
      <c r="J229" s="9"/>
      <c r="K229" s="9"/>
    </row>
    <row r="230" spans="1:11" ht="29.25" thickBot="1" x14ac:dyDescent="0.25">
      <c r="A230" s="19" t="s">
        <v>47</v>
      </c>
      <c r="B230" s="10"/>
      <c r="C230" s="14">
        <v>46291</v>
      </c>
      <c r="D230" s="11"/>
      <c r="E230" s="11"/>
      <c r="F230" s="12">
        <f t="shared" si="7"/>
        <v>0</v>
      </c>
      <c r="G230" s="20"/>
      <c r="H230" s="20"/>
      <c r="I230" s="9"/>
      <c r="J230" s="9"/>
      <c r="K230" s="9"/>
    </row>
    <row r="231" spans="1:11" ht="29.25" thickBot="1" x14ac:dyDescent="0.25">
      <c r="A231" s="19" t="s">
        <v>47</v>
      </c>
      <c r="B231" s="10"/>
      <c r="C231" s="14">
        <v>46291</v>
      </c>
      <c r="D231" s="11"/>
      <c r="E231" s="11"/>
      <c r="F231" s="12">
        <f t="shared" si="7"/>
        <v>0</v>
      </c>
      <c r="G231" s="20"/>
      <c r="H231" s="20"/>
      <c r="I231" s="9"/>
      <c r="J231" s="9"/>
      <c r="K231" s="9"/>
    </row>
    <row r="232" spans="1:11" ht="29.25" thickBot="1" x14ac:dyDescent="0.25">
      <c r="A232" s="19" t="s">
        <v>47</v>
      </c>
      <c r="B232" s="10"/>
      <c r="C232" s="14">
        <v>46291</v>
      </c>
      <c r="D232" s="11"/>
      <c r="E232" s="11"/>
      <c r="F232" s="12">
        <f t="shared" si="7"/>
        <v>0</v>
      </c>
      <c r="G232" s="20"/>
      <c r="H232" s="20"/>
      <c r="I232" s="9"/>
      <c r="J232" s="9"/>
      <c r="K232" s="9"/>
    </row>
    <row r="233" spans="1:11" ht="29.25" thickBot="1" x14ac:dyDescent="0.25">
      <c r="A233" s="19" t="s">
        <v>47</v>
      </c>
      <c r="B233" s="10"/>
      <c r="C233" s="14">
        <v>46291</v>
      </c>
      <c r="D233" s="11"/>
      <c r="E233" s="11"/>
      <c r="F233" s="12">
        <f t="shared" si="7"/>
        <v>0</v>
      </c>
      <c r="G233" s="20"/>
      <c r="H233" s="20"/>
      <c r="I233" s="9"/>
      <c r="J233" s="9"/>
      <c r="K233" s="9"/>
    </row>
    <row r="234" spans="1:11" ht="29.25" thickBot="1" x14ac:dyDescent="0.25">
      <c r="A234" s="19" t="s">
        <v>47</v>
      </c>
      <c r="B234" s="10"/>
      <c r="C234" s="14">
        <v>46291</v>
      </c>
      <c r="D234" s="11"/>
      <c r="E234" s="11"/>
      <c r="F234" s="12">
        <f t="shared" si="7"/>
        <v>0</v>
      </c>
      <c r="G234" s="20"/>
      <c r="H234" s="20"/>
      <c r="I234" s="9"/>
      <c r="J234" s="9"/>
      <c r="K234" s="9"/>
    </row>
    <row r="235" spans="1:11" ht="29.25" thickBot="1" x14ac:dyDescent="0.25">
      <c r="A235" s="19" t="s">
        <v>47</v>
      </c>
      <c r="B235" s="10"/>
      <c r="C235" s="14">
        <v>46292</v>
      </c>
      <c r="D235" s="11">
        <v>0.35416666666666669</v>
      </c>
      <c r="E235" s="11">
        <v>0.6875</v>
      </c>
      <c r="F235" s="12">
        <f>+(E235-D235)*24</f>
        <v>8</v>
      </c>
      <c r="G235" s="20" t="s">
        <v>21</v>
      </c>
      <c r="H235" s="20" t="s">
        <v>30</v>
      </c>
      <c r="I235" s="9"/>
      <c r="J235" s="9" t="s">
        <v>71</v>
      </c>
      <c r="K235" s="9"/>
    </row>
    <row r="236" spans="1:11" ht="29.25" thickBot="1" x14ac:dyDescent="0.25">
      <c r="A236" s="19" t="s">
        <v>47</v>
      </c>
      <c r="B236" s="10"/>
      <c r="C236" s="14">
        <v>46292</v>
      </c>
      <c r="D236" s="11"/>
      <c r="E236" s="11"/>
      <c r="F236" s="12">
        <f t="shared" si="6"/>
        <v>0</v>
      </c>
      <c r="G236" s="20"/>
      <c r="H236" s="20"/>
      <c r="I236" s="9"/>
      <c r="J236" s="9"/>
      <c r="K236" s="9"/>
    </row>
    <row r="237" spans="1:11" ht="29.25" thickBot="1" x14ac:dyDescent="0.25">
      <c r="A237" s="19" t="s">
        <v>47</v>
      </c>
      <c r="B237" s="10"/>
      <c r="C237" s="14">
        <v>46292</v>
      </c>
      <c r="D237" s="11"/>
      <c r="E237" s="11"/>
      <c r="F237" s="12">
        <f t="shared" si="6"/>
        <v>0</v>
      </c>
      <c r="G237" s="20"/>
      <c r="H237" s="20"/>
      <c r="I237" s="9"/>
      <c r="J237" s="9"/>
      <c r="K237" s="9"/>
    </row>
    <row r="238" spans="1:11" ht="29.25" thickBot="1" x14ac:dyDescent="0.25">
      <c r="A238" s="19" t="s">
        <v>47</v>
      </c>
      <c r="B238" s="10"/>
      <c r="C238" s="14">
        <v>46292</v>
      </c>
      <c r="D238" s="11"/>
      <c r="E238" s="11"/>
      <c r="F238" s="12">
        <f t="shared" si="6"/>
        <v>0</v>
      </c>
      <c r="G238" s="20"/>
      <c r="H238" s="20"/>
      <c r="I238" s="9"/>
      <c r="J238" s="9"/>
      <c r="K238" s="9"/>
    </row>
    <row r="239" spans="1:11" ht="29.25" thickBot="1" x14ac:dyDescent="0.25">
      <c r="A239" s="19" t="s">
        <v>47</v>
      </c>
      <c r="B239" s="10"/>
      <c r="C239" s="14">
        <v>46292</v>
      </c>
      <c r="D239" s="11"/>
      <c r="E239" s="11"/>
      <c r="F239" s="12">
        <f t="shared" si="6"/>
        <v>0</v>
      </c>
      <c r="G239" s="20"/>
      <c r="H239" s="20"/>
      <c r="I239" s="9"/>
      <c r="J239" s="9"/>
      <c r="K239" s="9"/>
    </row>
    <row r="240" spans="1:11" ht="29.25" thickBot="1" x14ac:dyDescent="0.25">
      <c r="A240" s="19" t="s">
        <v>47</v>
      </c>
      <c r="B240" s="10"/>
      <c r="C240" s="14">
        <v>46292</v>
      </c>
      <c r="D240" s="11"/>
      <c r="E240" s="11"/>
      <c r="F240" s="12">
        <f t="shared" si="6"/>
        <v>0</v>
      </c>
      <c r="G240" s="20"/>
      <c r="H240" s="20"/>
      <c r="I240" s="9"/>
      <c r="J240" s="9"/>
      <c r="K240" s="9"/>
    </row>
    <row r="241" spans="1:11" ht="29.25" thickBot="1" x14ac:dyDescent="0.25">
      <c r="A241" s="19" t="s">
        <v>47</v>
      </c>
      <c r="B241" s="10"/>
      <c r="C241" s="14">
        <v>46292</v>
      </c>
      <c r="D241" s="11"/>
      <c r="E241" s="11"/>
      <c r="F241" s="12">
        <f t="shared" si="6"/>
        <v>0</v>
      </c>
      <c r="G241" s="20"/>
      <c r="H241" s="20"/>
      <c r="I241" s="9"/>
      <c r="J241" s="9"/>
      <c r="K241" s="9"/>
    </row>
    <row r="242" spans="1:11" ht="29.25" thickBot="1" x14ac:dyDescent="0.25">
      <c r="A242" s="19" t="s">
        <v>47</v>
      </c>
      <c r="B242" s="10"/>
      <c r="C242" s="14">
        <v>46292</v>
      </c>
      <c r="D242" s="11"/>
      <c r="E242" s="11"/>
      <c r="F242" s="12">
        <f t="shared" si="6"/>
        <v>0</v>
      </c>
      <c r="G242" s="20"/>
      <c r="H242" s="20"/>
      <c r="I242" s="9"/>
      <c r="J242" s="9"/>
      <c r="K242" s="9"/>
    </row>
    <row r="243" spans="1:11" ht="29.25" thickBot="1" x14ac:dyDescent="0.25">
      <c r="A243" s="19" t="s">
        <v>47</v>
      </c>
      <c r="B243" s="10"/>
      <c r="C243" s="14">
        <v>46292</v>
      </c>
      <c r="D243" s="11"/>
      <c r="E243" s="11"/>
      <c r="F243" s="12">
        <f t="shared" si="6"/>
        <v>0</v>
      </c>
      <c r="G243" s="20"/>
      <c r="H243" s="20"/>
      <c r="I243" s="9"/>
      <c r="J243" s="9"/>
      <c r="K243" s="9"/>
    </row>
    <row r="244" spans="1:11" ht="29.25" thickBot="1" x14ac:dyDescent="0.25">
      <c r="A244" s="19" t="s">
        <v>47</v>
      </c>
      <c r="B244" s="10"/>
      <c r="C244" s="14">
        <v>46293</v>
      </c>
      <c r="D244" s="11"/>
      <c r="E244" s="11"/>
      <c r="F244" s="12">
        <f t="shared" si="6"/>
        <v>0</v>
      </c>
      <c r="G244" s="20"/>
      <c r="H244" s="20"/>
      <c r="I244" s="9"/>
      <c r="J244" s="9"/>
      <c r="K244" s="9"/>
    </row>
    <row r="245" spans="1:11" ht="29.25" thickBot="1" x14ac:dyDescent="0.25">
      <c r="A245" s="19" t="s">
        <v>47</v>
      </c>
      <c r="B245" s="10"/>
      <c r="C245" s="14">
        <v>46293</v>
      </c>
      <c r="D245" s="11"/>
      <c r="E245" s="11"/>
      <c r="F245" s="12">
        <f t="shared" si="6"/>
        <v>0</v>
      </c>
      <c r="G245" s="20"/>
      <c r="H245" s="20"/>
      <c r="I245" s="9"/>
      <c r="J245" s="9"/>
      <c r="K245" s="9"/>
    </row>
    <row r="246" spans="1:11" ht="29.25" thickBot="1" x14ac:dyDescent="0.25">
      <c r="A246" s="19" t="s">
        <v>47</v>
      </c>
      <c r="B246" s="10"/>
      <c r="C246" s="14">
        <v>46293</v>
      </c>
      <c r="D246" s="11"/>
      <c r="E246" s="11"/>
      <c r="F246" s="12">
        <f t="shared" si="6"/>
        <v>0</v>
      </c>
      <c r="G246" s="20"/>
      <c r="H246" s="20"/>
      <c r="I246" s="9"/>
      <c r="J246" s="9"/>
      <c r="K246" s="9"/>
    </row>
    <row r="247" spans="1:11" ht="29.25" thickBot="1" x14ac:dyDescent="0.25">
      <c r="A247" s="19" t="s">
        <v>47</v>
      </c>
      <c r="B247" s="10"/>
      <c r="C247" s="14">
        <v>46293</v>
      </c>
      <c r="D247" s="11"/>
      <c r="E247" s="11"/>
      <c r="F247" s="12">
        <f t="shared" si="6"/>
        <v>0</v>
      </c>
      <c r="G247" s="20"/>
      <c r="H247" s="20"/>
      <c r="I247" s="9"/>
      <c r="J247" s="9"/>
      <c r="K247" s="9"/>
    </row>
    <row r="248" spans="1:11" ht="29.25" thickBot="1" x14ac:dyDescent="0.25">
      <c r="A248" s="19" t="s">
        <v>47</v>
      </c>
      <c r="B248" s="10"/>
      <c r="C248" s="14">
        <v>46293</v>
      </c>
      <c r="D248" s="11"/>
      <c r="E248" s="11"/>
      <c r="F248" s="12">
        <f t="shared" si="6"/>
        <v>0</v>
      </c>
      <c r="G248" s="20"/>
      <c r="H248" s="20"/>
      <c r="I248" s="9"/>
      <c r="J248" s="9"/>
      <c r="K248" s="9"/>
    </row>
    <row r="249" spans="1:11" ht="29.25" thickBot="1" x14ac:dyDescent="0.25">
      <c r="A249" s="19" t="s">
        <v>47</v>
      </c>
      <c r="B249" s="10"/>
      <c r="C249" s="14">
        <v>46293</v>
      </c>
      <c r="D249" s="11"/>
      <c r="E249" s="11"/>
      <c r="F249" s="12">
        <f t="shared" si="6"/>
        <v>0</v>
      </c>
      <c r="G249" s="20"/>
      <c r="H249" s="20"/>
      <c r="I249" s="9"/>
      <c r="J249" s="9"/>
      <c r="K249" s="9"/>
    </row>
    <row r="250" spans="1:11" ht="29.25" thickBot="1" x14ac:dyDescent="0.25">
      <c r="A250" s="19" t="s">
        <v>47</v>
      </c>
      <c r="B250" s="10"/>
      <c r="C250" s="14">
        <v>46293</v>
      </c>
      <c r="D250" s="11"/>
      <c r="E250" s="11"/>
      <c r="F250" s="12">
        <f t="shared" si="6"/>
        <v>0</v>
      </c>
      <c r="G250" s="20"/>
      <c r="H250" s="20"/>
      <c r="I250" s="9"/>
      <c r="J250" s="9"/>
      <c r="K250" s="9"/>
    </row>
    <row r="251" spans="1:11" ht="29.25" thickBot="1" x14ac:dyDescent="0.25">
      <c r="A251" s="19" t="s">
        <v>47</v>
      </c>
      <c r="B251" s="10"/>
      <c r="C251" s="14">
        <v>46293</v>
      </c>
      <c r="D251" s="11"/>
      <c r="E251" s="11"/>
      <c r="F251" s="12">
        <f t="shared" si="6"/>
        <v>0</v>
      </c>
      <c r="G251" s="20"/>
      <c r="H251" s="20"/>
      <c r="I251" s="9"/>
      <c r="J251" s="9"/>
      <c r="K251" s="9"/>
    </row>
    <row r="252" spans="1:11" ht="29.25" thickBot="1" x14ac:dyDescent="0.25">
      <c r="A252" s="19" t="s">
        <v>47</v>
      </c>
      <c r="B252" s="10"/>
      <c r="C252" s="14">
        <v>46293</v>
      </c>
      <c r="D252" s="11"/>
      <c r="E252" s="11"/>
      <c r="F252" s="12">
        <f t="shared" si="6"/>
        <v>0</v>
      </c>
      <c r="G252" s="20"/>
      <c r="H252" s="20"/>
      <c r="I252" s="9"/>
      <c r="J252" s="9"/>
      <c r="K252" s="9"/>
    </row>
    <row r="253" spans="1:11" ht="29.25" thickBot="1" x14ac:dyDescent="0.25">
      <c r="A253" s="19" t="s">
        <v>47</v>
      </c>
      <c r="B253" s="10"/>
      <c r="C253" s="14">
        <v>46294</v>
      </c>
      <c r="D253" s="11"/>
      <c r="E253" s="11"/>
      <c r="F253" s="12">
        <f t="shared" si="6"/>
        <v>0</v>
      </c>
      <c r="G253" s="20"/>
      <c r="H253" s="20"/>
      <c r="I253" s="9"/>
      <c r="J253" s="9"/>
      <c r="K253" s="9"/>
    </row>
    <row r="254" spans="1:11" ht="29.25" thickBot="1" x14ac:dyDescent="0.25">
      <c r="A254" s="19" t="s">
        <v>47</v>
      </c>
      <c r="B254" s="10"/>
      <c r="C254" s="14">
        <v>46294</v>
      </c>
      <c r="D254" s="11"/>
      <c r="E254" s="11"/>
      <c r="F254" s="12">
        <f t="shared" si="6"/>
        <v>0</v>
      </c>
      <c r="G254" s="20"/>
      <c r="H254" s="20"/>
      <c r="I254" s="9"/>
      <c r="J254" s="9"/>
      <c r="K254" s="9"/>
    </row>
    <row r="255" spans="1:11" ht="29.25" thickBot="1" x14ac:dyDescent="0.25">
      <c r="A255" s="19" t="s">
        <v>47</v>
      </c>
      <c r="B255" s="10"/>
      <c r="C255" s="14">
        <v>46294</v>
      </c>
      <c r="D255" s="11"/>
      <c r="E255" s="11"/>
      <c r="F255" s="12">
        <f t="shared" si="6"/>
        <v>0</v>
      </c>
      <c r="G255" s="20"/>
      <c r="H255" s="20"/>
      <c r="I255" s="9"/>
      <c r="J255" s="9"/>
      <c r="K255" s="9"/>
    </row>
    <row r="256" spans="1:11" ht="29.25" thickBot="1" x14ac:dyDescent="0.25">
      <c r="A256" s="19" t="s">
        <v>47</v>
      </c>
      <c r="B256" s="10"/>
      <c r="C256" s="14">
        <v>46294</v>
      </c>
      <c r="D256" s="11"/>
      <c r="E256" s="11"/>
      <c r="F256" s="12">
        <f t="shared" si="6"/>
        <v>0</v>
      </c>
      <c r="G256" s="20"/>
      <c r="H256" s="20"/>
      <c r="I256" s="9"/>
      <c r="J256" s="9"/>
      <c r="K256" s="9"/>
    </row>
    <row r="257" spans="1:11" ht="29.25" thickBot="1" x14ac:dyDescent="0.25">
      <c r="A257" s="19" t="s">
        <v>47</v>
      </c>
      <c r="B257" s="10"/>
      <c r="C257" s="14">
        <v>46294</v>
      </c>
      <c r="D257" s="11"/>
      <c r="E257" s="11"/>
      <c r="F257" s="12">
        <f t="shared" si="6"/>
        <v>0</v>
      </c>
      <c r="G257" s="20"/>
      <c r="H257" s="20"/>
      <c r="I257" s="9"/>
      <c r="J257" s="9"/>
      <c r="K257" s="9"/>
    </row>
    <row r="258" spans="1:11" s="7" customFormat="1" ht="29.25" thickBot="1" x14ac:dyDescent="0.25">
      <c r="A258" s="19" t="s">
        <v>47</v>
      </c>
      <c r="B258" s="10"/>
      <c r="C258" s="14">
        <v>46294</v>
      </c>
      <c r="D258" s="11"/>
      <c r="E258" s="11"/>
      <c r="F258" s="12">
        <f t="shared" si="6"/>
        <v>0</v>
      </c>
      <c r="G258" s="20"/>
      <c r="H258" s="20"/>
      <c r="I258" s="9"/>
      <c r="J258" s="9"/>
      <c r="K258" s="9"/>
    </row>
    <row r="259" spans="1:11" s="7" customFormat="1" ht="29.25" thickBot="1" x14ac:dyDescent="0.25">
      <c r="A259" s="19" t="s">
        <v>47</v>
      </c>
      <c r="B259" s="10"/>
      <c r="C259" s="14">
        <v>46294</v>
      </c>
      <c r="D259" s="11"/>
      <c r="E259" s="11"/>
      <c r="F259" s="12">
        <f t="shared" si="6"/>
        <v>0</v>
      </c>
      <c r="G259" s="20"/>
      <c r="H259" s="20"/>
      <c r="I259" s="9"/>
      <c r="J259" s="9"/>
      <c r="K259" s="9"/>
    </row>
    <row r="260" spans="1:11" s="7" customFormat="1" ht="29.25" thickBot="1" x14ac:dyDescent="0.25">
      <c r="A260" s="19" t="s">
        <v>47</v>
      </c>
      <c r="B260" s="10"/>
      <c r="C260" s="14">
        <v>46294</v>
      </c>
      <c r="D260" s="11"/>
      <c r="E260" s="11"/>
      <c r="F260" s="12">
        <f t="shared" si="6"/>
        <v>0</v>
      </c>
      <c r="G260" s="20"/>
      <c r="H260" s="20"/>
      <c r="I260" s="9"/>
      <c r="J260" s="9"/>
      <c r="K260" s="9"/>
    </row>
    <row r="261" spans="1:11" s="7" customFormat="1" ht="29.25" thickBot="1" x14ac:dyDescent="0.25">
      <c r="A261" s="19" t="s">
        <v>47</v>
      </c>
      <c r="B261" s="10"/>
      <c r="C261" s="14">
        <v>46294</v>
      </c>
      <c r="D261" s="11"/>
      <c r="E261" s="11"/>
      <c r="F261" s="12">
        <f t="shared" si="6"/>
        <v>0</v>
      </c>
      <c r="G261" s="20"/>
      <c r="H261" s="20"/>
      <c r="I261" s="9"/>
      <c r="J261" s="9"/>
      <c r="K261" s="9"/>
    </row>
    <row r="262" spans="1:11" s="7" customFormat="1" ht="29.25" thickBot="1" x14ac:dyDescent="0.25">
      <c r="A262" s="19" t="s">
        <v>47</v>
      </c>
      <c r="B262" s="10"/>
      <c r="C262" s="14">
        <v>46295</v>
      </c>
      <c r="D262" s="11"/>
      <c r="E262" s="11"/>
      <c r="F262" s="12">
        <f t="shared" ref="F262:F298" si="8">+(E262-D262)*24</f>
        <v>0</v>
      </c>
      <c r="G262" s="20"/>
      <c r="H262" s="20"/>
      <c r="I262" s="9"/>
      <c r="J262" s="9"/>
      <c r="K262" s="9"/>
    </row>
    <row r="263" spans="1:11" s="7" customFormat="1" ht="29.25" thickBot="1" x14ac:dyDescent="0.25">
      <c r="A263" s="19" t="s">
        <v>47</v>
      </c>
      <c r="B263" s="10"/>
      <c r="C263" s="14">
        <v>46295</v>
      </c>
      <c r="D263" s="11"/>
      <c r="E263" s="11"/>
      <c r="F263" s="12">
        <f t="shared" si="8"/>
        <v>0</v>
      </c>
      <c r="G263" s="20"/>
      <c r="H263" s="20"/>
      <c r="I263" s="9"/>
      <c r="J263" s="9"/>
      <c r="K263" s="9"/>
    </row>
    <row r="264" spans="1:11" s="7" customFormat="1" ht="29.25" thickBot="1" x14ac:dyDescent="0.25">
      <c r="A264" s="19" t="s">
        <v>47</v>
      </c>
      <c r="B264" s="10"/>
      <c r="C264" s="14">
        <v>46295</v>
      </c>
      <c r="D264" s="11"/>
      <c r="E264" s="11"/>
      <c r="F264" s="12">
        <f t="shared" si="8"/>
        <v>0</v>
      </c>
      <c r="G264" s="20"/>
      <c r="H264" s="20"/>
      <c r="I264" s="9"/>
      <c r="J264" s="9"/>
      <c r="K264" s="9"/>
    </row>
    <row r="265" spans="1:11" s="7" customFormat="1" ht="29.25" thickBot="1" x14ac:dyDescent="0.25">
      <c r="A265" s="19" t="s">
        <v>47</v>
      </c>
      <c r="B265" s="10"/>
      <c r="C265" s="14">
        <v>46295</v>
      </c>
      <c r="D265" s="11"/>
      <c r="E265" s="11"/>
      <c r="F265" s="12">
        <f t="shared" si="8"/>
        <v>0</v>
      </c>
      <c r="G265" s="20"/>
      <c r="H265" s="20"/>
      <c r="I265" s="9"/>
      <c r="J265" s="9"/>
      <c r="K265" s="9"/>
    </row>
    <row r="266" spans="1:11" s="7" customFormat="1" ht="29.25" thickBot="1" x14ac:dyDescent="0.25">
      <c r="A266" s="19" t="s">
        <v>47</v>
      </c>
      <c r="B266" s="10"/>
      <c r="C266" s="14">
        <v>46295</v>
      </c>
      <c r="D266" s="11"/>
      <c r="E266" s="11"/>
      <c r="F266" s="12">
        <f t="shared" si="8"/>
        <v>0</v>
      </c>
      <c r="G266" s="20"/>
      <c r="H266" s="20"/>
      <c r="I266" s="9"/>
      <c r="J266" s="9"/>
      <c r="K266" s="9"/>
    </row>
    <row r="267" spans="1:11" s="7" customFormat="1" ht="29.25" thickBot="1" x14ac:dyDescent="0.25">
      <c r="A267" s="19" t="s">
        <v>47</v>
      </c>
      <c r="B267" s="10"/>
      <c r="C267" s="14">
        <v>46295</v>
      </c>
      <c r="D267" s="11"/>
      <c r="E267" s="11"/>
      <c r="F267" s="12">
        <f t="shared" si="8"/>
        <v>0</v>
      </c>
      <c r="G267" s="20"/>
      <c r="H267" s="20"/>
      <c r="I267" s="9"/>
      <c r="J267" s="9"/>
      <c r="K267" s="9"/>
    </row>
    <row r="268" spans="1:11" s="7" customFormat="1" ht="29.25" thickBot="1" x14ac:dyDescent="0.25">
      <c r="A268" s="19" t="s">
        <v>47</v>
      </c>
      <c r="B268" s="10"/>
      <c r="C268" s="14">
        <v>46295</v>
      </c>
      <c r="D268" s="11"/>
      <c r="E268" s="11"/>
      <c r="F268" s="12">
        <f t="shared" si="8"/>
        <v>0</v>
      </c>
      <c r="G268" s="20"/>
      <c r="H268" s="20"/>
      <c r="I268" s="9"/>
      <c r="J268" s="9"/>
      <c r="K268" s="9"/>
    </row>
    <row r="269" spans="1:11" s="7" customFormat="1" ht="29.25" thickBot="1" x14ac:dyDescent="0.25">
      <c r="A269" s="19" t="s">
        <v>47</v>
      </c>
      <c r="B269" s="10"/>
      <c r="C269" s="14">
        <v>46295</v>
      </c>
      <c r="D269" s="11"/>
      <c r="E269" s="11"/>
      <c r="F269" s="12">
        <f t="shared" si="8"/>
        <v>0</v>
      </c>
      <c r="G269" s="20"/>
      <c r="H269" s="20"/>
      <c r="I269" s="9"/>
      <c r="J269" s="9"/>
      <c r="K269" s="9"/>
    </row>
    <row r="270" spans="1:11" s="7" customFormat="1" ht="29.25" thickBot="1" x14ac:dyDescent="0.25">
      <c r="A270" s="19" t="s">
        <v>47</v>
      </c>
      <c r="B270" s="10"/>
      <c r="C270" s="14">
        <v>46295</v>
      </c>
      <c r="D270" s="11"/>
      <c r="E270" s="11"/>
      <c r="F270" s="12">
        <f t="shared" si="8"/>
        <v>0</v>
      </c>
      <c r="G270" s="20"/>
      <c r="H270" s="20"/>
      <c r="I270" s="9"/>
      <c r="J270" s="9"/>
      <c r="K270" s="9"/>
    </row>
    <row r="271" spans="1:11" s="7" customFormat="1" ht="29.25" thickBot="1" x14ac:dyDescent="0.25">
      <c r="A271" s="19" t="s">
        <v>47</v>
      </c>
      <c r="B271" s="10"/>
      <c r="C271" s="14"/>
      <c r="D271" s="11"/>
      <c r="E271" s="11"/>
      <c r="F271" s="12">
        <f t="shared" si="8"/>
        <v>0</v>
      </c>
      <c r="G271" s="20"/>
      <c r="H271" s="20"/>
      <c r="I271" s="9"/>
      <c r="J271" s="9"/>
      <c r="K271" s="9"/>
    </row>
    <row r="272" spans="1:11" s="7" customFormat="1" ht="29.25" thickBot="1" x14ac:dyDescent="0.25">
      <c r="A272" s="19" t="s">
        <v>47</v>
      </c>
      <c r="B272" s="10"/>
      <c r="C272" s="14"/>
      <c r="D272" s="11"/>
      <c r="E272" s="11"/>
      <c r="F272" s="12">
        <f t="shared" si="8"/>
        <v>0</v>
      </c>
      <c r="G272" s="20"/>
      <c r="H272" s="20"/>
      <c r="I272" s="9"/>
      <c r="J272" s="9"/>
      <c r="K272" s="9"/>
    </row>
    <row r="273" spans="1:11" s="7" customFormat="1" ht="29.25" thickBot="1" x14ac:dyDescent="0.25">
      <c r="A273" s="19" t="s">
        <v>47</v>
      </c>
      <c r="B273" s="10"/>
      <c r="C273" s="14"/>
      <c r="D273" s="11"/>
      <c r="E273" s="11"/>
      <c r="F273" s="12">
        <f t="shared" si="8"/>
        <v>0</v>
      </c>
      <c r="G273" s="20"/>
      <c r="H273" s="20"/>
      <c r="I273" s="9"/>
      <c r="J273" s="9"/>
      <c r="K273" s="9"/>
    </row>
    <row r="274" spans="1:11" s="7" customFormat="1" ht="29.25" thickBot="1" x14ac:dyDescent="0.25">
      <c r="A274" s="19" t="s">
        <v>47</v>
      </c>
      <c r="B274" s="10"/>
      <c r="C274" s="14"/>
      <c r="D274" s="11"/>
      <c r="E274" s="11"/>
      <c r="F274" s="12">
        <f t="shared" si="8"/>
        <v>0</v>
      </c>
      <c r="G274" s="20"/>
      <c r="H274" s="20"/>
      <c r="I274" s="9"/>
      <c r="J274" s="9"/>
      <c r="K274" s="9"/>
    </row>
    <row r="275" spans="1:11" s="7" customFormat="1" ht="29.25" thickBot="1" x14ac:dyDescent="0.25">
      <c r="A275" s="19" t="s">
        <v>47</v>
      </c>
      <c r="B275" s="10"/>
      <c r="C275" s="14"/>
      <c r="D275" s="11"/>
      <c r="E275" s="11"/>
      <c r="F275" s="12">
        <f t="shared" si="8"/>
        <v>0</v>
      </c>
      <c r="G275" s="20"/>
      <c r="H275" s="20"/>
      <c r="I275" s="9"/>
      <c r="J275" s="9"/>
      <c r="K275" s="9"/>
    </row>
    <row r="276" spans="1:11" s="7" customFormat="1" ht="29.25" thickBot="1" x14ac:dyDescent="0.25">
      <c r="A276" s="19" t="s">
        <v>47</v>
      </c>
      <c r="B276" s="10"/>
      <c r="C276" s="14"/>
      <c r="D276" s="11"/>
      <c r="E276" s="11"/>
      <c r="F276" s="12">
        <f t="shared" si="8"/>
        <v>0</v>
      </c>
      <c r="G276" s="20"/>
      <c r="H276" s="20"/>
      <c r="I276" s="9"/>
      <c r="J276" s="9"/>
      <c r="K276" s="9"/>
    </row>
    <row r="277" spans="1:11" s="7" customFormat="1" ht="29.25" thickBot="1" x14ac:dyDescent="0.25">
      <c r="A277" s="19" t="s">
        <v>47</v>
      </c>
      <c r="B277" s="10"/>
      <c r="C277" s="14"/>
      <c r="D277" s="11"/>
      <c r="E277" s="11"/>
      <c r="F277" s="12">
        <f t="shared" si="8"/>
        <v>0</v>
      </c>
      <c r="G277" s="20"/>
      <c r="H277" s="20"/>
      <c r="I277" s="9"/>
      <c r="J277" s="9"/>
      <c r="K277" s="9"/>
    </row>
    <row r="278" spans="1:11" s="7" customFormat="1" ht="29.25" thickBot="1" x14ac:dyDescent="0.25">
      <c r="A278" s="19" t="s">
        <v>47</v>
      </c>
      <c r="B278" s="10"/>
      <c r="C278" s="14"/>
      <c r="D278" s="11"/>
      <c r="E278" s="11"/>
      <c r="F278" s="12">
        <f t="shared" si="8"/>
        <v>0</v>
      </c>
      <c r="G278" s="20"/>
      <c r="H278" s="20"/>
      <c r="I278" s="9"/>
      <c r="J278" s="9"/>
      <c r="K278" s="9"/>
    </row>
    <row r="279" spans="1:11" s="7" customFormat="1" ht="29.25" thickBot="1" x14ac:dyDescent="0.25">
      <c r="A279" s="19" t="s">
        <v>47</v>
      </c>
      <c r="B279" s="10"/>
      <c r="C279" s="14"/>
      <c r="D279" s="11"/>
      <c r="E279" s="11"/>
      <c r="F279" s="12">
        <f t="shared" si="8"/>
        <v>0</v>
      </c>
      <c r="G279" s="20"/>
      <c r="H279" s="20"/>
      <c r="I279" s="9"/>
      <c r="J279" s="9"/>
      <c r="K279" s="9"/>
    </row>
    <row r="280" spans="1:11" s="7" customFormat="1" ht="29.25" thickBot="1" x14ac:dyDescent="0.25">
      <c r="A280" s="19" t="s">
        <v>47</v>
      </c>
      <c r="B280" s="10"/>
      <c r="C280" s="14"/>
      <c r="D280" s="11"/>
      <c r="E280" s="11"/>
      <c r="F280" s="12">
        <f t="shared" si="8"/>
        <v>0</v>
      </c>
      <c r="G280" s="20"/>
      <c r="H280" s="20"/>
      <c r="I280" s="9"/>
      <c r="J280" s="9"/>
      <c r="K280" s="9"/>
    </row>
    <row r="281" spans="1:11" s="7" customFormat="1" ht="29.25" thickBot="1" x14ac:dyDescent="0.25">
      <c r="A281" s="19" t="s">
        <v>47</v>
      </c>
      <c r="B281" s="10"/>
      <c r="C281" s="14"/>
      <c r="D281" s="11"/>
      <c r="E281" s="11"/>
      <c r="F281" s="12">
        <f t="shared" si="8"/>
        <v>0</v>
      </c>
      <c r="G281" s="20"/>
      <c r="H281" s="20"/>
      <c r="I281" s="9"/>
      <c r="J281" s="9"/>
      <c r="K281" s="9"/>
    </row>
    <row r="282" spans="1:11" s="7" customFormat="1" ht="29.25" thickBot="1" x14ac:dyDescent="0.25">
      <c r="A282" s="19" t="s">
        <v>47</v>
      </c>
      <c r="B282" s="10"/>
      <c r="C282" s="14"/>
      <c r="D282" s="11"/>
      <c r="E282" s="11"/>
      <c r="F282" s="12">
        <f t="shared" si="8"/>
        <v>0</v>
      </c>
      <c r="G282" s="20"/>
      <c r="H282" s="20"/>
      <c r="I282" s="9"/>
      <c r="J282" s="9"/>
      <c r="K282" s="9"/>
    </row>
    <row r="283" spans="1:11" s="7" customFormat="1" ht="29.25" thickBot="1" x14ac:dyDescent="0.25">
      <c r="A283" s="19" t="s">
        <v>47</v>
      </c>
      <c r="B283" s="10"/>
      <c r="C283" s="14"/>
      <c r="D283" s="11"/>
      <c r="E283" s="11"/>
      <c r="F283" s="12">
        <f t="shared" si="8"/>
        <v>0</v>
      </c>
      <c r="G283" s="20"/>
      <c r="H283" s="20"/>
      <c r="I283" s="9"/>
      <c r="J283" s="9"/>
      <c r="K283" s="9"/>
    </row>
    <row r="284" spans="1:11" s="7" customFormat="1" ht="29.25" thickBot="1" x14ac:dyDescent="0.25">
      <c r="A284" s="19" t="s">
        <v>47</v>
      </c>
      <c r="B284" s="10"/>
      <c r="C284" s="14"/>
      <c r="D284" s="11"/>
      <c r="E284" s="11"/>
      <c r="F284" s="12">
        <f t="shared" si="8"/>
        <v>0</v>
      </c>
      <c r="G284" s="20"/>
      <c r="H284" s="20"/>
      <c r="I284" s="9"/>
      <c r="J284" s="9"/>
      <c r="K284" s="9"/>
    </row>
    <row r="285" spans="1:11" s="7" customFormat="1" ht="29.25" thickBot="1" x14ac:dyDescent="0.25">
      <c r="A285" s="19" t="s">
        <v>47</v>
      </c>
      <c r="B285" s="10"/>
      <c r="C285" s="14"/>
      <c r="D285" s="11"/>
      <c r="E285" s="11"/>
      <c r="F285" s="12">
        <f t="shared" si="8"/>
        <v>0</v>
      </c>
      <c r="G285" s="20"/>
      <c r="H285" s="20"/>
      <c r="I285" s="9"/>
      <c r="J285" s="9"/>
      <c r="K285" s="9"/>
    </row>
    <row r="286" spans="1:11" s="7" customFormat="1" ht="29.25" thickBot="1" x14ac:dyDescent="0.25">
      <c r="A286" s="19" t="s">
        <v>47</v>
      </c>
      <c r="B286" s="10"/>
      <c r="C286" s="14"/>
      <c r="D286" s="11"/>
      <c r="E286" s="11"/>
      <c r="F286" s="12">
        <f t="shared" si="8"/>
        <v>0</v>
      </c>
      <c r="G286" s="20"/>
      <c r="H286" s="20"/>
      <c r="I286" s="9"/>
      <c r="J286" s="9"/>
      <c r="K286" s="9"/>
    </row>
    <row r="287" spans="1:11" s="7" customFormat="1" ht="29.25" thickBot="1" x14ac:dyDescent="0.25">
      <c r="A287" s="19" t="s">
        <v>47</v>
      </c>
      <c r="B287" s="10"/>
      <c r="C287" s="14"/>
      <c r="D287" s="11"/>
      <c r="E287" s="11"/>
      <c r="F287" s="12">
        <f t="shared" si="8"/>
        <v>0</v>
      </c>
      <c r="G287" s="20"/>
      <c r="H287" s="20"/>
      <c r="I287" s="9"/>
      <c r="J287" s="9"/>
      <c r="K287" s="9"/>
    </row>
    <row r="288" spans="1:11" s="7" customFormat="1" ht="29.25" thickBot="1" x14ac:dyDescent="0.25">
      <c r="A288" s="19" t="s">
        <v>47</v>
      </c>
      <c r="B288" s="10"/>
      <c r="C288" s="14"/>
      <c r="D288" s="11"/>
      <c r="E288" s="11"/>
      <c r="F288" s="12">
        <f t="shared" si="8"/>
        <v>0</v>
      </c>
      <c r="G288" s="20"/>
      <c r="H288" s="20"/>
      <c r="I288" s="9"/>
      <c r="J288" s="9"/>
      <c r="K288" s="9"/>
    </row>
    <row r="289" spans="1:11" s="7" customFormat="1" ht="29.25" thickBot="1" x14ac:dyDescent="0.25">
      <c r="A289" s="19" t="s">
        <v>47</v>
      </c>
      <c r="B289" s="10"/>
      <c r="C289" s="14"/>
      <c r="D289" s="11"/>
      <c r="E289" s="11"/>
      <c r="F289" s="12">
        <f t="shared" si="8"/>
        <v>0</v>
      </c>
      <c r="G289" s="20"/>
      <c r="H289" s="20"/>
      <c r="I289" s="9"/>
      <c r="J289" s="9"/>
      <c r="K289" s="9"/>
    </row>
    <row r="290" spans="1:11" s="7" customFormat="1" ht="29.25" thickBot="1" x14ac:dyDescent="0.25">
      <c r="A290" s="19" t="s">
        <v>47</v>
      </c>
      <c r="B290" s="10"/>
      <c r="C290" s="14"/>
      <c r="D290" s="11"/>
      <c r="E290" s="11"/>
      <c r="F290" s="12">
        <f t="shared" si="8"/>
        <v>0</v>
      </c>
      <c r="G290" s="20"/>
      <c r="H290" s="20"/>
      <c r="I290" s="9"/>
      <c r="J290" s="9"/>
      <c r="K290" s="9"/>
    </row>
    <row r="291" spans="1:11" s="7" customFormat="1" ht="29.25" thickBot="1" x14ac:dyDescent="0.25">
      <c r="A291" s="19" t="s">
        <v>47</v>
      </c>
      <c r="B291" s="10"/>
      <c r="C291" s="14"/>
      <c r="D291" s="11"/>
      <c r="E291" s="11"/>
      <c r="F291" s="12">
        <f t="shared" si="8"/>
        <v>0</v>
      </c>
      <c r="G291" s="20"/>
      <c r="H291" s="20"/>
      <c r="I291" s="9"/>
      <c r="J291" s="9"/>
      <c r="K291" s="9"/>
    </row>
    <row r="292" spans="1:11" s="7" customFormat="1" ht="29.25" thickBot="1" x14ac:dyDescent="0.25">
      <c r="A292" s="19" t="s">
        <v>47</v>
      </c>
      <c r="B292" s="10"/>
      <c r="C292" s="14"/>
      <c r="D292" s="11"/>
      <c r="E292" s="11"/>
      <c r="F292" s="12">
        <f t="shared" si="8"/>
        <v>0</v>
      </c>
      <c r="G292" s="20"/>
      <c r="H292" s="20"/>
      <c r="I292" s="9"/>
      <c r="J292" s="9"/>
      <c r="K292" s="9"/>
    </row>
    <row r="293" spans="1:11" s="7" customFormat="1" ht="29.25" thickBot="1" x14ac:dyDescent="0.25">
      <c r="A293" s="19" t="s">
        <v>47</v>
      </c>
      <c r="B293" s="10"/>
      <c r="C293" s="14"/>
      <c r="D293" s="11"/>
      <c r="E293" s="11"/>
      <c r="F293" s="12">
        <f t="shared" si="8"/>
        <v>0</v>
      </c>
      <c r="G293" s="20"/>
      <c r="H293" s="20"/>
      <c r="I293" s="9"/>
      <c r="J293" s="9"/>
      <c r="K293" s="9"/>
    </row>
    <row r="294" spans="1:11" s="7" customFormat="1" ht="29.25" thickBot="1" x14ac:dyDescent="0.25">
      <c r="A294" s="19" t="s">
        <v>47</v>
      </c>
      <c r="B294" s="10"/>
      <c r="C294" s="14"/>
      <c r="D294" s="11"/>
      <c r="E294" s="11"/>
      <c r="F294" s="12">
        <f t="shared" si="8"/>
        <v>0</v>
      </c>
      <c r="G294" s="20"/>
      <c r="H294" s="20"/>
      <c r="I294" s="9"/>
      <c r="J294" s="9"/>
      <c r="K294" s="9"/>
    </row>
    <row r="295" spans="1:11" s="7" customFormat="1" ht="29.25" thickBot="1" x14ac:dyDescent="0.25">
      <c r="A295" s="19" t="s">
        <v>47</v>
      </c>
      <c r="B295" s="10"/>
      <c r="C295" s="14"/>
      <c r="D295" s="11"/>
      <c r="E295" s="11"/>
      <c r="F295" s="12">
        <f t="shared" si="8"/>
        <v>0</v>
      </c>
      <c r="G295" s="20"/>
      <c r="H295" s="20"/>
      <c r="I295" s="9"/>
      <c r="J295" s="9"/>
      <c r="K295" s="9"/>
    </row>
    <row r="296" spans="1:11" s="7" customFormat="1" ht="29.25" thickBot="1" x14ac:dyDescent="0.25">
      <c r="A296" s="19" t="s">
        <v>47</v>
      </c>
      <c r="B296" s="10"/>
      <c r="C296" s="14"/>
      <c r="D296" s="11"/>
      <c r="E296" s="11"/>
      <c r="F296" s="12">
        <f t="shared" si="8"/>
        <v>0</v>
      </c>
      <c r="G296" s="20"/>
      <c r="H296" s="20"/>
      <c r="I296" s="9"/>
      <c r="J296" s="9"/>
      <c r="K296" s="9"/>
    </row>
    <row r="297" spans="1:11" s="7" customFormat="1" ht="29.25" thickBot="1" x14ac:dyDescent="0.25">
      <c r="A297" s="19" t="s">
        <v>47</v>
      </c>
      <c r="B297" s="10"/>
      <c r="C297" s="14"/>
      <c r="D297" s="11"/>
      <c r="E297" s="11"/>
      <c r="F297" s="12">
        <f t="shared" si="8"/>
        <v>0</v>
      </c>
      <c r="G297" s="20"/>
      <c r="H297" s="20"/>
      <c r="I297" s="9"/>
      <c r="J297" s="9"/>
      <c r="K297" s="9"/>
    </row>
    <row r="298" spans="1:11" s="7" customFormat="1" ht="29.25" thickBot="1" x14ac:dyDescent="0.25">
      <c r="A298" s="19" t="s">
        <v>47</v>
      </c>
      <c r="B298" s="10"/>
      <c r="C298" s="14"/>
      <c r="D298" s="11"/>
      <c r="E298" s="11"/>
      <c r="F298" s="12">
        <f t="shared" si="8"/>
        <v>0</v>
      </c>
      <c r="G298" s="20"/>
      <c r="H298" s="20"/>
      <c r="I298" s="9"/>
      <c r="J298" s="9"/>
      <c r="K298" s="9"/>
    </row>
    <row r="299" spans="1:11" s="7" customFormat="1" ht="15" thickBot="1" x14ac:dyDescent="0.25">
      <c r="A299" s="19"/>
      <c r="B299" s="10"/>
      <c r="C299" s="14"/>
      <c r="D299" s="11"/>
      <c r="E299" s="11"/>
      <c r="F299" s="12"/>
      <c r="G299" s="9"/>
      <c r="H299" s="20"/>
      <c r="I299" s="9"/>
      <c r="J299" s="9"/>
      <c r="K299" s="9"/>
    </row>
    <row r="300" spans="1:11" s="7" customFormat="1" ht="15" thickBot="1" x14ac:dyDescent="0.25">
      <c r="A300" s="9"/>
      <c r="B300" s="9"/>
      <c r="C300" s="9"/>
      <c r="D300" s="9"/>
      <c r="E300" s="9"/>
      <c r="F300" s="9">
        <f>SUBTOTAL(9,$F$2:$F$299)</f>
        <v>64</v>
      </c>
      <c r="G300" s="9" t="s">
        <v>11</v>
      </c>
      <c r="H300" s="9"/>
      <c r="I300" s="9"/>
      <c r="J300" s="9"/>
      <c r="K300" s="9"/>
    </row>
    <row r="301" spans="1:11" s="7" customFormat="1" ht="15" thickBot="1" x14ac:dyDescent="0.25">
      <c r="A301" s="9"/>
      <c r="B301" s="9"/>
      <c r="C301" s="9"/>
      <c r="D301" s="9"/>
      <c r="E301" s="9"/>
      <c r="F301" s="9">
        <v>0</v>
      </c>
      <c r="G301" s="9" t="s">
        <v>19</v>
      </c>
      <c r="H301" s="9"/>
      <c r="I301" s="9"/>
      <c r="J301" s="9"/>
      <c r="K301" s="9"/>
    </row>
    <row r="302" spans="1:11" s="7" customFormat="1" ht="15" thickBot="1" x14ac:dyDescent="0.25">
      <c r="A302" s="9"/>
      <c r="B302" s="9"/>
      <c r="C302" s="9"/>
      <c r="D302" s="9"/>
      <c r="E302" s="9"/>
      <c r="F302" s="9">
        <v>0</v>
      </c>
      <c r="G302" s="9" t="s">
        <v>20</v>
      </c>
      <c r="H302" s="9"/>
      <c r="I302" s="9"/>
      <c r="J302" s="9"/>
      <c r="K302" s="9"/>
    </row>
    <row r="303" spans="1:11" s="7" customFormat="1" ht="15" thickBot="1" x14ac:dyDescent="0.25">
      <c r="A303" s="9"/>
      <c r="B303" s="9"/>
      <c r="C303" s="9"/>
      <c r="D303" s="9"/>
      <c r="E303" s="9"/>
      <c r="F303" s="9">
        <v>0</v>
      </c>
      <c r="G303" s="9" t="s">
        <v>22</v>
      </c>
      <c r="H303" s="9"/>
      <c r="I303" s="9"/>
      <c r="J303" s="9"/>
      <c r="K303" s="9"/>
    </row>
    <row r="304" spans="1:11" s="7" customFormat="1" ht="15" thickBot="1" x14ac:dyDescent="0.25">
      <c r="A304" s="9"/>
      <c r="B304" s="9"/>
      <c r="C304" s="9"/>
      <c r="D304" s="9"/>
      <c r="E304" s="9"/>
      <c r="F304" s="9">
        <v>0</v>
      </c>
      <c r="G304" s="9" t="s">
        <v>45</v>
      </c>
      <c r="H304" s="9"/>
      <c r="I304" s="9"/>
      <c r="J304" s="9"/>
      <c r="K304" s="9"/>
    </row>
    <row r="305" spans="1:11" s="7" customFormat="1" ht="15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s="7" customFormat="1" ht="15" thickBot="1" x14ac:dyDescent="0.25">
      <c r="A306" s="9"/>
      <c r="B306" s="9"/>
      <c r="C306" s="9"/>
      <c r="D306" s="9"/>
      <c r="E306" s="9"/>
      <c r="F306" s="9">
        <f>SUBTOTAL(9,F301:F304)</f>
        <v>0</v>
      </c>
      <c r="G306" s="9" t="s">
        <v>12</v>
      </c>
      <c r="H306" s="9"/>
      <c r="I306" s="9"/>
      <c r="J306" s="9"/>
      <c r="K306" s="9"/>
    </row>
    <row r="307" spans="1:11" s="7" customFormat="1" ht="15" thickBot="1" x14ac:dyDescent="0.25">
      <c r="A307" s="9"/>
      <c r="B307" s="9"/>
      <c r="C307" s="9"/>
      <c r="D307" s="9"/>
      <c r="E307" s="9"/>
      <c r="F307" s="9">
        <f>F306/8</f>
        <v>0</v>
      </c>
      <c r="G307" s="9" t="s">
        <v>13</v>
      </c>
      <c r="H307" s="9"/>
      <c r="I307" s="9"/>
      <c r="J307" s="9"/>
      <c r="K307" s="9"/>
    </row>
    <row r="308" spans="1:11" s="7" customFormat="1" ht="15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s="7" customFormat="1" ht="15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s="7" customFormat="1" ht="15" thickBot="1" x14ac:dyDescent="0.25">
      <c r="A310" s="9"/>
      <c r="B310" s="9"/>
      <c r="C310" s="9"/>
      <c r="D310" s="9"/>
      <c r="E310" s="9"/>
      <c r="F310" s="9">
        <v>0</v>
      </c>
      <c r="G310" s="9" t="s">
        <v>74</v>
      </c>
      <c r="H310" s="9"/>
      <c r="I310" s="9"/>
      <c r="J310" s="9"/>
      <c r="K310" s="9"/>
    </row>
    <row r="311" spans="1:11" s="7" customFormat="1" ht="15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s="7" customFormat="1" ht="15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s="7" customFormat="1" ht="15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s="7" customFormat="1" ht="15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s="7" customFormat="1" ht="15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s="7" customFormat="1" ht="15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s="7" customFormat="1" ht="15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s="7" customFormat="1" ht="15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s="7" customFormat="1" ht="15" thickBo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s="7" customFormat="1" ht="15" thickBo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s="7" customFormat="1" ht="15" thickBo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s="7" customFormat="1" ht="15" thickBo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s="7" customFormat="1" ht="15" thickBo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s="7" customFormat="1" ht="15" thickBo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s="7" customFormat="1" ht="15" thickBo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s="7" customFormat="1" ht="15" thickBo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s="7" customFormat="1" ht="15" thickBo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s="7" customFormat="1" ht="15" thickBo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s="7" customFormat="1" ht="15" thickBo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s="7" customFormat="1" ht="15" thickBo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s="7" customFormat="1" ht="15" thickBo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s="7" customFormat="1" ht="15" thickBo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s="7" customFormat="1" ht="15" thickBo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s="7" customFormat="1" ht="15" thickBo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s="7" customFormat="1" ht="15" thickBo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s="7" customFormat="1" ht="15" thickBo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s="7" customFormat="1" ht="15" thickBo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s="7" customFormat="1" ht="15" thickBo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s="7" customFormat="1" ht="15" thickBo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s="7" customFormat="1" ht="15" thickBo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s="7" customFormat="1" ht="15" thickBo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s="7" customFormat="1" ht="15" thickBo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s="7" customFormat="1" ht="15" thickBo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s="7" customFormat="1" ht="15" thickBo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s="7" customFormat="1" ht="15" thickBo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s="7" customFormat="1" ht="15" thickBo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s="7" customFormat="1" ht="15" thickBo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s="7" customFormat="1" ht="15" thickBo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s="7" customFormat="1" ht="15" thickBo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s="7" customFormat="1" ht="15" thickBo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s="7" customFormat="1" x14ac:dyDescent="0.2">
      <c r="B351" s="5"/>
      <c r="C351" s="5"/>
      <c r="D351" s="5"/>
      <c r="E351" s="5"/>
      <c r="F351" s="5"/>
      <c r="I351" s="5"/>
      <c r="J351" s="5"/>
    </row>
    <row r="352" spans="1:11" s="7" customFormat="1" x14ac:dyDescent="0.2">
      <c r="B352" s="5"/>
      <c r="C352" s="5"/>
      <c r="D352" s="5"/>
      <c r="E352" s="5"/>
      <c r="F352" s="5"/>
      <c r="I352" s="5"/>
      <c r="J352" s="5"/>
    </row>
    <row r="353" spans="2:10" s="7" customFormat="1" x14ac:dyDescent="0.2">
      <c r="B353" s="5"/>
      <c r="C353" s="5"/>
      <c r="D353" s="5"/>
      <c r="E353" s="5"/>
      <c r="F353" s="5"/>
      <c r="I353" s="5"/>
      <c r="J353" s="5"/>
    </row>
    <row r="354" spans="2:10" s="7" customFormat="1" x14ac:dyDescent="0.2">
      <c r="B354" s="5"/>
      <c r="C354" s="5"/>
      <c r="D354" s="5"/>
      <c r="E354" s="5"/>
      <c r="F354" s="5"/>
      <c r="I354" s="5"/>
      <c r="J354" s="5"/>
    </row>
    <row r="355" spans="2:10" s="7" customFormat="1" x14ac:dyDescent="0.2">
      <c r="B355" s="5"/>
      <c r="C355" s="5"/>
      <c r="D355" s="5"/>
      <c r="E355" s="5"/>
      <c r="F355" s="5"/>
      <c r="I355" s="5"/>
      <c r="J355" s="5"/>
    </row>
    <row r="356" spans="2:10" s="7" customFormat="1" x14ac:dyDescent="0.2">
      <c r="B356" s="5"/>
      <c r="C356" s="5"/>
      <c r="D356" s="5"/>
      <c r="E356" s="5"/>
      <c r="F356" s="5"/>
      <c r="I356" s="5"/>
      <c r="J356" s="5"/>
    </row>
    <row r="357" spans="2:10" s="7" customFormat="1" x14ac:dyDescent="0.2">
      <c r="B357" s="5"/>
      <c r="C357" s="5"/>
      <c r="D357" s="5"/>
      <c r="E357" s="5"/>
      <c r="F357" s="5"/>
      <c r="I357" s="5"/>
      <c r="J357" s="5"/>
    </row>
    <row r="358" spans="2:10" s="7" customFormat="1" x14ac:dyDescent="0.2">
      <c r="B358" s="5"/>
      <c r="C358" s="5"/>
      <c r="D358" s="5"/>
      <c r="E358" s="5"/>
      <c r="F358" s="5"/>
      <c r="I358" s="5"/>
      <c r="J358" s="5"/>
    </row>
    <row r="359" spans="2:10" s="7" customFormat="1" x14ac:dyDescent="0.2">
      <c r="B359" s="5"/>
      <c r="C359" s="5"/>
      <c r="D359" s="5"/>
      <c r="E359" s="5"/>
      <c r="F359" s="5"/>
      <c r="I359" s="5"/>
      <c r="J359" s="5"/>
    </row>
    <row r="360" spans="2:10" s="7" customFormat="1" x14ac:dyDescent="0.2">
      <c r="B360" s="5"/>
      <c r="C360" s="5"/>
      <c r="D360" s="5"/>
      <c r="E360" s="5"/>
      <c r="F360" s="5"/>
      <c r="I360" s="5"/>
      <c r="J360" s="5"/>
    </row>
    <row r="361" spans="2:10" s="7" customFormat="1" x14ac:dyDescent="0.2">
      <c r="B361" s="5"/>
      <c r="C361" s="5"/>
      <c r="D361" s="5"/>
      <c r="E361" s="5"/>
      <c r="F361" s="5"/>
      <c r="I361" s="5"/>
      <c r="J361" s="5"/>
    </row>
    <row r="362" spans="2:10" s="7" customFormat="1" x14ac:dyDescent="0.2">
      <c r="B362" s="5"/>
      <c r="C362" s="5"/>
      <c r="D362" s="5"/>
      <c r="E362" s="5"/>
      <c r="F362" s="5"/>
      <c r="I362" s="5"/>
      <c r="J362" s="5"/>
    </row>
    <row r="363" spans="2:10" s="7" customFormat="1" x14ac:dyDescent="0.2">
      <c r="B363" s="5"/>
      <c r="C363" s="5"/>
      <c r="D363" s="5"/>
      <c r="E363" s="5"/>
      <c r="F363" s="5"/>
      <c r="I363" s="5"/>
      <c r="J363" s="5"/>
    </row>
    <row r="364" spans="2:10" s="7" customFormat="1" x14ac:dyDescent="0.2">
      <c r="B364" s="5"/>
      <c r="C364" s="5"/>
      <c r="D364" s="5"/>
      <c r="E364" s="5"/>
      <c r="F364" s="5"/>
      <c r="I364" s="5"/>
      <c r="J364" s="5"/>
    </row>
    <row r="365" spans="2:10" s="7" customFormat="1" x14ac:dyDescent="0.2">
      <c r="B365" s="5"/>
      <c r="C365" s="5"/>
      <c r="D365" s="5"/>
      <c r="E365" s="5"/>
      <c r="F365" s="5"/>
      <c r="I365" s="5"/>
      <c r="J365" s="5"/>
    </row>
    <row r="366" spans="2:10" s="7" customFormat="1" x14ac:dyDescent="0.2">
      <c r="B366" s="5"/>
      <c r="C366" s="5"/>
      <c r="D366" s="5"/>
      <c r="E366" s="5"/>
      <c r="F366" s="5"/>
      <c r="I366" s="5"/>
      <c r="J366" s="5"/>
    </row>
    <row r="367" spans="2:10" s="7" customFormat="1" x14ac:dyDescent="0.2">
      <c r="B367" s="5"/>
      <c r="C367" s="5"/>
      <c r="D367" s="5"/>
      <c r="E367" s="5"/>
      <c r="F367" s="5"/>
      <c r="I367" s="5"/>
      <c r="J367" s="5"/>
    </row>
    <row r="368" spans="2:10" s="7" customFormat="1" x14ac:dyDescent="0.2">
      <c r="B368" s="5"/>
      <c r="C368" s="5"/>
      <c r="D368" s="5"/>
      <c r="E368" s="5"/>
      <c r="F368" s="5"/>
      <c r="I368" s="5"/>
      <c r="J368" s="5"/>
    </row>
    <row r="369" spans="2:10" s="7" customFormat="1" x14ac:dyDescent="0.2">
      <c r="B369" s="5"/>
      <c r="C369" s="5"/>
      <c r="D369" s="5"/>
      <c r="E369" s="5"/>
      <c r="F369" s="5"/>
      <c r="I369" s="5"/>
      <c r="J369" s="5"/>
    </row>
    <row r="370" spans="2:10" s="7" customFormat="1" x14ac:dyDescent="0.2">
      <c r="B370" s="5"/>
      <c r="C370" s="5"/>
      <c r="D370" s="5"/>
      <c r="E370" s="5"/>
      <c r="F370" s="5"/>
      <c r="I370" s="5"/>
      <c r="J370" s="5"/>
    </row>
    <row r="371" spans="2:10" s="7" customFormat="1" x14ac:dyDescent="0.2">
      <c r="B371" s="5"/>
      <c r="C371" s="5"/>
      <c r="D371" s="5"/>
      <c r="E371" s="5"/>
      <c r="F371" s="5"/>
      <c r="I371" s="5"/>
      <c r="J371" s="5"/>
    </row>
    <row r="372" spans="2:10" s="7" customFormat="1" x14ac:dyDescent="0.2">
      <c r="B372" s="5"/>
      <c r="C372" s="5"/>
      <c r="D372" s="5"/>
      <c r="E372" s="5"/>
      <c r="F372" s="5"/>
      <c r="I372" s="5"/>
      <c r="J372" s="5"/>
    </row>
    <row r="373" spans="2:10" s="7" customFormat="1" x14ac:dyDescent="0.2">
      <c r="B373" s="5"/>
      <c r="C373" s="5"/>
      <c r="D373" s="5"/>
      <c r="E373" s="5"/>
      <c r="F373" s="5"/>
      <c r="I373" s="5"/>
      <c r="J373" s="5"/>
    </row>
    <row r="374" spans="2:10" s="7" customFormat="1" x14ac:dyDescent="0.2">
      <c r="B374" s="5"/>
      <c r="C374" s="5"/>
      <c r="D374" s="5"/>
      <c r="E374" s="5"/>
      <c r="F374" s="5"/>
      <c r="I374" s="5"/>
      <c r="J374" s="5"/>
    </row>
    <row r="375" spans="2:10" s="7" customFormat="1" x14ac:dyDescent="0.2">
      <c r="B375" s="5"/>
      <c r="C375" s="5"/>
      <c r="D375" s="5"/>
      <c r="E375" s="5"/>
      <c r="F375" s="5"/>
      <c r="I375" s="5"/>
      <c r="J375" s="5"/>
    </row>
    <row r="376" spans="2:10" s="7" customFormat="1" x14ac:dyDescent="0.2">
      <c r="B376" s="5"/>
      <c r="C376" s="5"/>
      <c r="D376" s="5"/>
      <c r="E376" s="5"/>
      <c r="F376" s="5"/>
      <c r="I376" s="5"/>
      <c r="J376" s="5"/>
    </row>
    <row r="377" spans="2:10" s="7" customFormat="1" x14ac:dyDescent="0.2">
      <c r="B377" s="5"/>
      <c r="C377" s="5"/>
      <c r="D377" s="5"/>
      <c r="E377" s="5"/>
      <c r="F377" s="5"/>
      <c r="I377" s="5"/>
      <c r="J377" s="5"/>
    </row>
    <row r="378" spans="2:10" s="7" customFormat="1" x14ac:dyDescent="0.2">
      <c r="B378" s="5"/>
      <c r="C378" s="5"/>
      <c r="D378" s="5"/>
      <c r="E378" s="5"/>
      <c r="F378" s="5"/>
      <c r="I378" s="5"/>
      <c r="J378" s="5"/>
    </row>
    <row r="379" spans="2:10" s="7" customFormat="1" x14ac:dyDescent="0.2">
      <c r="B379" s="5"/>
      <c r="C379" s="5"/>
      <c r="D379" s="5"/>
      <c r="E379" s="5"/>
      <c r="F379" s="5"/>
      <c r="I379" s="5"/>
      <c r="J379" s="5"/>
    </row>
    <row r="380" spans="2:10" s="7" customFormat="1" x14ac:dyDescent="0.2">
      <c r="B380" s="5"/>
      <c r="C380" s="5"/>
      <c r="D380" s="5"/>
      <c r="E380" s="5"/>
      <c r="F380" s="5"/>
      <c r="I380" s="5"/>
      <c r="J380" s="5"/>
    </row>
    <row r="381" spans="2:10" s="7" customFormat="1" x14ac:dyDescent="0.2">
      <c r="B381" s="5"/>
      <c r="C381" s="5"/>
      <c r="D381" s="5"/>
      <c r="E381" s="5"/>
      <c r="F381" s="5"/>
      <c r="I381" s="5"/>
      <c r="J381" s="5"/>
    </row>
    <row r="382" spans="2:10" s="7" customFormat="1" x14ac:dyDescent="0.2">
      <c r="B382" s="5"/>
      <c r="C382" s="5"/>
      <c r="D382" s="5"/>
      <c r="E382" s="5"/>
      <c r="F382" s="5"/>
      <c r="I382" s="5"/>
      <c r="J382" s="5"/>
    </row>
    <row r="383" spans="2:10" s="7" customFormat="1" x14ac:dyDescent="0.2">
      <c r="B383" s="5"/>
      <c r="C383" s="5"/>
      <c r="D383" s="5"/>
      <c r="E383" s="5"/>
      <c r="F383" s="5"/>
      <c r="I383" s="5"/>
      <c r="J383" s="5"/>
    </row>
    <row r="384" spans="2:10" s="7" customFormat="1" x14ac:dyDescent="0.2">
      <c r="B384" s="5"/>
      <c r="C384" s="5"/>
      <c r="D384" s="5"/>
      <c r="E384" s="5"/>
      <c r="F384" s="5"/>
      <c r="I384" s="5"/>
      <c r="J384" s="5"/>
    </row>
    <row r="385" spans="2:10" s="7" customFormat="1" x14ac:dyDescent="0.2">
      <c r="B385" s="5"/>
      <c r="C385" s="5"/>
      <c r="D385" s="5"/>
      <c r="E385" s="5"/>
      <c r="F385" s="5"/>
      <c r="I385" s="5"/>
      <c r="J385" s="5"/>
    </row>
    <row r="386" spans="2:10" s="7" customFormat="1" x14ac:dyDescent="0.2">
      <c r="B386" s="5"/>
      <c r="C386" s="5"/>
      <c r="D386" s="5"/>
      <c r="E386" s="5"/>
      <c r="F386" s="5"/>
      <c r="I386" s="5"/>
      <c r="J386" s="5"/>
    </row>
    <row r="387" spans="2:10" s="7" customFormat="1" x14ac:dyDescent="0.2">
      <c r="B387" s="5"/>
      <c r="C387" s="5"/>
      <c r="D387" s="5"/>
      <c r="E387" s="5"/>
      <c r="F387" s="5"/>
      <c r="I387" s="5"/>
      <c r="J387" s="5"/>
    </row>
    <row r="388" spans="2:10" s="7" customFormat="1" x14ac:dyDescent="0.2">
      <c r="B388" s="5"/>
      <c r="C388" s="5"/>
      <c r="D388" s="5"/>
      <c r="E388" s="5"/>
      <c r="F388" s="5"/>
      <c r="I388" s="5"/>
      <c r="J388" s="5"/>
    </row>
    <row r="389" spans="2:10" s="7" customFormat="1" x14ac:dyDescent="0.2">
      <c r="B389" s="5"/>
      <c r="C389" s="5"/>
      <c r="D389" s="5"/>
      <c r="E389" s="5"/>
      <c r="F389" s="5"/>
      <c r="I389" s="5"/>
      <c r="J389" s="5"/>
    </row>
    <row r="390" spans="2:10" s="7" customFormat="1" x14ac:dyDescent="0.2">
      <c r="B390" s="5"/>
      <c r="C390" s="5"/>
      <c r="D390" s="5"/>
      <c r="E390" s="5"/>
      <c r="F390" s="5"/>
      <c r="I390" s="5"/>
      <c r="J390" s="5"/>
    </row>
    <row r="391" spans="2:10" s="7" customFormat="1" x14ac:dyDescent="0.2">
      <c r="B391" s="5"/>
      <c r="C391" s="5"/>
      <c r="D391" s="5"/>
      <c r="E391" s="5"/>
      <c r="F391" s="5"/>
      <c r="I391" s="5"/>
      <c r="J391" s="5"/>
    </row>
    <row r="392" spans="2:10" s="7" customFormat="1" x14ac:dyDescent="0.2">
      <c r="B392" s="5"/>
      <c r="C392" s="5"/>
      <c r="D392" s="5"/>
      <c r="E392" s="5"/>
      <c r="F392" s="5"/>
      <c r="I392" s="5"/>
      <c r="J392" s="5"/>
    </row>
    <row r="393" spans="2:10" s="7" customFormat="1" x14ac:dyDescent="0.2">
      <c r="B393" s="5"/>
      <c r="C393" s="5"/>
      <c r="D393" s="5"/>
      <c r="E393" s="5"/>
      <c r="F393" s="5"/>
      <c r="I393" s="5"/>
      <c r="J393" s="5"/>
    </row>
    <row r="394" spans="2:10" s="7" customFormat="1" x14ac:dyDescent="0.2">
      <c r="B394" s="5"/>
      <c r="C394" s="5"/>
      <c r="D394" s="5"/>
      <c r="E394" s="5"/>
      <c r="F394" s="5"/>
      <c r="I394" s="5"/>
      <c r="J394" s="5"/>
    </row>
    <row r="395" spans="2:10" s="7" customFormat="1" x14ac:dyDescent="0.2">
      <c r="B395" s="5"/>
      <c r="C395" s="5"/>
      <c r="D395" s="5"/>
      <c r="E395" s="5"/>
      <c r="F395" s="5"/>
      <c r="I395" s="5"/>
      <c r="J395" s="5"/>
    </row>
    <row r="396" spans="2:10" s="7" customFormat="1" x14ac:dyDescent="0.2">
      <c r="B396" s="5"/>
      <c r="C396" s="5"/>
      <c r="D396" s="5"/>
      <c r="E396" s="5"/>
      <c r="F396" s="5"/>
      <c r="I396" s="5"/>
      <c r="J396" s="5"/>
    </row>
    <row r="397" spans="2:10" s="7" customFormat="1" x14ac:dyDescent="0.2">
      <c r="B397" s="5"/>
      <c r="C397" s="5"/>
      <c r="D397" s="5"/>
      <c r="E397" s="5"/>
      <c r="F397" s="5"/>
      <c r="I397" s="5"/>
      <c r="J397" s="5"/>
    </row>
    <row r="398" spans="2:10" s="7" customFormat="1" x14ac:dyDescent="0.2">
      <c r="B398" s="5"/>
      <c r="C398" s="5"/>
      <c r="D398" s="5"/>
      <c r="E398" s="5"/>
      <c r="F398" s="5"/>
      <c r="I398" s="5"/>
      <c r="J398" s="5"/>
    </row>
    <row r="399" spans="2:10" s="7" customFormat="1" x14ac:dyDescent="0.2">
      <c r="B399" s="5"/>
      <c r="C399" s="5"/>
      <c r="D399" s="5"/>
      <c r="E399" s="5"/>
      <c r="F399" s="5"/>
      <c r="I399" s="5"/>
      <c r="J399" s="5"/>
    </row>
    <row r="400" spans="2:10" s="7" customFormat="1" x14ac:dyDescent="0.2">
      <c r="B400" s="5"/>
      <c r="C400" s="5"/>
      <c r="D400" s="5"/>
      <c r="E400" s="5"/>
      <c r="F400" s="5"/>
      <c r="I400" s="5"/>
      <c r="J400" s="5"/>
    </row>
    <row r="401" spans="2:10" s="7" customFormat="1" x14ac:dyDescent="0.2">
      <c r="B401" s="5"/>
      <c r="C401" s="5"/>
      <c r="D401" s="5"/>
      <c r="E401" s="5"/>
      <c r="F401" s="5"/>
      <c r="I401" s="5"/>
      <c r="J401" s="5"/>
    </row>
    <row r="402" spans="2:10" s="7" customFormat="1" x14ac:dyDescent="0.2">
      <c r="B402" s="5"/>
      <c r="C402" s="5"/>
      <c r="D402" s="5"/>
      <c r="E402" s="5"/>
      <c r="F402" s="5"/>
      <c r="I402" s="5"/>
      <c r="J402" s="5"/>
    </row>
    <row r="403" spans="2:10" s="7" customFormat="1" x14ac:dyDescent="0.2">
      <c r="B403" s="5"/>
      <c r="C403" s="5"/>
      <c r="D403" s="5"/>
      <c r="E403" s="5"/>
      <c r="F403" s="5"/>
      <c r="I403" s="5"/>
      <c r="J403" s="5"/>
    </row>
    <row r="404" spans="2:10" s="7" customFormat="1" x14ac:dyDescent="0.2">
      <c r="B404" s="5"/>
      <c r="C404" s="5"/>
      <c r="D404" s="5"/>
      <c r="E404" s="5"/>
      <c r="F404" s="5"/>
      <c r="I404" s="5"/>
      <c r="J404" s="5"/>
    </row>
    <row r="405" spans="2:10" s="7" customFormat="1" x14ac:dyDescent="0.2">
      <c r="B405" s="5"/>
      <c r="C405" s="5"/>
      <c r="D405" s="5"/>
      <c r="E405" s="5"/>
      <c r="F405" s="5"/>
      <c r="I405" s="5"/>
      <c r="J405" s="5"/>
    </row>
    <row r="406" spans="2:10" s="7" customFormat="1" x14ac:dyDescent="0.2">
      <c r="B406" s="5"/>
      <c r="C406" s="5"/>
      <c r="D406" s="5"/>
      <c r="E406" s="5"/>
      <c r="F406" s="5"/>
      <c r="I406" s="5"/>
      <c r="J406" s="5"/>
    </row>
    <row r="407" spans="2:10" s="7" customFormat="1" x14ac:dyDescent="0.2">
      <c r="B407" s="5"/>
      <c r="C407" s="5"/>
      <c r="D407" s="5"/>
      <c r="E407" s="5"/>
      <c r="F407" s="5"/>
      <c r="I407" s="5"/>
      <c r="J407" s="5"/>
    </row>
    <row r="408" spans="2:10" s="7" customFormat="1" x14ac:dyDescent="0.2">
      <c r="B408" s="5"/>
      <c r="C408" s="5"/>
      <c r="D408" s="5"/>
      <c r="E408" s="5"/>
      <c r="F408" s="5"/>
      <c r="I408" s="5"/>
      <c r="J408" s="5"/>
    </row>
    <row r="409" spans="2:10" s="7" customFormat="1" x14ac:dyDescent="0.2">
      <c r="B409" s="5"/>
      <c r="C409" s="5"/>
      <c r="D409" s="5"/>
      <c r="E409" s="5"/>
      <c r="F409" s="5"/>
      <c r="I409" s="5"/>
      <c r="J409" s="5"/>
    </row>
    <row r="410" spans="2:10" s="7" customFormat="1" x14ac:dyDescent="0.2">
      <c r="B410" s="5"/>
      <c r="C410" s="5"/>
      <c r="D410" s="5"/>
      <c r="E410" s="5"/>
      <c r="F410" s="5"/>
      <c r="I410" s="5"/>
      <c r="J410" s="5"/>
    </row>
    <row r="411" spans="2:10" s="7" customFormat="1" x14ac:dyDescent="0.2">
      <c r="B411" s="5"/>
      <c r="C411" s="5"/>
      <c r="D411" s="5"/>
      <c r="E411" s="5"/>
      <c r="F411" s="5"/>
      <c r="I411" s="5"/>
      <c r="J411" s="5"/>
    </row>
    <row r="412" spans="2:10" s="7" customFormat="1" x14ac:dyDescent="0.2">
      <c r="B412" s="5"/>
      <c r="C412" s="5"/>
      <c r="D412" s="5"/>
      <c r="E412" s="5"/>
      <c r="F412" s="5"/>
      <c r="I412" s="5"/>
      <c r="J412" s="5"/>
    </row>
    <row r="413" spans="2:10" s="7" customFormat="1" x14ac:dyDescent="0.2">
      <c r="B413" s="5"/>
      <c r="C413" s="5"/>
      <c r="D413" s="5"/>
      <c r="E413" s="5"/>
      <c r="F413" s="5"/>
      <c r="I413" s="5"/>
      <c r="J413" s="5"/>
    </row>
    <row r="414" spans="2:10" s="7" customFormat="1" x14ac:dyDescent="0.2">
      <c r="B414" s="5"/>
      <c r="C414" s="5"/>
      <c r="D414" s="5"/>
      <c r="E414" s="5"/>
      <c r="F414" s="5"/>
      <c r="I414" s="5"/>
      <c r="J414" s="5"/>
    </row>
    <row r="415" spans="2:10" s="7" customFormat="1" x14ac:dyDescent="0.2">
      <c r="B415" s="5"/>
      <c r="C415" s="5"/>
      <c r="D415" s="5"/>
      <c r="E415" s="5"/>
      <c r="F415" s="5"/>
      <c r="I415" s="5"/>
      <c r="J415" s="5"/>
    </row>
    <row r="416" spans="2:10" s="7" customFormat="1" x14ac:dyDescent="0.2">
      <c r="B416" s="5"/>
      <c r="C416" s="5"/>
      <c r="D416" s="5"/>
      <c r="E416" s="5"/>
      <c r="F416" s="5"/>
      <c r="I416" s="5"/>
      <c r="J416" s="5"/>
    </row>
    <row r="417" spans="2:10" s="7" customFormat="1" x14ac:dyDescent="0.2">
      <c r="B417" s="5"/>
      <c r="C417" s="5"/>
      <c r="D417" s="5"/>
      <c r="E417" s="5"/>
      <c r="F417" s="5"/>
      <c r="I417" s="5"/>
      <c r="J417" s="5"/>
    </row>
    <row r="418" spans="2:10" s="7" customFormat="1" x14ac:dyDescent="0.2">
      <c r="B418" s="5"/>
      <c r="C418" s="5"/>
      <c r="D418" s="5"/>
      <c r="E418" s="5"/>
      <c r="F418" s="5"/>
      <c r="I418" s="5"/>
      <c r="J418" s="5"/>
    </row>
    <row r="419" spans="2:10" s="7" customFormat="1" x14ac:dyDescent="0.2">
      <c r="B419" s="5"/>
      <c r="C419" s="5"/>
      <c r="D419" s="5"/>
      <c r="E419" s="5"/>
      <c r="F419" s="5"/>
      <c r="I419" s="5"/>
      <c r="J419" s="5"/>
    </row>
    <row r="420" spans="2:10" s="7" customFormat="1" x14ac:dyDescent="0.2">
      <c r="B420" s="5"/>
      <c r="C420" s="5"/>
      <c r="D420" s="5"/>
      <c r="E420" s="5"/>
      <c r="F420" s="5"/>
      <c r="I420" s="5"/>
      <c r="J420" s="5"/>
    </row>
    <row r="421" spans="2:10" s="7" customFormat="1" x14ac:dyDescent="0.2">
      <c r="B421" s="5"/>
      <c r="C421" s="5"/>
      <c r="D421" s="5"/>
      <c r="E421" s="5"/>
      <c r="F421" s="5"/>
      <c r="I421" s="5"/>
      <c r="J421" s="5"/>
    </row>
    <row r="422" spans="2:10" s="7" customFormat="1" x14ac:dyDescent="0.2">
      <c r="B422" s="5"/>
      <c r="C422" s="5"/>
      <c r="D422" s="5"/>
      <c r="E422" s="5"/>
      <c r="F422" s="5"/>
      <c r="I422" s="5"/>
      <c r="J422" s="5"/>
    </row>
    <row r="423" spans="2:10" s="7" customFormat="1" x14ac:dyDescent="0.2">
      <c r="B423" s="5"/>
      <c r="C423" s="5"/>
      <c r="D423" s="5"/>
      <c r="E423" s="5"/>
      <c r="F423" s="5"/>
      <c r="I423" s="5"/>
      <c r="J423" s="5"/>
    </row>
    <row r="424" spans="2:10" s="7" customFormat="1" x14ac:dyDescent="0.2">
      <c r="B424" s="5"/>
      <c r="C424" s="5"/>
      <c r="D424" s="5"/>
      <c r="E424" s="5"/>
      <c r="F424" s="5"/>
      <c r="I424" s="5"/>
      <c r="J424" s="5"/>
    </row>
    <row r="425" spans="2:10" s="7" customFormat="1" x14ac:dyDescent="0.2">
      <c r="B425" s="5"/>
      <c r="C425" s="5"/>
      <c r="D425" s="5"/>
      <c r="E425" s="5"/>
      <c r="F425" s="5"/>
      <c r="I425" s="5"/>
      <c r="J425" s="5"/>
    </row>
    <row r="426" spans="2:10" s="7" customFormat="1" x14ac:dyDescent="0.2">
      <c r="B426" s="5"/>
      <c r="C426" s="5"/>
      <c r="D426" s="5"/>
      <c r="E426" s="5"/>
      <c r="F426" s="5"/>
      <c r="I426" s="5"/>
      <c r="J426" s="5"/>
    </row>
    <row r="427" spans="2:10" s="7" customFormat="1" x14ac:dyDescent="0.2">
      <c r="B427" s="5"/>
      <c r="C427" s="5"/>
      <c r="D427" s="5"/>
      <c r="E427" s="5"/>
      <c r="F427" s="5"/>
      <c r="I427" s="5"/>
      <c r="J427" s="5"/>
    </row>
    <row r="428" spans="2:10" s="7" customFormat="1" x14ac:dyDescent="0.2">
      <c r="B428" s="5"/>
      <c r="C428" s="5"/>
      <c r="D428" s="5"/>
      <c r="E428" s="5"/>
      <c r="F428" s="5"/>
      <c r="I428" s="5"/>
      <c r="J428" s="5"/>
    </row>
    <row r="429" spans="2:10" s="7" customFormat="1" x14ac:dyDescent="0.2">
      <c r="B429" s="5"/>
      <c r="C429" s="5"/>
      <c r="D429" s="5"/>
      <c r="E429" s="5"/>
      <c r="F429" s="5"/>
      <c r="I429" s="5"/>
      <c r="J429" s="5"/>
    </row>
    <row r="430" spans="2:10" s="7" customFormat="1" x14ac:dyDescent="0.2">
      <c r="B430" s="5"/>
      <c r="C430" s="5"/>
      <c r="D430" s="5"/>
      <c r="E430" s="5"/>
      <c r="F430" s="5"/>
      <c r="I430" s="5"/>
      <c r="J430" s="5"/>
    </row>
    <row r="431" spans="2:10" s="7" customFormat="1" x14ac:dyDescent="0.2">
      <c r="B431" s="5"/>
      <c r="C431" s="5"/>
      <c r="D431" s="5"/>
      <c r="E431" s="5"/>
      <c r="F431" s="5"/>
      <c r="I431" s="5"/>
      <c r="J431" s="5"/>
    </row>
    <row r="432" spans="2:10" s="7" customFormat="1" x14ac:dyDescent="0.2">
      <c r="B432" s="5"/>
      <c r="C432" s="5"/>
      <c r="D432" s="5"/>
      <c r="E432" s="5"/>
      <c r="F432" s="5"/>
      <c r="I432" s="5"/>
      <c r="J432" s="5"/>
    </row>
    <row r="433" spans="2:10" s="7" customFormat="1" x14ac:dyDescent="0.2">
      <c r="B433" s="5"/>
      <c r="C433" s="5"/>
      <c r="D433" s="5"/>
      <c r="E433" s="5"/>
      <c r="F433" s="5"/>
      <c r="I433" s="5"/>
      <c r="J433" s="5"/>
    </row>
    <row r="434" spans="2:10" s="7" customFormat="1" x14ac:dyDescent="0.2">
      <c r="B434" s="5"/>
      <c r="C434" s="5"/>
      <c r="D434" s="5"/>
      <c r="E434" s="5"/>
      <c r="F434" s="5"/>
      <c r="I434" s="5"/>
      <c r="J434" s="5"/>
    </row>
    <row r="435" spans="2:10" s="7" customFormat="1" x14ac:dyDescent="0.2">
      <c r="B435" s="5"/>
      <c r="C435" s="5"/>
      <c r="D435" s="5"/>
      <c r="E435" s="5"/>
      <c r="F435" s="5"/>
      <c r="I435" s="5"/>
      <c r="J435" s="5"/>
    </row>
    <row r="436" spans="2:10" s="7" customFormat="1" x14ac:dyDescent="0.2">
      <c r="B436" s="5"/>
      <c r="C436" s="5"/>
      <c r="D436" s="5"/>
      <c r="E436" s="5"/>
      <c r="F436" s="5"/>
      <c r="I436" s="5"/>
      <c r="J436" s="5"/>
    </row>
    <row r="437" spans="2:10" s="7" customFormat="1" x14ac:dyDescent="0.2">
      <c r="B437" s="5"/>
      <c r="C437" s="5"/>
      <c r="D437" s="5"/>
      <c r="E437" s="5"/>
      <c r="F437" s="5"/>
      <c r="I437" s="5"/>
      <c r="J437" s="5"/>
    </row>
    <row r="438" spans="2:10" s="7" customFormat="1" x14ac:dyDescent="0.2">
      <c r="B438" s="5"/>
      <c r="C438" s="5"/>
      <c r="D438" s="5"/>
      <c r="E438" s="5"/>
      <c r="F438" s="5"/>
      <c r="I438" s="5"/>
      <c r="J438" s="5"/>
    </row>
    <row r="439" spans="2:10" s="7" customFormat="1" x14ac:dyDescent="0.2">
      <c r="B439" s="5"/>
      <c r="C439" s="5"/>
      <c r="D439" s="5"/>
      <c r="E439" s="5"/>
      <c r="F439" s="5"/>
      <c r="I439" s="5"/>
      <c r="J439" s="5"/>
    </row>
    <row r="440" spans="2:10" s="7" customFormat="1" x14ac:dyDescent="0.2">
      <c r="B440" s="5"/>
      <c r="C440" s="5"/>
      <c r="D440" s="5"/>
      <c r="E440" s="5"/>
      <c r="F440" s="5"/>
      <c r="I440" s="5"/>
      <c r="J440" s="5"/>
    </row>
    <row r="441" spans="2:10" s="7" customFormat="1" x14ac:dyDescent="0.2">
      <c r="B441" s="5"/>
      <c r="C441" s="5"/>
      <c r="D441" s="5"/>
      <c r="E441" s="5"/>
      <c r="F441" s="5"/>
      <c r="I441" s="5"/>
      <c r="J441" s="5"/>
    </row>
    <row r="442" spans="2:10" s="7" customFormat="1" x14ac:dyDescent="0.2">
      <c r="B442" s="5"/>
      <c r="C442" s="5"/>
      <c r="D442" s="5"/>
      <c r="E442" s="5"/>
      <c r="F442" s="5"/>
      <c r="I442" s="5"/>
      <c r="J442" s="5"/>
    </row>
    <row r="443" spans="2:10" s="7" customFormat="1" x14ac:dyDescent="0.2">
      <c r="B443" s="5"/>
      <c r="C443" s="5"/>
      <c r="D443" s="5"/>
      <c r="E443" s="5"/>
      <c r="F443" s="5"/>
      <c r="I443" s="5"/>
      <c r="J443" s="5"/>
    </row>
    <row r="444" spans="2:10" s="7" customFormat="1" x14ac:dyDescent="0.2">
      <c r="B444" s="5"/>
      <c r="C444" s="5"/>
      <c r="D444" s="5"/>
      <c r="E444" s="5"/>
      <c r="F444" s="5"/>
      <c r="I444" s="5"/>
      <c r="J444" s="5"/>
    </row>
    <row r="445" spans="2:10" s="7" customFormat="1" x14ac:dyDescent="0.2">
      <c r="B445" s="5"/>
      <c r="C445" s="5"/>
      <c r="D445" s="5"/>
      <c r="E445" s="5"/>
      <c r="F445" s="5"/>
      <c r="I445" s="5"/>
      <c r="J445" s="5"/>
    </row>
    <row r="446" spans="2:10" s="7" customFormat="1" x14ac:dyDescent="0.2">
      <c r="B446" s="5"/>
      <c r="C446" s="5"/>
      <c r="D446" s="5"/>
      <c r="E446" s="5"/>
      <c r="F446" s="5"/>
      <c r="I446" s="5"/>
      <c r="J446" s="5"/>
    </row>
    <row r="447" spans="2:10" s="7" customFormat="1" x14ac:dyDescent="0.2">
      <c r="B447" s="5"/>
      <c r="C447" s="5"/>
      <c r="D447" s="5"/>
      <c r="E447" s="5"/>
      <c r="F447" s="5"/>
      <c r="I447" s="5"/>
      <c r="J447" s="5"/>
    </row>
    <row r="448" spans="2:10" s="7" customFormat="1" x14ac:dyDescent="0.2">
      <c r="B448" s="5"/>
      <c r="C448" s="5"/>
      <c r="D448" s="5"/>
      <c r="E448" s="5"/>
      <c r="F448" s="5"/>
      <c r="I448" s="5"/>
      <c r="J448" s="5"/>
    </row>
    <row r="449" spans="2:10" s="7" customFormat="1" x14ac:dyDescent="0.2">
      <c r="B449" s="5"/>
      <c r="C449" s="5"/>
      <c r="D449" s="5"/>
      <c r="E449" s="5"/>
      <c r="F449" s="5"/>
      <c r="I449" s="5"/>
      <c r="J449" s="5"/>
    </row>
  </sheetData>
  <autoFilter ref="A1:M246" xr:uid="{DAD00364-664A-470B-8B0C-3CB3FB80AFDB}"/>
  <dataValidations count="1">
    <dataValidation type="time" allowBlank="1" showInputMessage="1" showErrorMessage="1" sqref="D33 D28:E32 F36:F37 F40:F46 F48:F100 F103:F109 F111:F163 F166:F172 D34:E299 F174:F225 F236:F299 F228:F234" xr:uid="{459796BD-358F-4AE0-B7F0-DB8E49C5B2EC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1B90384-1E93-49EE-A7B3-BEAFD9D2F91B}">
          <x14:formula1>
            <xm:f>Metadata!$F$2:$F$15</xm:f>
          </x14:formula1>
          <xm:sqref>I2:I299</xm:sqref>
        </x14:dataValidation>
        <x14:dataValidation type="list" allowBlank="1" showInputMessage="1" showErrorMessage="1" xr:uid="{CFABF5D2-4355-4FCC-9F23-708DF20BCC98}">
          <x14:formula1>
            <xm:f>Metadata!$C$3:$C$14</xm:f>
          </x14:formula1>
          <xm:sqref>B2:B299</xm:sqref>
        </x14:dataValidation>
        <x14:dataValidation type="list" allowBlank="1" showInputMessage="1" showErrorMessage="1" xr:uid="{F5D1C403-6467-466C-8DA3-1C12BF0CDF9A}">
          <x14:formula1>
            <xm:f>Metadata!$C$2:$C$15</xm:f>
          </x14:formula1>
          <xm:sqref>H2:H299</xm:sqref>
        </x14:dataValidation>
        <x14:dataValidation type="list" allowBlank="1" showInputMessage="1" showErrorMessage="1" xr:uid="{1C463AAC-35DD-48E0-8CD0-F77C764BBF94}">
          <x14:formula1>
            <xm:f>Metadata!$A$2:$A$15</xm:f>
          </x14:formula1>
          <xm:sqref>G2:G298</xm:sqref>
        </x14:dataValidation>
        <x14:dataValidation type="list" allowBlank="1" showInputMessage="1" showErrorMessage="1" xr:uid="{720D3C25-DB09-47A8-A467-DF4C3ECECC14}">
          <x14:formula1>
            <xm:f>Metadata!$H$2:$H$5</xm:f>
          </x14:formula1>
          <xm:sqref>A2:A299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54C8-ECC7-4007-A1C5-38772D4F23F9}">
  <sheetPr codeName="Tabelle10">
    <pageSetUpPr fitToPage="1"/>
  </sheetPr>
  <dimension ref="A1:K449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11" sqref="A11"/>
      <selection pane="bottomRight" activeCell="D208" sqref="D208:J217"/>
    </sheetView>
  </sheetViews>
  <sheetFormatPr baseColWidth="10" defaultColWidth="11.42578125" defaultRowHeight="14.25" x14ac:dyDescent="0.2"/>
  <cols>
    <col min="1" max="1" width="21.28515625" style="7" hidden="1" customWidth="1"/>
    <col min="2" max="2" width="15.8554687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7.710937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2" width="11.42578125" style="5"/>
    <col min="13" max="13" width="15.42578125" style="5" customWidth="1"/>
    <col min="14" max="16384" width="11.42578125" style="5"/>
  </cols>
  <sheetData>
    <row r="1" spans="1:11" s="18" customFormat="1" ht="60.75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1" s="13" customFormat="1" ht="29.25" thickBot="1" x14ac:dyDescent="0.3">
      <c r="A2" s="19" t="s">
        <v>47</v>
      </c>
      <c r="B2" s="10" t="s">
        <v>1</v>
      </c>
      <c r="C2" s="14">
        <v>46296</v>
      </c>
      <c r="D2" s="11"/>
      <c r="E2" s="11"/>
      <c r="F2" s="12">
        <f>+(E2-D2)*24</f>
        <v>0</v>
      </c>
      <c r="G2" s="20"/>
      <c r="H2" s="20"/>
      <c r="I2" s="9"/>
      <c r="J2" s="9"/>
      <c r="K2" s="9"/>
    </row>
    <row r="3" spans="1:11" s="13" customFormat="1" ht="29.25" thickBot="1" x14ac:dyDescent="0.3">
      <c r="A3" s="19" t="s">
        <v>47</v>
      </c>
      <c r="B3" s="10" t="s">
        <v>1</v>
      </c>
      <c r="C3" s="14">
        <v>46296</v>
      </c>
      <c r="D3" s="11"/>
      <c r="E3" s="11"/>
      <c r="F3" s="12">
        <f>+(E3-D3)*24</f>
        <v>0</v>
      </c>
      <c r="G3" s="20"/>
      <c r="H3" s="20"/>
      <c r="I3" s="9"/>
      <c r="J3" s="9"/>
      <c r="K3" s="9"/>
    </row>
    <row r="4" spans="1:11" s="13" customFormat="1" ht="29.25" thickBot="1" x14ac:dyDescent="0.3">
      <c r="A4" s="19" t="s">
        <v>47</v>
      </c>
      <c r="B4" s="10" t="s">
        <v>1</v>
      </c>
      <c r="C4" s="14">
        <v>46296</v>
      </c>
      <c r="D4" s="11"/>
      <c r="E4" s="11"/>
      <c r="F4" s="12">
        <f>+(E4-D4)*24</f>
        <v>0</v>
      </c>
      <c r="G4" s="20"/>
      <c r="H4" s="20"/>
      <c r="I4" s="9"/>
      <c r="J4" s="9"/>
      <c r="K4" s="9"/>
    </row>
    <row r="5" spans="1:11" s="13" customFormat="1" ht="29.25" thickBot="1" x14ac:dyDescent="0.3">
      <c r="A5" s="19" t="s">
        <v>47</v>
      </c>
      <c r="B5" s="10" t="s">
        <v>1</v>
      </c>
      <c r="C5" s="14">
        <v>46296</v>
      </c>
      <c r="D5" s="11"/>
      <c r="E5" s="11"/>
      <c r="F5" s="12">
        <f>+(E5-D5)*24</f>
        <v>0</v>
      </c>
      <c r="G5" s="20"/>
      <c r="H5" s="20"/>
      <c r="I5" s="9"/>
      <c r="J5" s="9"/>
      <c r="K5" s="9"/>
    </row>
    <row r="6" spans="1:11" s="13" customFormat="1" ht="29.25" thickBot="1" x14ac:dyDescent="0.3">
      <c r="A6" s="19" t="s">
        <v>47</v>
      </c>
      <c r="B6" s="10" t="s">
        <v>1</v>
      </c>
      <c r="C6" s="14">
        <v>46296</v>
      </c>
      <c r="D6" s="11"/>
      <c r="E6" s="11"/>
      <c r="F6" s="12">
        <f t="shared" ref="F6:F69" si="0">+(E6-D6)*24</f>
        <v>0</v>
      </c>
      <c r="G6" s="20"/>
      <c r="H6" s="20"/>
      <c r="I6" s="9"/>
      <c r="J6" s="9"/>
      <c r="K6" s="9"/>
    </row>
    <row r="7" spans="1:11" s="13" customFormat="1" ht="29.25" thickBot="1" x14ac:dyDescent="0.3">
      <c r="A7" s="19" t="s">
        <v>47</v>
      </c>
      <c r="B7" s="10" t="s">
        <v>1</v>
      </c>
      <c r="C7" s="14">
        <v>46296</v>
      </c>
      <c r="D7" s="11"/>
      <c r="E7" s="11"/>
      <c r="F7" s="12">
        <f t="shared" si="0"/>
        <v>0</v>
      </c>
      <c r="G7" s="20"/>
      <c r="H7" s="20"/>
      <c r="I7" s="9"/>
      <c r="J7" s="9"/>
      <c r="K7" s="9"/>
    </row>
    <row r="8" spans="1:11" s="13" customFormat="1" ht="13.9" customHeight="1" thickBot="1" x14ac:dyDescent="0.3">
      <c r="A8" s="19" t="s">
        <v>47</v>
      </c>
      <c r="B8" s="10" t="s">
        <v>1</v>
      </c>
      <c r="C8" s="14">
        <v>46296</v>
      </c>
      <c r="D8" s="11"/>
      <c r="E8" s="11"/>
      <c r="F8" s="12">
        <f t="shared" si="0"/>
        <v>0</v>
      </c>
      <c r="G8" s="20"/>
      <c r="H8" s="20"/>
      <c r="I8" s="9"/>
      <c r="J8" s="9"/>
      <c r="K8" s="9"/>
    </row>
    <row r="9" spans="1:11" s="13" customFormat="1" ht="29.25" thickBot="1" x14ac:dyDescent="0.3">
      <c r="A9" s="19" t="s">
        <v>47</v>
      </c>
      <c r="B9" s="10"/>
      <c r="C9" s="14">
        <v>46296</v>
      </c>
      <c r="D9" s="11"/>
      <c r="E9" s="11"/>
      <c r="F9" s="12">
        <f t="shared" si="0"/>
        <v>0</v>
      </c>
      <c r="G9" s="20"/>
      <c r="H9" s="20"/>
      <c r="I9" s="9"/>
      <c r="J9" s="9"/>
      <c r="K9" s="9"/>
    </row>
    <row r="10" spans="1:11" s="13" customFormat="1" ht="29.25" thickBot="1" x14ac:dyDescent="0.3">
      <c r="A10" s="19" t="s">
        <v>47</v>
      </c>
      <c r="B10" s="10" t="s">
        <v>1</v>
      </c>
      <c r="C10" s="14">
        <v>46296</v>
      </c>
      <c r="D10" s="11"/>
      <c r="E10" s="11"/>
      <c r="F10" s="12">
        <f t="shared" si="0"/>
        <v>0</v>
      </c>
      <c r="G10" s="20"/>
      <c r="H10" s="20"/>
      <c r="I10" s="9"/>
      <c r="J10" s="24"/>
      <c r="K10" s="9"/>
    </row>
    <row r="11" spans="1:11" s="13" customFormat="1" ht="29.25" thickBot="1" x14ac:dyDescent="0.3">
      <c r="A11" s="19" t="s">
        <v>47</v>
      </c>
      <c r="B11" s="10" t="s">
        <v>1</v>
      </c>
      <c r="C11" s="14">
        <v>46297</v>
      </c>
      <c r="D11" s="11"/>
      <c r="E11" s="11"/>
      <c r="F11" s="12">
        <f t="shared" si="0"/>
        <v>0</v>
      </c>
      <c r="G11" s="20"/>
      <c r="H11" s="20"/>
      <c r="I11" s="9"/>
      <c r="J11" s="24"/>
      <c r="K11" s="9"/>
    </row>
    <row r="12" spans="1:11" s="13" customFormat="1" ht="29.25" thickBot="1" x14ac:dyDescent="0.3">
      <c r="A12" s="19" t="s">
        <v>47</v>
      </c>
      <c r="B12" s="10" t="s">
        <v>1</v>
      </c>
      <c r="C12" s="14">
        <v>46297</v>
      </c>
      <c r="D12" s="11"/>
      <c r="E12" s="11"/>
      <c r="F12" s="12">
        <f t="shared" si="0"/>
        <v>0</v>
      </c>
      <c r="G12" s="20"/>
      <c r="H12" s="20"/>
      <c r="I12" s="9"/>
      <c r="J12" s="9"/>
      <c r="K12" s="9"/>
    </row>
    <row r="13" spans="1:11" s="13" customFormat="1" ht="29.25" thickBot="1" x14ac:dyDescent="0.3">
      <c r="A13" s="19" t="s">
        <v>47</v>
      </c>
      <c r="B13" s="10" t="s">
        <v>1</v>
      </c>
      <c r="C13" s="14">
        <v>46297</v>
      </c>
      <c r="D13" s="11"/>
      <c r="E13" s="11"/>
      <c r="F13" s="12">
        <f t="shared" si="0"/>
        <v>0</v>
      </c>
      <c r="G13" s="20"/>
      <c r="H13" s="20"/>
      <c r="I13" s="9"/>
      <c r="J13" s="9"/>
      <c r="K13" s="9"/>
    </row>
    <row r="14" spans="1:11" s="13" customFormat="1" ht="29.25" thickBot="1" x14ac:dyDescent="0.3">
      <c r="A14" s="19" t="s">
        <v>47</v>
      </c>
      <c r="B14" s="10" t="s">
        <v>1</v>
      </c>
      <c r="C14" s="14">
        <v>46297</v>
      </c>
      <c r="D14" s="11"/>
      <c r="E14" s="11"/>
      <c r="F14" s="12">
        <f t="shared" si="0"/>
        <v>0</v>
      </c>
      <c r="G14" s="20"/>
      <c r="H14" s="20"/>
      <c r="I14" s="9"/>
      <c r="J14" s="9"/>
      <c r="K14" s="9"/>
    </row>
    <row r="15" spans="1:11" s="13" customFormat="1" ht="29.25" thickBot="1" x14ac:dyDescent="0.3">
      <c r="A15" s="19" t="s">
        <v>47</v>
      </c>
      <c r="B15" s="10" t="s">
        <v>1</v>
      </c>
      <c r="C15" s="14">
        <v>46297</v>
      </c>
      <c r="D15" s="11"/>
      <c r="E15" s="11"/>
      <c r="F15" s="12">
        <f t="shared" si="0"/>
        <v>0</v>
      </c>
      <c r="G15" s="20"/>
      <c r="H15" s="20"/>
      <c r="I15" s="9"/>
      <c r="J15" s="9"/>
      <c r="K15" s="9"/>
    </row>
    <row r="16" spans="1:11" s="13" customFormat="1" ht="29.25" thickBot="1" x14ac:dyDescent="0.3">
      <c r="A16" s="19" t="s">
        <v>47</v>
      </c>
      <c r="B16" s="10" t="s">
        <v>1</v>
      </c>
      <c r="C16" s="14">
        <v>46297</v>
      </c>
      <c r="D16" s="11"/>
      <c r="E16" s="11"/>
      <c r="F16" s="12">
        <f t="shared" si="0"/>
        <v>0</v>
      </c>
      <c r="G16" s="20"/>
      <c r="H16" s="20"/>
      <c r="I16" s="9"/>
      <c r="J16" s="9"/>
      <c r="K16" s="9"/>
    </row>
    <row r="17" spans="1:11" s="13" customFormat="1" ht="29.25" thickBot="1" x14ac:dyDescent="0.3">
      <c r="A17" s="19" t="s">
        <v>47</v>
      </c>
      <c r="B17" s="10" t="s">
        <v>1</v>
      </c>
      <c r="C17" s="14">
        <v>46297</v>
      </c>
      <c r="D17" s="11"/>
      <c r="E17" s="11"/>
      <c r="F17" s="12">
        <f t="shared" si="0"/>
        <v>0</v>
      </c>
      <c r="G17" s="20"/>
      <c r="H17" s="20"/>
      <c r="I17" s="9"/>
      <c r="J17" s="9"/>
      <c r="K17" s="9"/>
    </row>
    <row r="18" spans="1:11" s="13" customFormat="1" ht="15.75" customHeight="1" thickBot="1" x14ac:dyDescent="0.3">
      <c r="A18" s="19" t="s">
        <v>47</v>
      </c>
      <c r="B18" s="10" t="s">
        <v>1</v>
      </c>
      <c r="C18" s="14">
        <v>46297</v>
      </c>
      <c r="D18" s="11"/>
      <c r="E18" s="11"/>
      <c r="F18" s="12">
        <f t="shared" si="0"/>
        <v>0</v>
      </c>
      <c r="G18" s="20"/>
      <c r="H18" s="20"/>
      <c r="I18" s="9"/>
      <c r="J18" s="9"/>
      <c r="K18" s="9"/>
    </row>
    <row r="19" spans="1:11" s="13" customFormat="1" ht="29.25" thickBot="1" x14ac:dyDescent="0.3">
      <c r="A19" s="19" t="s">
        <v>47</v>
      </c>
      <c r="B19" s="10" t="s">
        <v>1</v>
      </c>
      <c r="C19" s="14">
        <v>46297</v>
      </c>
      <c r="D19" s="11"/>
      <c r="E19" s="11"/>
      <c r="F19" s="12">
        <f t="shared" si="0"/>
        <v>0</v>
      </c>
      <c r="G19" s="20"/>
      <c r="H19" s="20"/>
      <c r="I19" s="9"/>
      <c r="J19" s="9"/>
      <c r="K19" s="9"/>
    </row>
    <row r="20" spans="1:11" s="13" customFormat="1" ht="29.25" thickBot="1" x14ac:dyDescent="0.3">
      <c r="A20" s="19" t="s">
        <v>47</v>
      </c>
      <c r="B20" s="10" t="s">
        <v>1</v>
      </c>
      <c r="C20" s="14">
        <v>46298</v>
      </c>
      <c r="D20" s="11">
        <v>0.35416666666666669</v>
      </c>
      <c r="E20" s="11">
        <v>0.6875</v>
      </c>
      <c r="F20" s="12">
        <f>+(E20-D20)*24</f>
        <v>8</v>
      </c>
      <c r="G20" s="20" t="s">
        <v>21</v>
      </c>
      <c r="H20" s="20" t="s">
        <v>30</v>
      </c>
      <c r="I20" s="9"/>
      <c r="J20" s="9" t="s">
        <v>82</v>
      </c>
      <c r="K20" s="9"/>
    </row>
    <row r="21" spans="1:11" s="13" customFormat="1" ht="29.25" thickBot="1" x14ac:dyDescent="0.3">
      <c r="A21" s="19" t="s">
        <v>47</v>
      </c>
      <c r="B21" s="10" t="s">
        <v>1</v>
      </c>
      <c r="C21" s="14">
        <v>46298</v>
      </c>
      <c r="D21" s="11"/>
      <c r="E21" s="11"/>
      <c r="F21" s="12">
        <f t="shared" si="0"/>
        <v>0</v>
      </c>
      <c r="G21" s="20"/>
      <c r="H21" s="20"/>
      <c r="I21" s="9"/>
      <c r="J21" s="9"/>
      <c r="K21" s="9"/>
    </row>
    <row r="22" spans="1:11" s="13" customFormat="1" ht="29.25" thickBot="1" x14ac:dyDescent="0.3">
      <c r="A22" s="19" t="s">
        <v>47</v>
      </c>
      <c r="B22" s="10" t="s">
        <v>1</v>
      </c>
      <c r="C22" s="14">
        <v>46298</v>
      </c>
      <c r="D22" s="11"/>
      <c r="E22" s="11"/>
      <c r="F22" s="12">
        <f t="shared" si="0"/>
        <v>0</v>
      </c>
      <c r="G22" s="20"/>
      <c r="H22" s="20"/>
      <c r="I22" s="9"/>
      <c r="J22" s="9"/>
      <c r="K22" s="9"/>
    </row>
    <row r="23" spans="1:11" s="13" customFormat="1" ht="29.25" thickBot="1" x14ac:dyDescent="0.3">
      <c r="A23" s="19" t="s">
        <v>47</v>
      </c>
      <c r="B23" s="10" t="s">
        <v>1</v>
      </c>
      <c r="C23" s="14">
        <v>46298</v>
      </c>
      <c r="D23" s="11"/>
      <c r="E23" s="11"/>
      <c r="F23" s="12">
        <f t="shared" si="0"/>
        <v>0</v>
      </c>
      <c r="G23" s="20"/>
      <c r="H23" s="20"/>
      <c r="I23" s="9"/>
      <c r="J23" s="9"/>
      <c r="K23" s="9"/>
    </row>
    <row r="24" spans="1:11" s="13" customFormat="1" ht="29.25" thickBot="1" x14ac:dyDescent="0.3">
      <c r="A24" s="19" t="s">
        <v>47</v>
      </c>
      <c r="B24" s="10" t="s">
        <v>1</v>
      </c>
      <c r="C24" s="14">
        <v>46298</v>
      </c>
      <c r="D24" s="11"/>
      <c r="E24" s="11"/>
      <c r="F24" s="12">
        <f t="shared" si="0"/>
        <v>0</v>
      </c>
      <c r="G24" s="20"/>
      <c r="H24" s="20"/>
      <c r="I24" s="9"/>
      <c r="J24" s="9"/>
      <c r="K24" s="9"/>
    </row>
    <row r="25" spans="1:11" s="13" customFormat="1" ht="29.25" thickBot="1" x14ac:dyDescent="0.3">
      <c r="A25" s="19" t="s">
        <v>47</v>
      </c>
      <c r="B25" s="10" t="s">
        <v>1</v>
      </c>
      <c r="C25" s="14">
        <v>46298</v>
      </c>
      <c r="D25" s="11"/>
      <c r="E25" s="11"/>
      <c r="F25" s="12">
        <f t="shared" si="0"/>
        <v>0</v>
      </c>
      <c r="G25" s="20"/>
      <c r="H25" s="20"/>
      <c r="I25" s="9"/>
      <c r="J25" s="9"/>
      <c r="K25" s="9"/>
    </row>
    <row r="26" spans="1:11" s="13" customFormat="1" ht="29.25" thickBot="1" x14ac:dyDescent="0.3">
      <c r="A26" s="19" t="s">
        <v>47</v>
      </c>
      <c r="B26" s="10" t="s">
        <v>1</v>
      </c>
      <c r="C26" s="14">
        <v>46298</v>
      </c>
      <c r="D26" s="11"/>
      <c r="E26" s="11"/>
      <c r="F26" s="12">
        <f t="shared" si="0"/>
        <v>0</v>
      </c>
      <c r="G26" s="20"/>
      <c r="H26" s="20"/>
      <c r="I26" s="9"/>
      <c r="J26" s="9"/>
      <c r="K26" s="9"/>
    </row>
    <row r="27" spans="1:11" s="13" customFormat="1" ht="29.25" thickBot="1" x14ac:dyDescent="0.3">
      <c r="A27" s="19" t="s">
        <v>47</v>
      </c>
      <c r="B27" s="10" t="s">
        <v>1</v>
      </c>
      <c r="C27" s="14">
        <v>46298</v>
      </c>
      <c r="D27" s="11"/>
      <c r="E27" s="11"/>
      <c r="F27" s="12">
        <f t="shared" si="0"/>
        <v>0</v>
      </c>
      <c r="G27" s="20"/>
      <c r="H27" s="20"/>
      <c r="I27" s="9"/>
      <c r="J27" s="9"/>
      <c r="K27" s="9"/>
    </row>
    <row r="28" spans="1:11" s="13" customFormat="1" ht="29.25" thickBot="1" x14ac:dyDescent="0.3">
      <c r="A28" s="19" t="s">
        <v>47</v>
      </c>
      <c r="B28" s="10" t="s">
        <v>1</v>
      </c>
      <c r="C28" s="14">
        <v>46298</v>
      </c>
      <c r="D28" s="11"/>
      <c r="E28" s="11"/>
      <c r="F28" s="12">
        <f t="shared" si="0"/>
        <v>0</v>
      </c>
      <c r="G28" s="20"/>
      <c r="H28" s="20"/>
      <c r="I28" s="9"/>
      <c r="J28" s="9"/>
      <c r="K28" s="9"/>
    </row>
    <row r="29" spans="1:11" s="13" customFormat="1" ht="29.25" thickBot="1" x14ac:dyDescent="0.3">
      <c r="A29" s="19" t="s">
        <v>47</v>
      </c>
      <c r="B29" s="10" t="s">
        <v>1</v>
      </c>
      <c r="C29" s="14">
        <v>46299</v>
      </c>
      <c r="D29" s="11">
        <v>0.35416666666666669</v>
      </c>
      <c r="E29" s="11">
        <v>0.6875</v>
      </c>
      <c r="F29" s="12">
        <f>+(E29-D29)*24</f>
        <v>8</v>
      </c>
      <c r="G29" s="20" t="s">
        <v>21</v>
      </c>
      <c r="H29" s="20" t="s">
        <v>30</v>
      </c>
      <c r="I29" s="9"/>
      <c r="J29" s="9" t="s">
        <v>71</v>
      </c>
      <c r="K29" s="9"/>
    </row>
    <row r="30" spans="1:11" s="13" customFormat="1" ht="29.25" thickBot="1" x14ac:dyDescent="0.3">
      <c r="A30" s="19" t="s">
        <v>47</v>
      </c>
      <c r="B30" s="10" t="s">
        <v>1</v>
      </c>
      <c r="C30" s="14">
        <v>46299</v>
      </c>
      <c r="D30" s="11"/>
      <c r="E30" s="11"/>
      <c r="F30" s="12"/>
      <c r="G30" s="20"/>
      <c r="H30" s="20"/>
      <c r="I30" s="9"/>
      <c r="J30" s="9"/>
      <c r="K30" s="9"/>
    </row>
    <row r="31" spans="1:11" s="13" customFormat="1" ht="29.25" thickBot="1" x14ac:dyDescent="0.3">
      <c r="A31" s="19" t="s">
        <v>47</v>
      </c>
      <c r="B31" s="10" t="s">
        <v>1</v>
      </c>
      <c r="C31" s="14">
        <v>46299</v>
      </c>
      <c r="D31" s="11"/>
      <c r="E31" s="11"/>
      <c r="F31" s="12">
        <f t="shared" ref="F31:F37" si="1">+(E31-D31)*24</f>
        <v>0</v>
      </c>
      <c r="G31" s="20"/>
      <c r="H31" s="20"/>
      <c r="I31" s="9"/>
      <c r="J31" s="9"/>
      <c r="K31" s="9"/>
    </row>
    <row r="32" spans="1:11" s="13" customFormat="1" ht="29.25" thickBot="1" x14ac:dyDescent="0.3">
      <c r="A32" s="19" t="s">
        <v>47</v>
      </c>
      <c r="B32" s="10" t="s">
        <v>1</v>
      </c>
      <c r="C32" s="14">
        <v>46299</v>
      </c>
      <c r="D32" s="11"/>
      <c r="E32" s="11"/>
      <c r="F32" s="12">
        <f t="shared" si="1"/>
        <v>0</v>
      </c>
      <c r="G32" s="20"/>
      <c r="H32" s="20"/>
      <c r="I32" s="9"/>
      <c r="J32" s="9"/>
      <c r="K32" s="9"/>
    </row>
    <row r="33" spans="1:11" s="13" customFormat="1" ht="29.25" thickBot="1" x14ac:dyDescent="0.3">
      <c r="A33" s="19" t="s">
        <v>47</v>
      </c>
      <c r="B33" s="10" t="s">
        <v>1</v>
      </c>
      <c r="C33" s="14">
        <v>46299</v>
      </c>
      <c r="D33" s="11"/>
      <c r="E33" s="11"/>
      <c r="F33" s="12">
        <f t="shared" si="1"/>
        <v>0</v>
      </c>
      <c r="G33" s="20"/>
      <c r="H33" s="20"/>
      <c r="I33" s="9"/>
      <c r="J33" s="9"/>
      <c r="K33" s="9"/>
    </row>
    <row r="34" spans="1:11" s="13" customFormat="1" ht="29.25" thickBot="1" x14ac:dyDescent="0.3">
      <c r="A34" s="19" t="s">
        <v>47</v>
      </c>
      <c r="B34" s="10" t="s">
        <v>1</v>
      </c>
      <c r="C34" s="14">
        <v>46299</v>
      </c>
      <c r="D34" s="11"/>
      <c r="E34" s="11"/>
      <c r="F34" s="12">
        <f t="shared" si="1"/>
        <v>0</v>
      </c>
      <c r="G34" s="20"/>
      <c r="H34" s="20"/>
      <c r="I34" s="9"/>
      <c r="J34" s="9"/>
      <c r="K34" s="9"/>
    </row>
    <row r="35" spans="1:11" s="13" customFormat="1" ht="29.25" thickBot="1" x14ac:dyDescent="0.3">
      <c r="A35" s="19" t="s">
        <v>47</v>
      </c>
      <c r="B35" s="10" t="s">
        <v>1</v>
      </c>
      <c r="C35" s="14">
        <v>46299</v>
      </c>
      <c r="D35" s="11"/>
      <c r="E35" s="11"/>
      <c r="F35" s="12">
        <f t="shared" si="1"/>
        <v>0</v>
      </c>
      <c r="G35" s="20"/>
      <c r="H35" s="20"/>
      <c r="I35" s="9"/>
      <c r="J35" s="9"/>
      <c r="K35" s="9"/>
    </row>
    <row r="36" spans="1:11" s="13" customFormat="1" ht="29.25" thickBot="1" x14ac:dyDescent="0.3">
      <c r="A36" s="19" t="s">
        <v>47</v>
      </c>
      <c r="B36" s="10" t="s">
        <v>1</v>
      </c>
      <c r="C36" s="14">
        <v>46299</v>
      </c>
      <c r="D36" s="11"/>
      <c r="E36" s="11"/>
      <c r="F36" s="12">
        <f t="shared" si="1"/>
        <v>0</v>
      </c>
      <c r="G36" s="20"/>
      <c r="H36" s="20"/>
      <c r="I36" s="9"/>
      <c r="J36" s="9"/>
      <c r="K36" s="9"/>
    </row>
    <row r="37" spans="1:11" s="13" customFormat="1" ht="29.25" thickBot="1" x14ac:dyDescent="0.3">
      <c r="A37" s="19" t="s">
        <v>47</v>
      </c>
      <c r="B37" s="10" t="s">
        <v>1</v>
      </c>
      <c r="C37" s="14">
        <v>46299</v>
      </c>
      <c r="D37" s="11"/>
      <c r="E37" s="11"/>
      <c r="F37" s="12">
        <f t="shared" si="1"/>
        <v>0</v>
      </c>
      <c r="G37" s="20"/>
      <c r="H37" s="20"/>
      <c r="I37" s="9"/>
      <c r="J37" s="9"/>
      <c r="K37" s="9"/>
    </row>
    <row r="38" spans="1:11" s="13" customFormat="1" ht="29.25" thickBot="1" x14ac:dyDescent="0.3">
      <c r="A38" s="19" t="s">
        <v>47</v>
      </c>
      <c r="B38" s="10" t="s">
        <v>1</v>
      </c>
      <c r="C38" s="14">
        <v>46300</v>
      </c>
      <c r="D38" s="11"/>
      <c r="E38" s="11"/>
      <c r="F38" s="12"/>
      <c r="G38" s="20"/>
      <c r="H38" s="20"/>
      <c r="I38" s="9"/>
      <c r="J38" s="9"/>
      <c r="K38" s="9"/>
    </row>
    <row r="39" spans="1:11" s="13" customFormat="1" ht="29.25" thickBot="1" x14ac:dyDescent="0.3">
      <c r="A39" s="19" t="s">
        <v>47</v>
      </c>
      <c r="B39" s="10" t="s">
        <v>1</v>
      </c>
      <c r="C39" s="14">
        <v>46300</v>
      </c>
      <c r="D39" s="11"/>
      <c r="E39" s="11"/>
      <c r="F39" s="12">
        <f t="shared" si="0"/>
        <v>0</v>
      </c>
      <c r="G39" s="20"/>
      <c r="H39" s="20"/>
      <c r="I39" s="9"/>
      <c r="J39" s="9"/>
      <c r="K39" s="9"/>
    </row>
    <row r="40" spans="1:11" s="13" customFormat="1" ht="29.25" thickBot="1" x14ac:dyDescent="0.3">
      <c r="A40" s="19" t="s">
        <v>47</v>
      </c>
      <c r="B40" s="10" t="s">
        <v>1</v>
      </c>
      <c r="C40" s="14">
        <v>46300</v>
      </c>
      <c r="D40" s="11"/>
      <c r="E40" s="11"/>
      <c r="F40" s="12">
        <f t="shared" si="0"/>
        <v>0</v>
      </c>
      <c r="G40" s="20"/>
      <c r="H40" s="20"/>
      <c r="I40" s="9"/>
      <c r="J40" s="9"/>
      <c r="K40" s="9"/>
    </row>
    <row r="41" spans="1:11" s="13" customFormat="1" ht="29.25" thickBot="1" x14ac:dyDescent="0.3">
      <c r="A41" s="19" t="s">
        <v>47</v>
      </c>
      <c r="B41" s="10" t="s">
        <v>1</v>
      </c>
      <c r="C41" s="14">
        <v>46300</v>
      </c>
      <c r="D41" s="11"/>
      <c r="E41" s="11"/>
      <c r="F41" s="12">
        <f t="shared" si="0"/>
        <v>0</v>
      </c>
      <c r="G41" s="20"/>
      <c r="H41" s="20"/>
      <c r="I41" s="9"/>
      <c r="J41" s="9"/>
      <c r="K41" s="9"/>
    </row>
    <row r="42" spans="1:11" s="13" customFormat="1" ht="29.25" thickBot="1" x14ac:dyDescent="0.3">
      <c r="A42" s="19" t="s">
        <v>47</v>
      </c>
      <c r="B42" s="10" t="s">
        <v>1</v>
      </c>
      <c r="C42" s="14">
        <v>46300</v>
      </c>
      <c r="D42" s="11"/>
      <c r="E42" s="11"/>
      <c r="F42" s="12">
        <f t="shared" si="0"/>
        <v>0</v>
      </c>
      <c r="G42" s="20"/>
      <c r="H42" s="20"/>
      <c r="I42" s="9"/>
      <c r="J42" s="9"/>
      <c r="K42" s="9"/>
    </row>
    <row r="43" spans="1:11" s="13" customFormat="1" ht="29.25" thickBot="1" x14ac:dyDescent="0.3">
      <c r="A43" s="19" t="s">
        <v>47</v>
      </c>
      <c r="B43" s="10" t="s">
        <v>1</v>
      </c>
      <c r="C43" s="14">
        <v>46300</v>
      </c>
      <c r="D43" s="11"/>
      <c r="E43" s="11"/>
      <c r="F43" s="12">
        <f t="shared" si="0"/>
        <v>0</v>
      </c>
      <c r="G43" s="20"/>
      <c r="H43" s="20"/>
      <c r="I43" s="9"/>
      <c r="J43" s="9"/>
      <c r="K43" s="9"/>
    </row>
    <row r="44" spans="1:11" s="13" customFormat="1" ht="29.25" thickBot="1" x14ac:dyDescent="0.3">
      <c r="A44" s="19" t="s">
        <v>47</v>
      </c>
      <c r="B44" s="10" t="s">
        <v>1</v>
      </c>
      <c r="C44" s="14">
        <v>46300</v>
      </c>
      <c r="D44" s="11"/>
      <c r="E44" s="11"/>
      <c r="F44" s="12">
        <f t="shared" si="0"/>
        <v>0</v>
      </c>
      <c r="G44" s="20"/>
      <c r="H44" s="20"/>
      <c r="I44" s="9"/>
      <c r="J44" s="9"/>
      <c r="K44" s="9"/>
    </row>
    <row r="45" spans="1:11" s="13" customFormat="1" ht="29.25" thickBot="1" x14ac:dyDescent="0.3">
      <c r="A45" s="19" t="s">
        <v>47</v>
      </c>
      <c r="B45" s="10" t="s">
        <v>1</v>
      </c>
      <c r="C45" s="14">
        <v>46300</v>
      </c>
      <c r="D45" s="11"/>
      <c r="E45" s="11"/>
      <c r="F45" s="12">
        <f t="shared" si="0"/>
        <v>0</v>
      </c>
      <c r="G45" s="20"/>
      <c r="H45" s="20"/>
      <c r="I45" s="9"/>
      <c r="J45" s="9"/>
      <c r="K45" s="9"/>
    </row>
    <row r="46" spans="1:11" s="13" customFormat="1" ht="29.25" thickBot="1" x14ac:dyDescent="0.3">
      <c r="A46" s="19" t="s">
        <v>47</v>
      </c>
      <c r="B46" s="10" t="s">
        <v>1</v>
      </c>
      <c r="C46" s="14">
        <v>46300</v>
      </c>
      <c r="D46" s="11"/>
      <c r="E46" s="11"/>
      <c r="F46" s="12">
        <f t="shared" si="0"/>
        <v>0</v>
      </c>
      <c r="G46" s="20"/>
      <c r="H46" s="20"/>
      <c r="I46" s="9"/>
      <c r="J46" s="9"/>
      <c r="K46" s="9"/>
    </row>
    <row r="47" spans="1:11" s="13" customFormat="1" ht="29.25" thickBot="1" x14ac:dyDescent="0.3">
      <c r="A47" s="19" t="s">
        <v>47</v>
      </c>
      <c r="B47" s="10" t="s">
        <v>1</v>
      </c>
      <c r="C47" s="14">
        <v>46301</v>
      </c>
      <c r="D47" s="11"/>
      <c r="E47" s="11"/>
      <c r="F47" s="12">
        <f t="shared" si="0"/>
        <v>0</v>
      </c>
      <c r="G47" s="20"/>
      <c r="H47" s="20"/>
      <c r="I47" s="9"/>
      <c r="J47" s="9"/>
      <c r="K47" s="9"/>
    </row>
    <row r="48" spans="1:11" s="13" customFormat="1" ht="29.25" thickBot="1" x14ac:dyDescent="0.3">
      <c r="A48" s="19" t="s">
        <v>47</v>
      </c>
      <c r="B48" s="10" t="s">
        <v>1</v>
      </c>
      <c r="C48" s="14">
        <v>46301</v>
      </c>
      <c r="D48" s="11"/>
      <c r="E48" s="11"/>
      <c r="F48" s="12">
        <f t="shared" si="0"/>
        <v>0</v>
      </c>
      <c r="G48" s="20"/>
      <c r="H48" s="20"/>
      <c r="I48" s="9"/>
      <c r="J48" s="9"/>
      <c r="K48" s="9"/>
    </row>
    <row r="49" spans="1:11" s="13" customFormat="1" ht="13.9" customHeight="1" thickBot="1" x14ac:dyDescent="0.3">
      <c r="A49" s="19" t="s">
        <v>47</v>
      </c>
      <c r="B49" s="10" t="s">
        <v>1</v>
      </c>
      <c r="C49" s="14">
        <v>46301</v>
      </c>
      <c r="D49" s="11"/>
      <c r="E49" s="11"/>
      <c r="F49" s="12">
        <f t="shared" si="0"/>
        <v>0</v>
      </c>
      <c r="G49" s="20"/>
      <c r="H49" s="20"/>
      <c r="I49" s="9"/>
      <c r="J49" s="9"/>
      <c r="K49" s="9"/>
    </row>
    <row r="50" spans="1:11" s="13" customFormat="1" ht="29.25" thickBot="1" x14ac:dyDescent="0.3">
      <c r="A50" s="19" t="s">
        <v>47</v>
      </c>
      <c r="B50" s="10" t="s">
        <v>1</v>
      </c>
      <c r="C50" s="14">
        <v>46301</v>
      </c>
      <c r="D50" s="11"/>
      <c r="E50" s="11"/>
      <c r="F50" s="12">
        <f t="shared" si="0"/>
        <v>0</v>
      </c>
      <c r="G50" s="20"/>
      <c r="H50" s="20"/>
      <c r="I50" s="9"/>
      <c r="J50" s="9"/>
      <c r="K50" s="9"/>
    </row>
    <row r="51" spans="1:11" s="13" customFormat="1" ht="29.25" thickBot="1" x14ac:dyDescent="0.3">
      <c r="A51" s="19" t="s">
        <v>47</v>
      </c>
      <c r="B51" s="10" t="s">
        <v>1</v>
      </c>
      <c r="C51" s="14">
        <v>46301</v>
      </c>
      <c r="D51" s="11"/>
      <c r="E51" s="11"/>
      <c r="F51" s="12">
        <f t="shared" si="0"/>
        <v>0</v>
      </c>
      <c r="G51" s="20"/>
      <c r="H51" s="20"/>
      <c r="I51" s="9"/>
      <c r="J51" s="9"/>
      <c r="K51" s="9"/>
    </row>
    <row r="52" spans="1:11" s="13" customFormat="1" ht="29.25" thickBot="1" x14ac:dyDescent="0.3">
      <c r="A52" s="19" t="s">
        <v>47</v>
      </c>
      <c r="B52" s="10" t="s">
        <v>1</v>
      </c>
      <c r="C52" s="14">
        <v>46301</v>
      </c>
      <c r="D52" s="11"/>
      <c r="E52" s="11"/>
      <c r="F52" s="12">
        <f t="shared" si="0"/>
        <v>0</v>
      </c>
      <c r="G52" s="20"/>
      <c r="H52" s="20"/>
      <c r="I52" s="9"/>
      <c r="J52" s="9"/>
      <c r="K52" s="9"/>
    </row>
    <row r="53" spans="1:11" s="13" customFormat="1" ht="29.25" thickBot="1" x14ac:dyDescent="0.3">
      <c r="A53" s="19" t="s">
        <v>47</v>
      </c>
      <c r="B53" s="10"/>
      <c r="C53" s="14">
        <v>46301</v>
      </c>
      <c r="D53" s="11"/>
      <c r="E53" s="11"/>
      <c r="F53" s="12">
        <f t="shared" si="0"/>
        <v>0</v>
      </c>
      <c r="G53" s="20"/>
      <c r="H53" s="20"/>
      <c r="I53" s="9"/>
      <c r="J53" s="9"/>
      <c r="K53" s="9"/>
    </row>
    <row r="54" spans="1:11" s="13" customFormat="1" ht="29.25" thickBot="1" x14ac:dyDescent="0.3">
      <c r="A54" s="19" t="s">
        <v>47</v>
      </c>
      <c r="B54" s="10"/>
      <c r="C54" s="14">
        <v>46301</v>
      </c>
      <c r="D54" s="11"/>
      <c r="E54" s="11"/>
      <c r="F54" s="12">
        <f t="shared" si="0"/>
        <v>0</v>
      </c>
      <c r="G54" s="20"/>
      <c r="H54" s="20"/>
      <c r="I54" s="9"/>
      <c r="J54" s="9"/>
      <c r="K54" s="9"/>
    </row>
    <row r="55" spans="1:11" s="13" customFormat="1" ht="29.25" thickBot="1" x14ac:dyDescent="0.3">
      <c r="A55" s="19" t="s">
        <v>47</v>
      </c>
      <c r="B55" s="10"/>
      <c r="C55" s="14">
        <v>46301</v>
      </c>
      <c r="D55" s="11"/>
      <c r="E55" s="11"/>
      <c r="F55" s="12">
        <f t="shared" si="0"/>
        <v>0</v>
      </c>
      <c r="G55" s="20"/>
      <c r="H55" s="20"/>
      <c r="I55" s="9"/>
      <c r="J55" s="9"/>
      <c r="K55" s="9"/>
    </row>
    <row r="56" spans="1:11" s="13" customFormat="1" ht="29.25" thickBot="1" x14ac:dyDescent="0.3">
      <c r="A56" s="19" t="s">
        <v>47</v>
      </c>
      <c r="B56" s="10"/>
      <c r="C56" s="14">
        <v>46302</v>
      </c>
      <c r="D56" s="11"/>
      <c r="E56" s="11"/>
      <c r="F56" s="12">
        <f t="shared" si="0"/>
        <v>0</v>
      </c>
      <c r="G56" s="20"/>
      <c r="H56" s="20"/>
      <c r="I56" s="9"/>
      <c r="J56" s="9"/>
      <c r="K56" s="9"/>
    </row>
    <row r="57" spans="1:11" s="13" customFormat="1" ht="29.25" thickBot="1" x14ac:dyDescent="0.3">
      <c r="A57" s="19" t="s">
        <v>47</v>
      </c>
      <c r="B57" s="10"/>
      <c r="C57" s="14">
        <v>46302</v>
      </c>
      <c r="D57" s="11"/>
      <c r="E57" s="11"/>
      <c r="F57" s="12">
        <f t="shared" si="0"/>
        <v>0</v>
      </c>
      <c r="G57" s="20"/>
      <c r="H57" s="20"/>
      <c r="I57" s="9"/>
      <c r="J57" s="9"/>
      <c r="K57" s="9"/>
    </row>
    <row r="58" spans="1:11" s="13" customFormat="1" ht="29.25" thickBot="1" x14ac:dyDescent="0.3">
      <c r="A58" s="19" t="s">
        <v>47</v>
      </c>
      <c r="B58" s="10"/>
      <c r="C58" s="14">
        <v>46302</v>
      </c>
      <c r="D58" s="11"/>
      <c r="E58" s="11"/>
      <c r="F58" s="12">
        <f t="shared" si="0"/>
        <v>0</v>
      </c>
      <c r="G58" s="20"/>
      <c r="H58" s="20"/>
      <c r="I58" s="9"/>
      <c r="J58" s="9"/>
      <c r="K58" s="9"/>
    </row>
    <row r="59" spans="1:11" s="13" customFormat="1" ht="29.25" thickBot="1" x14ac:dyDescent="0.3">
      <c r="A59" s="19" t="s">
        <v>47</v>
      </c>
      <c r="B59" s="10"/>
      <c r="C59" s="14">
        <v>46302</v>
      </c>
      <c r="D59" s="11"/>
      <c r="E59" s="11"/>
      <c r="F59" s="12">
        <f t="shared" si="0"/>
        <v>0</v>
      </c>
      <c r="G59" s="20"/>
      <c r="H59" s="20"/>
      <c r="I59" s="9"/>
      <c r="J59" s="9"/>
      <c r="K59" s="9"/>
    </row>
    <row r="60" spans="1:11" s="13" customFormat="1" ht="29.25" thickBot="1" x14ac:dyDescent="0.3">
      <c r="A60" s="19" t="s">
        <v>47</v>
      </c>
      <c r="B60" s="10"/>
      <c r="C60" s="14">
        <v>46302</v>
      </c>
      <c r="D60" s="11"/>
      <c r="E60" s="11"/>
      <c r="F60" s="12">
        <f t="shared" si="0"/>
        <v>0</v>
      </c>
      <c r="G60" s="20"/>
      <c r="H60" s="20"/>
      <c r="I60" s="9"/>
      <c r="J60" s="9"/>
      <c r="K60" s="9"/>
    </row>
    <row r="61" spans="1:11" s="13" customFormat="1" ht="29.25" thickBot="1" x14ac:dyDescent="0.3">
      <c r="A61" s="19" t="s">
        <v>47</v>
      </c>
      <c r="B61" s="10"/>
      <c r="C61" s="14">
        <v>46302</v>
      </c>
      <c r="D61" s="11"/>
      <c r="E61" s="11"/>
      <c r="F61" s="12">
        <f t="shared" si="0"/>
        <v>0</v>
      </c>
      <c r="G61" s="20"/>
      <c r="H61" s="20"/>
      <c r="I61" s="9"/>
      <c r="J61" s="9"/>
      <c r="K61" s="9"/>
    </row>
    <row r="62" spans="1:11" s="13" customFormat="1" ht="29.25" thickBot="1" x14ac:dyDescent="0.3">
      <c r="A62" s="19" t="s">
        <v>47</v>
      </c>
      <c r="B62" s="10"/>
      <c r="C62" s="14">
        <v>46302</v>
      </c>
      <c r="D62" s="11"/>
      <c r="E62" s="11"/>
      <c r="F62" s="12">
        <f t="shared" si="0"/>
        <v>0</v>
      </c>
      <c r="G62" s="20"/>
      <c r="H62" s="20"/>
      <c r="I62" s="9"/>
      <c r="J62" s="9"/>
      <c r="K62" s="9"/>
    </row>
    <row r="63" spans="1:11" s="13" customFormat="1" ht="29.25" thickBot="1" x14ac:dyDescent="0.3">
      <c r="A63" s="19" t="s">
        <v>47</v>
      </c>
      <c r="B63" s="10"/>
      <c r="C63" s="14">
        <v>46302</v>
      </c>
      <c r="D63" s="11"/>
      <c r="E63" s="11"/>
      <c r="F63" s="12">
        <f t="shared" si="0"/>
        <v>0</v>
      </c>
      <c r="G63" s="20"/>
      <c r="H63" s="20"/>
      <c r="I63" s="9"/>
      <c r="J63" s="9"/>
      <c r="K63" s="9"/>
    </row>
    <row r="64" spans="1:11" s="13" customFormat="1" ht="29.25" thickBot="1" x14ac:dyDescent="0.3">
      <c r="A64" s="19" t="s">
        <v>47</v>
      </c>
      <c r="B64" s="10"/>
      <c r="C64" s="14">
        <v>46302</v>
      </c>
      <c r="D64" s="11"/>
      <c r="E64" s="11"/>
      <c r="F64" s="12">
        <f t="shared" si="0"/>
        <v>0</v>
      </c>
      <c r="G64" s="20"/>
      <c r="H64" s="20"/>
      <c r="I64" s="9"/>
      <c r="J64" s="9"/>
      <c r="K64" s="9"/>
    </row>
    <row r="65" spans="1:11" s="13" customFormat="1" ht="29.25" thickBot="1" x14ac:dyDescent="0.3">
      <c r="A65" s="19" t="s">
        <v>47</v>
      </c>
      <c r="B65" s="10"/>
      <c r="C65" s="14">
        <v>46303</v>
      </c>
      <c r="D65" s="11"/>
      <c r="E65" s="11"/>
      <c r="F65" s="12">
        <f t="shared" si="0"/>
        <v>0</v>
      </c>
      <c r="G65" s="20"/>
      <c r="H65" s="20"/>
      <c r="I65" s="9"/>
      <c r="J65" s="9"/>
      <c r="K65" s="9"/>
    </row>
    <row r="66" spans="1:11" s="13" customFormat="1" ht="29.25" thickBot="1" x14ac:dyDescent="0.3">
      <c r="A66" s="19" t="s">
        <v>47</v>
      </c>
      <c r="B66" s="10"/>
      <c r="C66" s="14">
        <v>46303</v>
      </c>
      <c r="D66" s="11"/>
      <c r="E66" s="11"/>
      <c r="F66" s="12">
        <f t="shared" si="0"/>
        <v>0</v>
      </c>
      <c r="G66" s="20"/>
      <c r="H66" s="20"/>
      <c r="I66" s="9"/>
      <c r="J66" s="9"/>
      <c r="K66" s="9"/>
    </row>
    <row r="67" spans="1:11" s="13" customFormat="1" ht="29.25" thickBot="1" x14ac:dyDescent="0.3">
      <c r="A67" s="19" t="s">
        <v>47</v>
      </c>
      <c r="B67" s="10"/>
      <c r="C67" s="14">
        <v>46303</v>
      </c>
      <c r="D67" s="11"/>
      <c r="E67" s="11"/>
      <c r="F67" s="12">
        <f t="shared" si="0"/>
        <v>0</v>
      </c>
      <c r="G67" s="20"/>
      <c r="H67" s="20"/>
      <c r="I67" s="9"/>
      <c r="J67" s="9"/>
      <c r="K67" s="9"/>
    </row>
    <row r="68" spans="1:11" s="13" customFormat="1" ht="29.25" thickBot="1" x14ac:dyDescent="0.3">
      <c r="A68" s="19" t="s">
        <v>47</v>
      </c>
      <c r="B68" s="10"/>
      <c r="C68" s="14">
        <v>46303</v>
      </c>
      <c r="D68" s="11"/>
      <c r="E68" s="11"/>
      <c r="F68" s="12">
        <f t="shared" si="0"/>
        <v>0</v>
      </c>
      <c r="G68" s="20"/>
      <c r="H68" s="20"/>
      <c r="I68" s="9"/>
      <c r="J68" s="9"/>
      <c r="K68" s="9"/>
    </row>
    <row r="69" spans="1:11" s="13" customFormat="1" ht="29.25" thickBot="1" x14ac:dyDescent="0.3">
      <c r="A69" s="19" t="s">
        <v>47</v>
      </c>
      <c r="B69" s="10"/>
      <c r="C69" s="14">
        <v>46303</v>
      </c>
      <c r="D69" s="11"/>
      <c r="E69" s="11"/>
      <c r="F69" s="12">
        <f t="shared" si="0"/>
        <v>0</v>
      </c>
      <c r="G69" s="20"/>
      <c r="H69" s="20"/>
      <c r="I69" s="9"/>
      <c r="J69" s="9"/>
      <c r="K69" s="9"/>
    </row>
    <row r="70" spans="1:11" s="13" customFormat="1" ht="29.25" thickBot="1" x14ac:dyDescent="0.3">
      <c r="A70" s="19" t="s">
        <v>47</v>
      </c>
      <c r="B70" s="10"/>
      <c r="C70" s="14">
        <v>46303</v>
      </c>
      <c r="D70" s="11"/>
      <c r="E70" s="11"/>
      <c r="F70" s="12">
        <f t="shared" ref="F70:F133" si="2">+(E70-D70)*24</f>
        <v>0</v>
      </c>
      <c r="G70" s="20"/>
      <c r="H70" s="20"/>
      <c r="I70" s="9"/>
      <c r="J70" s="9"/>
      <c r="K70" s="9"/>
    </row>
    <row r="71" spans="1:11" s="13" customFormat="1" ht="29.25" thickBot="1" x14ac:dyDescent="0.3">
      <c r="A71" s="19" t="s">
        <v>47</v>
      </c>
      <c r="B71" s="10"/>
      <c r="C71" s="14">
        <v>46303</v>
      </c>
      <c r="D71" s="11"/>
      <c r="E71" s="11"/>
      <c r="F71" s="12">
        <f t="shared" si="2"/>
        <v>0</v>
      </c>
      <c r="G71" s="20"/>
      <c r="H71" s="20"/>
      <c r="I71" s="9"/>
      <c r="J71" s="9"/>
      <c r="K71" s="9"/>
    </row>
    <row r="72" spans="1:11" s="13" customFormat="1" ht="29.25" thickBot="1" x14ac:dyDescent="0.3">
      <c r="A72" s="19" t="s">
        <v>47</v>
      </c>
      <c r="B72" s="10"/>
      <c r="C72" s="14">
        <v>46303</v>
      </c>
      <c r="D72" s="11"/>
      <c r="E72" s="11"/>
      <c r="F72" s="12">
        <f t="shared" si="2"/>
        <v>0</v>
      </c>
      <c r="G72" s="20"/>
      <c r="H72" s="20"/>
      <c r="I72" s="9"/>
      <c r="J72" s="9"/>
      <c r="K72" s="9"/>
    </row>
    <row r="73" spans="1:11" s="13" customFormat="1" ht="29.25" thickBot="1" x14ac:dyDescent="0.3">
      <c r="A73" s="19" t="s">
        <v>47</v>
      </c>
      <c r="B73" s="10"/>
      <c r="C73" s="14">
        <v>46303</v>
      </c>
      <c r="D73" s="11"/>
      <c r="E73" s="11"/>
      <c r="F73" s="12">
        <f t="shared" si="2"/>
        <v>0</v>
      </c>
      <c r="G73" s="20"/>
      <c r="H73" s="20"/>
      <c r="I73" s="9"/>
      <c r="J73" s="9"/>
      <c r="K73" s="9"/>
    </row>
    <row r="74" spans="1:11" s="13" customFormat="1" ht="29.25" thickBot="1" x14ac:dyDescent="0.3">
      <c r="A74" s="19" t="s">
        <v>47</v>
      </c>
      <c r="B74" s="10"/>
      <c r="C74" s="14">
        <v>46304</v>
      </c>
      <c r="D74" s="11"/>
      <c r="E74" s="11"/>
      <c r="F74" s="12">
        <f t="shared" si="2"/>
        <v>0</v>
      </c>
      <c r="G74" s="20"/>
      <c r="H74" s="20"/>
      <c r="I74" s="9"/>
      <c r="J74" s="9"/>
      <c r="K74" s="9"/>
    </row>
    <row r="75" spans="1:11" s="13" customFormat="1" ht="29.25" thickBot="1" x14ac:dyDescent="0.3">
      <c r="A75" s="19" t="s">
        <v>47</v>
      </c>
      <c r="B75" s="10"/>
      <c r="C75" s="14">
        <v>46304</v>
      </c>
      <c r="D75" s="11"/>
      <c r="E75" s="11"/>
      <c r="F75" s="12">
        <f t="shared" si="2"/>
        <v>0</v>
      </c>
      <c r="G75" s="20"/>
      <c r="H75" s="20"/>
      <c r="I75" s="9"/>
      <c r="J75" s="9"/>
      <c r="K75" s="9"/>
    </row>
    <row r="76" spans="1:11" s="13" customFormat="1" ht="29.25" thickBot="1" x14ac:dyDescent="0.3">
      <c r="A76" s="19" t="s">
        <v>47</v>
      </c>
      <c r="B76" s="10"/>
      <c r="C76" s="14">
        <v>46304</v>
      </c>
      <c r="D76" s="11"/>
      <c r="E76" s="11"/>
      <c r="F76" s="12">
        <f t="shared" si="2"/>
        <v>0</v>
      </c>
      <c r="G76" s="20"/>
      <c r="H76" s="20"/>
      <c r="I76" s="9"/>
      <c r="J76" s="9"/>
      <c r="K76" s="9"/>
    </row>
    <row r="77" spans="1:11" s="13" customFormat="1" ht="29.25" thickBot="1" x14ac:dyDescent="0.3">
      <c r="A77" s="19" t="s">
        <v>47</v>
      </c>
      <c r="B77" s="10"/>
      <c r="C77" s="14">
        <v>46304</v>
      </c>
      <c r="D77" s="11"/>
      <c r="E77" s="11"/>
      <c r="F77" s="12">
        <f t="shared" si="2"/>
        <v>0</v>
      </c>
      <c r="G77" s="20"/>
      <c r="H77" s="20"/>
      <c r="I77" s="9"/>
      <c r="J77" s="9"/>
      <c r="K77" s="9"/>
    </row>
    <row r="78" spans="1:11" s="13" customFormat="1" ht="29.25" thickBot="1" x14ac:dyDescent="0.3">
      <c r="A78" s="19" t="s">
        <v>47</v>
      </c>
      <c r="B78" s="10"/>
      <c r="C78" s="14">
        <v>46304</v>
      </c>
      <c r="D78" s="11"/>
      <c r="E78" s="11"/>
      <c r="F78" s="12">
        <f t="shared" si="2"/>
        <v>0</v>
      </c>
      <c r="G78" s="20"/>
      <c r="H78" s="20"/>
      <c r="I78" s="9"/>
      <c r="J78" s="9"/>
      <c r="K78" s="9"/>
    </row>
    <row r="79" spans="1:11" s="13" customFormat="1" ht="29.25" thickBot="1" x14ac:dyDescent="0.3">
      <c r="A79" s="19" t="s">
        <v>47</v>
      </c>
      <c r="B79" s="10"/>
      <c r="C79" s="14">
        <v>46304</v>
      </c>
      <c r="D79" s="11"/>
      <c r="E79" s="11"/>
      <c r="F79" s="12">
        <f t="shared" si="2"/>
        <v>0</v>
      </c>
      <c r="G79" s="20"/>
      <c r="H79" s="20"/>
      <c r="I79" s="9"/>
      <c r="J79" s="9"/>
      <c r="K79" s="9"/>
    </row>
    <row r="80" spans="1:11" s="13" customFormat="1" ht="29.25" thickBot="1" x14ac:dyDescent="0.3">
      <c r="A80" s="19" t="s">
        <v>47</v>
      </c>
      <c r="B80" s="10"/>
      <c r="C80" s="14">
        <v>46304</v>
      </c>
      <c r="D80" s="11"/>
      <c r="E80" s="11"/>
      <c r="F80" s="12">
        <f t="shared" si="2"/>
        <v>0</v>
      </c>
      <c r="G80" s="20"/>
      <c r="H80" s="20"/>
      <c r="I80" s="9"/>
      <c r="J80" s="9"/>
      <c r="K80" s="9"/>
    </row>
    <row r="81" spans="1:11" s="13" customFormat="1" ht="29.25" thickBot="1" x14ac:dyDescent="0.3">
      <c r="A81" s="19" t="s">
        <v>47</v>
      </c>
      <c r="B81" s="10"/>
      <c r="C81" s="14">
        <v>46304</v>
      </c>
      <c r="D81" s="11"/>
      <c r="E81" s="11"/>
      <c r="F81" s="12">
        <f t="shared" si="2"/>
        <v>0</v>
      </c>
      <c r="G81" s="20"/>
      <c r="H81" s="20"/>
      <c r="I81" s="9"/>
      <c r="J81" s="9"/>
      <c r="K81" s="9"/>
    </row>
    <row r="82" spans="1:11" s="13" customFormat="1" ht="29.25" thickBot="1" x14ac:dyDescent="0.3">
      <c r="A82" s="19" t="s">
        <v>47</v>
      </c>
      <c r="B82" s="10"/>
      <c r="C82" s="14">
        <v>46304</v>
      </c>
      <c r="D82" s="11"/>
      <c r="E82" s="11"/>
      <c r="F82" s="12">
        <f t="shared" si="2"/>
        <v>0</v>
      </c>
      <c r="G82" s="20"/>
      <c r="H82" s="20"/>
      <c r="I82" s="9"/>
      <c r="J82" s="9"/>
      <c r="K82" s="9"/>
    </row>
    <row r="83" spans="1:11" s="13" customFormat="1" ht="29.25" thickBot="1" x14ac:dyDescent="0.3">
      <c r="A83" s="19" t="s">
        <v>47</v>
      </c>
      <c r="B83" s="10"/>
      <c r="C83" s="14">
        <v>46305</v>
      </c>
      <c r="D83" s="11">
        <v>0.35416666666666669</v>
      </c>
      <c r="E83" s="11">
        <v>0.6875</v>
      </c>
      <c r="F83" s="12">
        <f>+(E83-D83)*24</f>
        <v>8</v>
      </c>
      <c r="G83" s="20" t="s">
        <v>21</v>
      </c>
      <c r="H83" s="20" t="s">
        <v>30</v>
      </c>
      <c r="I83" s="9"/>
      <c r="J83" s="9" t="s">
        <v>71</v>
      </c>
      <c r="K83" s="9"/>
    </row>
    <row r="84" spans="1:11" s="13" customFormat="1" ht="29.25" thickBot="1" x14ac:dyDescent="0.3">
      <c r="A84" s="19" t="s">
        <v>47</v>
      </c>
      <c r="B84" s="10"/>
      <c r="C84" s="14">
        <v>46305</v>
      </c>
      <c r="D84" s="11"/>
      <c r="E84" s="11"/>
      <c r="F84" s="12"/>
      <c r="G84" s="20"/>
      <c r="H84" s="20"/>
      <c r="I84" s="9"/>
      <c r="J84" s="9"/>
      <c r="K84" s="9"/>
    </row>
    <row r="85" spans="1:11" s="13" customFormat="1" ht="29.25" thickBot="1" x14ac:dyDescent="0.3">
      <c r="A85" s="19" t="s">
        <v>47</v>
      </c>
      <c r="B85" s="10"/>
      <c r="C85" s="14">
        <v>46305</v>
      </c>
      <c r="D85" s="11"/>
      <c r="E85" s="11"/>
      <c r="F85" s="12">
        <f t="shared" ref="F85:F91" si="3">+(E85-D85)*24</f>
        <v>0</v>
      </c>
      <c r="G85" s="20"/>
      <c r="H85" s="20"/>
      <c r="I85" s="9"/>
      <c r="J85" s="9"/>
      <c r="K85" s="9"/>
    </row>
    <row r="86" spans="1:11" s="13" customFormat="1" ht="29.25" thickBot="1" x14ac:dyDescent="0.3">
      <c r="A86" s="19" t="s">
        <v>47</v>
      </c>
      <c r="B86" s="10"/>
      <c r="C86" s="14">
        <v>46305</v>
      </c>
      <c r="D86" s="11"/>
      <c r="E86" s="11"/>
      <c r="F86" s="12">
        <f t="shared" si="3"/>
        <v>0</v>
      </c>
      <c r="G86" s="20"/>
      <c r="H86" s="20"/>
      <c r="I86" s="9"/>
      <c r="J86" s="9"/>
      <c r="K86" s="9"/>
    </row>
    <row r="87" spans="1:11" s="13" customFormat="1" ht="29.25" thickBot="1" x14ac:dyDescent="0.3">
      <c r="A87" s="19" t="s">
        <v>47</v>
      </c>
      <c r="B87" s="10"/>
      <c r="C87" s="14">
        <v>46305</v>
      </c>
      <c r="D87" s="11"/>
      <c r="E87" s="11"/>
      <c r="F87" s="12">
        <f t="shared" si="3"/>
        <v>0</v>
      </c>
      <c r="G87" s="20"/>
      <c r="H87" s="20"/>
      <c r="I87" s="9"/>
      <c r="J87" s="9"/>
      <c r="K87" s="9"/>
    </row>
    <row r="88" spans="1:11" s="13" customFormat="1" ht="29.25" thickBot="1" x14ac:dyDescent="0.3">
      <c r="A88" s="19" t="s">
        <v>47</v>
      </c>
      <c r="B88" s="10"/>
      <c r="C88" s="14">
        <v>46305</v>
      </c>
      <c r="D88" s="11"/>
      <c r="E88" s="11"/>
      <c r="F88" s="12">
        <f t="shared" si="3"/>
        <v>0</v>
      </c>
      <c r="G88" s="20"/>
      <c r="H88" s="20"/>
      <c r="I88" s="9"/>
      <c r="J88" s="9"/>
      <c r="K88" s="9"/>
    </row>
    <row r="89" spans="1:11" s="13" customFormat="1" ht="29.25" thickBot="1" x14ac:dyDescent="0.3">
      <c r="A89" s="19" t="s">
        <v>47</v>
      </c>
      <c r="B89" s="10"/>
      <c r="C89" s="14">
        <v>46305</v>
      </c>
      <c r="D89" s="11"/>
      <c r="E89" s="11"/>
      <c r="F89" s="12">
        <f t="shared" si="3"/>
        <v>0</v>
      </c>
      <c r="G89" s="20"/>
      <c r="H89" s="20"/>
      <c r="I89" s="9"/>
      <c r="J89" s="9"/>
      <c r="K89" s="9"/>
    </row>
    <row r="90" spans="1:11" s="13" customFormat="1" ht="29.25" thickBot="1" x14ac:dyDescent="0.3">
      <c r="A90" s="19" t="s">
        <v>47</v>
      </c>
      <c r="B90" s="10"/>
      <c r="C90" s="14">
        <v>46305</v>
      </c>
      <c r="D90" s="11"/>
      <c r="E90" s="11"/>
      <c r="F90" s="12">
        <f t="shared" si="3"/>
        <v>0</v>
      </c>
      <c r="G90" s="20"/>
      <c r="H90" s="20"/>
      <c r="I90" s="9"/>
      <c r="J90" s="9"/>
      <c r="K90" s="9"/>
    </row>
    <row r="91" spans="1:11" s="13" customFormat="1" ht="29.25" thickBot="1" x14ac:dyDescent="0.3">
      <c r="A91" s="19" t="s">
        <v>47</v>
      </c>
      <c r="B91" s="10"/>
      <c r="C91" s="14">
        <v>46305</v>
      </c>
      <c r="D91" s="11"/>
      <c r="E91" s="11"/>
      <c r="F91" s="12">
        <f t="shared" si="3"/>
        <v>0</v>
      </c>
      <c r="G91" s="20"/>
      <c r="H91" s="20"/>
      <c r="I91" s="9"/>
      <c r="J91" s="9"/>
      <c r="K91" s="9"/>
    </row>
    <row r="92" spans="1:11" s="13" customFormat="1" ht="29.25" thickBot="1" x14ac:dyDescent="0.3">
      <c r="A92" s="19" t="s">
        <v>47</v>
      </c>
      <c r="B92" s="10"/>
      <c r="C92" s="14">
        <v>46306</v>
      </c>
      <c r="D92" s="11">
        <v>0.35416666666666669</v>
      </c>
      <c r="E92" s="11">
        <v>0.6875</v>
      </c>
      <c r="F92" s="12">
        <f>+(E92-D92)*24</f>
        <v>8</v>
      </c>
      <c r="G92" s="20" t="s">
        <v>21</v>
      </c>
      <c r="H92" s="20" t="s">
        <v>30</v>
      </c>
      <c r="I92" s="9"/>
      <c r="J92" s="9" t="s">
        <v>71</v>
      </c>
      <c r="K92" s="9"/>
    </row>
    <row r="93" spans="1:11" s="13" customFormat="1" ht="29.25" thickBot="1" x14ac:dyDescent="0.3">
      <c r="A93" s="19" t="s">
        <v>47</v>
      </c>
      <c r="B93" s="10"/>
      <c r="C93" s="14">
        <v>46306</v>
      </c>
      <c r="D93" s="11"/>
      <c r="E93" s="11"/>
      <c r="F93" s="12">
        <f t="shared" si="2"/>
        <v>0</v>
      </c>
      <c r="G93" s="20"/>
      <c r="H93" s="20"/>
      <c r="I93" s="9"/>
      <c r="J93" s="9"/>
      <c r="K93" s="9"/>
    </row>
    <row r="94" spans="1:11" s="13" customFormat="1" ht="29.25" thickBot="1" x14ac:dyDescent="0.3">
      <c r="A94" s="19" t="s">
        <v>47</v>
      </c>
      <c r="B94" s="10"/>
      <c r="C94" s="14">
        <v>46306</v>
      </c>
      <c r="D94" s="11"/>
      <c r="E94" s="11"/>
      <c r="F94" s="12">
        <f t="shared" si="2"/>
        <v>0</v>
      </c>
      <c r="G94" s="20"/>
      <c r="H94" s="20"/>
      <c r="I94" s="9"/>
      <c r="J94" s="9"/>
      <c r="K94" s="9"/>
    </row>
    <row r="95" spans="1:11" s="13" customFormat="1" ht="29.25" thickBot="1" x14ac:dyDescent="0.3">
      <c r="A95" s="19" t="s">
        <v>47</v>
      </c>
      <c r="B95" s="10"/>
      <c r="C95" s="14">
        <v>46306</v>
      </c>
      <c r="D95" s="11"/>
      <c r="E95" s="11"/>
      <c r="F95" s="12">
        <f t="shared" si="2"/>
        <v>0</v>
      </c>
      <c r="G95" s="20"/>
      <c r="H95" s="20"/>
      <c r="I95" s="9"/>
      <c r="J95" s="9"/>
      <c r="K95" s="9"/>
    </row>
    <row r="96" spans="1:11" s="13" customFormat="1" ht="29.25" thickBot="1" x14ac:dyDescent="0.3">
      <c r="A96" s="19" t="s">
        <v>47</v>
      </c>
      <c r="B96" s="10"/>
      <c r="C96" s="14">
        <v>46306</v>
      </c>
      <c r="D96" s="11"/>
      <c r="E96" s="11"/>
      <c r="F96" s="12">
        <f t="shared" si="2"/>
        <v>0</v>
      </c>
      <c r="G96" s="20"/>
      <c r="H96" s="20"/>
      <c r="I96" s="9"/>
      <c r="J96" s="9"/>
      <c r="K96" s="9"/>
    </row>
    <row r="97" spans="1:11" s="13" customFormat="1" ht="29.25" thickBot="1" x14ac:dyDescent="0.3">
      <c r="A97" s="19" t="s">
        <v>47</v>
      </c>
      <c r="B97" s="10"/>
      <c r="C97" s="14">
        <v>46306</v>
      </c>
      <c r="D97" s="11"/>
      <c r="E97" s="11"/>
      <c r="F97" s="12">
        <f t="shared" si="2"/>
        <v>0</v>
      </c>
      <c r="G97" s="20"/>
      <c r="H97" s="20"/>
      <c r="I97" s="9"/>
      <c r="J97" s="9"/>
      <c r="K97" s="9"/>
    </row>
    <row r="98" spans="1:11" s="13" customFormat="1" ht="29.25" thickBot="1" x14ac:dyDescent="0.3">
      <c r="A98" s="19" t="s">
        <v>47</v>
      </c>
      <c r="B98" s="10"/>
      <c r="C98" s="14">
        <v>46306</v>
      </c>
      <c r="D98" s="11"/>
      <c r="E98" s="11"/>
      <c r="F98" s="12">
        <f t="shared" si="2"/>
        <v>0</v>
      </c>
      <c r="G98" s="20"/>
      <c r="H98" s="20"/>
      <c r="I98" s="9"/>
      <c r="J98" s="9"/>
      <c r="K98" s="9"/>
    </row>
    <row r="99" spans="1:11" s="13" customFormat="1" ht="29.25" thickBot="1" x14ac:dyDescent="0.3">
      <c r="A99" s="19" t="s">
        <v>47</v>
      </c>
      <c r="B99" s="10"/>
      <c r="C99" s="14">
        <v>46306</v>
      </c>
      <c r="D99" s="11"/>
      <c r="E99" s="11"/>
      <c r="F99" s="12">
        <f t="shared" si="2"/>
        <v>0</v>
      </c>
      <c r="G99" s="20"/>
      <c r="H99" s="20"/>
      <c r="I99" s="9"/>
      <c r="J99" s="9"/>
      <c r="K99" s="9"/>
    </row>
    <row r="100" spans="1:11" s="13" customFormat="1" ht="29.25" thickBot="1" x14ac:dyDescent="0.3">
      <c r="A100" s="19" t="s">
        <v>47</v>
      </c>
      <c r="B100" s="10"/>
      <c r="C100" s="14">
        <v>46306</v>
      </c>
      <c r="D100" s="11"/>
      <c r="E100" s="11"/>
      <c r="F100" s="12">
        <f t="shared" si="2"/>
        <v>0</v>
      </c>
      <c r="G100" s="20"/>
      <c r="H100" s="20"/>
      <c r="I100" s="9"/>
      <c r="J100" s="9"/>
      <c r="K100" s="9"/>
    </row>
    <row r="101" spans="1:11" s="13" customFormat="1" ht="29.25" thickBot="1" x14ac:dyDescent="0.3">
      <c r="A101" s="19" t="s">
        <v>47</v>
      </c>
      <c r="B101" s="10"/>
      <c r="C101" s="14">
        <v>46307</v>
      </c>
      <c r="D101" s="11"/>
      <c r="E101" s="11"/>
      <c r="F101" s="12">
        <f t="shared" si="2"/>
        <v>0</v>
      </c>
      <c r="G101" s="20"/>
      <c r="H101" s="20"/>
      <c r="I101" s="9"/>
      <c r="J101" s="9"/>
      <c r="K101" s="9"/>
    </row>
    <row r="102" spans="1:11" s="13" customFormat="1" ht="29.25" thickBot="1" x14ac:dyDescent="0.3">
      <c r="A102" s="19" t="s">
        <v>47</v>
      </c>
      <c r="B102" s="10"/>
      <c r="C102" s="14">
        <v>46307</v>
      </c>
      <c r="D102" s="11"/>
      <c r="E102" s="11"/>
      <c r="F102" s="12">
        <f t="shared" si="2"/>
        <v>0</v>
      </c>
      <c r="G102" s="20"/>
      <c r="H102" s="20"/>
      <c r="I102" s="9"/>
      <c r="J102" s="9"/>
      <c r="K102" s="9"/>
    </row>
    <row r="103" spans="1:11" s="13" customFormat="1" ht="29.25" thickBot="1" x14ac:dyDescent="0.3">
      <c r="A103" s="19" t="s">
        <v>47</v>
      </c>
      <c r="B103" s="10"/>
      <c r="C103" s="14">
        <v>46307</v>
      </c>
      <c r="D103" s="11"/>
      <c r="E103" s="11"/>
      <c r="F103" s="12">
        <f t="shared" si="2"/>
        <v>0</v>
      </c>
      <c r="G103" s="20"/>
      <c r="H103" s="20"/>
      <c r="I103" s="9"/>
      <c r="J103" s="9"/>
      <c r="K103" s="9"/>
    </row>
    <row r="104" spans="1:11" s="13" customFormat="1" ht="29.25" thickBot="1" x14ac:dyDescent="0.3">
      <c r="A104" s="19" t="s">
        <v>47</v>
      </c>
      <c r="B104" s="10"/>
      <c r="C104" s="14">
        <v>46307</v>
      </c>
      <c r="D104" s="11"/>
      <c r="E104" s="11"/>
      <c r="F104" s="12">
        <f t="shared" si="2"/>
        <v>0</v>
      </c>
      <c r="G104" s="20"/>
      <c r="H104" s="20"/>
      <c r="I104" s="9"/>
      <c r="J104" s="9"/>
      <c r="K104" s="9"/>
    </row>
    <row r="105" spans="1:11" s="13" customFormat="1" ht="29.25" thickBot="1" x14ac:dyDescent="0.3">
      <c r="A105" s="19" t="s">
        <v>47</v>
      </c>
      <c r="B105" s="10"/>
      <c r="C105" s="14">
        <v>46307</v>
      </c>
      <c r="D105" s="11"/>
      <c r="E105" s="11"/>
      <c r="F105" s="12">
        <f t="shared" si="2"/>
        <v>0</v>
      </c>
      <c r="G105" s="20"/>
      <c r="H105" s="20"/>
      <c r="I105" s="9"/>
      <c r="J105" s="9"/>
      <c r="K105" s="9"/>
    </row>
    <row r="106" spans="1:11" s="13" customFormat="1" ht="29.25" thickBot="1" x14ac:dyDescent="0.3">
      <c r="A106" s="19" t="s">
        <v>47</v>
      </c>
      <c r="B106" s="10"/>
      <c r="C106" s="14">
        <v>46307</v>
      </c>
      <c r="D106" s="11"/>
      <c r="E106" s="11"/>
      <c r="F106" s="12">
        <f t="shared" si="2"/>
        <v>0</v>
      </c>
      <c r="G106" s="20"/>
      <c r="H106" s="20"/>
      <c r="I106" s="9"/>
      <c r="J106" s="9"/>
      <c r="K106" s="9"/>
    </row>
    <row r="107" spans="1:11" s="13" customFormat="1" ht="29.25" thickBot="1" x14ac:dyDescent="0.3">
      <c r="A107" s="19" t="s">
        <v>47</v>
      </c>
      <c r="B107" s="10"/>
      <c r="C107" s="14">
        <v>46307</v>
      </c>
      <c r="D107" s="11"/>
      <c r="E107" s="11"/>
      <c r="F107" s="12">
        <f t="shared" si="2"/>
        <v>0</v>
      </c>
      <c r="G107" s="20"/>
      <c r="H107" s="20"/>
      <c r="I107" s="9"/>
      <c r="J107" s="9"/>
      <c r="K107" s="9"/>
    </row>
    <row r="108" spans="1:11" s="13" customFormat="1" ht="29.25" thickBot="1" x14ac:dyDescent="0.3">
      <c r="A108" s="19" t="s">
        <v>47</v>
      </c>
      <c r="B108" s="10"/>
      <c r="C108" s="14">
        <v>46307</v>
      </c>
      <c r="D108" s="11"/>
      <c r="E108" s="11"/>
      <c r="F108" s="12">
        <f t="shared" si="2"/>
        <v>0</v>
      </c>
      <c r="G108" s="20"/>
      <c r="H108" s="20"/>
      <c r="I108" s="9"/>
      <c r="J108" s="9"/>
      <c r="K108" s="9"/>
    </row>
    <row r="109" spans="1:11" s="13" customFormat="1" ht="29.25" thickBot="1" x14ac:dyDescent="0.3">
      <c r="A109" s="19" t="s">
        <v>47</v>
      </c>
      <c r="B109" s="10"/>
      <c r="C109" s="14">
        <v>46307</v>
      </c>
      <c r="D109" s="11"/>
      <c r="E109" s="11"/>
      <c r="F109" s="12">
        <f t="shared" si="2"/>
        <v>0</v>
      </c>
      <c r="G109" s="20"/>
      <c r="H109" s="20"/>
      <c r="I109" s="9"/>
      <c r="J109" s="9"/>
      <c r="K109" s="9"/>
    </row>
    <row r="110" spans="1:11" s="13" customFormat="1" ht="29.25" thickBot="1" x14ac:dyDescent="0.3">
      <c r="A110" s="19" t="s">
        <v>47</v>
      </c>
      <c r="B110" s="10"/>
      <c r="C110" s="14">
        <v>46308</v>
      </c>
      <c r="D110" s="11"/>
      <c r="E110" s="11"/>
      <c r="F110" s="12">
        <f t="shared" si="2"/>
        <v>0</v>
      </c>
      <c r="G110" s="20"/>
      <c r="H110" s="20"/>
      <c r="I110" s="9"/>
      <c r="J110" s="9"/>
      <c r="K110" s="9"/>
    </row>
    <row r="111" spans="1:11" s="13" customFormat="1" ht="29.25" thickBot="1" x14ac:dyDescent="0.3">
      <c r="A111" s="19" t="s">
        <v>47</v>
      </c>
      <c r="B111" s="10"/>
      <c r="C111" s="14">
        <v>46308</v>
      </c>
      <c r="D111" s="11"/>
      <c r="E111" s="11"/>
      <c r="F111" s="12">
        <f t="shared" si="2"/>
        <v>0</v>
      </c>
      <c r="G111" s="20"/>
      <c r="H111" s="20"/>
      <c r="I111" s="9"/>
      <c r="J111" s="9"/>
      <c r="K111" s="9"/>
    </row>
    <row r="112" spans="1:11" s="13" customFormat="1" ht="29.25" thickBot="1" x14ac:dyDescent="0.3">
      <c r="A112" s="19" t="s">
        <v>47</v>
      </c>
      <c r="B112" s="10"/>
      <c r="C112" s="14">
        <v>46308</v>
      </c>
      <c r="D112" s="11"/>
      <c r="E112" s="11"/>
      <c r="F112" s="12">
        <f t="shared" si="2"/>
        <v>0</v>
      </c>
      <c r="G112" s="20"/>
      <c r="H112" s="20"/>
      <c r="I112" s="9"/>
      <c r="J112" s="9"/>
      <c r="K112" s="9"/>
    </row>
    <row r="113" spans="1:11" s="13" customFormat="1" ht="29.25" thickBot="1" x14ac:dyDescent="0.3">
      <c r="A113" s="19" t="s">
        <v>47</v>
      </c>
      <c r="B113" s="10"/>
      <c r="C113" s="14">
        <v>46308</v>
      </c>
      <c r="D113" s="11"/>
      <c r="E113" s="11"/>
      <c r="F113" s="12">
        <f t="shared" si="2"/>
        <v>0</v>
      </c>
      <c r="G113" s="20"/>
      <c r="H113" s="20"/>
      <c r="I113" s="9"/>
      <c r="J113" s="9"/>
      <c r="K113" s="9"/>
    </row>
    <row r="114" spans="1:11" s="13" customFormat="1" ht="29.25" thickBot="1" x14ac:dyDescent="0.3">
      <c r="A114" s="19" t="s">
        <v>47</v>
      </c>
      <c r="B114" s="10"/>
      <c r="C114" s="14">
        <v>46308</v>
      </c>
      <c r="D114" s="11"/>
      <c r="E114" s="11"/>
      <c r="F114" s="12">
        <f t="shared" si="2"/>
        <v>0</v>
      </c>
      <c r="G114" s="20"/>
      <c r="H114" s="20"/>
      <c r="I114" s="9"/>
      <c r="J114" s="9"/>
      <c r="K114" s="9"/>
    </row>
    <row r="115" spans="1:11" s="13" customFormat="1" ht="29.25" thickBot="1" x14ac:dyDescent="0.3">
      <c r="A115" s="19" t="s">
        <v>47</v>
      </c>
      <c r="B115" s="10"/>
      <c r="C115" s="14">
        <v>46308</v>
      </c>
      <c r="D115" s="11"/>
      <c r="E115" s="11"/>
      <c r="F115" s="12">
        <f t="shared" si="2"/>
        <v>0</v>
      </c>
      <c r="G115" s="20"/>
      <c r="H115" s="20"/>
      <c r="I115" s="9"/>
      <c r="J115" s="9"/>
      <c r="K115" s="9"/>
    </row>
    <row r="116" spans="1:11" s="13" customFormat="1" ht="29.25" thickBot="1" x14ac:dyDescent="0.3">
      <c r="A116" s="19" t="s">
        <v>47</v>
      </c>
      <c r="B116" s="10"/>
      <c r="C116" s="14">
        <v>46308</v>
      </c>
      <c r="D116" s="11"/>
      <c r="E116" s="11"/>
      <c r="F116" s="12">
        <f t="shared" si="2"/>
        <v>0</v>
      </c>
      <c r="G116" s="20"/>
      <c r="H116" s="20"/>
      <c r="I116" s="9"/>
      <c r="J116" s="9"/>
      <c r="K116" s="9"/>
    </row>
    <row r="117" spans="1:11" s="13" customFormat="1" ht="29.25" thickBot="1" x14ac:dyDescent="0.3">
      <c r="A117" s="19" t="s">
        <v>47</v>
      </c>
      <c r="B117" s="10"/>
      <c r="C117" s="14">
        <v>46308</v>
      </c>
      <c r="D117" s="11"/>
      <c r="E117" s="11"/>
      <c r="F117" s="12">
        <f t="shared" si="2"/>
        <v>0</v>
      </c>
      <c r="G117" s="20"/>
      <c r="H117" s="20"/>
      <c r="I117" s="9"/>
      <c r="J117" s="9"/>
      <c r="K117" s="9"/>
    </row>
    <row r="118" spans="1:11" s="13" customFormat="1" ht="29.25" thickBot="1" x14ac:dyDescent="0.3">
      <c r="A118" s="19" t="s">
        <v>47</v>
      </c>
      <c r="B118" s="10"/>
      <c r="C118" s="14">
        <v>46308</v>
      </c>
      <c r="D118" s="11"/>
      <c r="E118" s="11"/>
      <c r="F118" s="12">
        <f t="shared" si="2"/>
        <v>0</v>
      </c>
      <c r="G118" s="20"/>
      <c r="H118" s="20"/>
      <c r="I118" s="9"/>
      <c r="J118" s="9"/>
      <c r="K118" s="9"/>
    </row>
    <row r="119" spans="1:11" s="13" customFormat="1" ht="29.25" thickBot="1" x14ac:dyDescent="0.3">
      <c r="A119" s="19" t="s">
        <v>47</v>
      </c>
      <c r="B119" s="10"/>
      <c r="C119" s="14">
        <v>46309</v>
      </c>
      <c r="D119" s="11"/>
      <c r="E119" s="11"/>
      <c r="F119" s="12">
        <f t="shared" si="2"/>
        <v>0</v>
      </c>
      <c r="G119" s="20"/>
      <c r="H119" s="20"/>
      <c r="I119" s="9"/>
      <c r="J119" s="9"/>
      <c r="K119" s="9"/>
    </row>
    <row r="120" spans="1:11" s="13" customFormat="1" ht="29.25" thickBot="1" x14ac:dyDescent="0.3">
      <c r="A120" s="19" t="s">
        <v>47</v>
      </c>
      <c r="B120" s="10"/>
      <c r="C120" s="14">
        <v>46309</v>
      </c>
      <c r="D120" s="11"/>
      <c r="E120" s="11"/>
      <c r="F120" s="12">
        <f t="shared" si="2"/>
        <v>0</v>
      </c>
      <c r="G120" s="20"/>
      <c r="H120" s="20"/>
      <c r="I120" s="9"/>
      <c r="J120" s="9"/>
      <c r="K120" s="9"/>
    </row>
    <row r="121" spans="1:11" s="13" customFormat="1" ht="29.25" thickBot="1" x14ac:dyDescent="0.3">
      <c r="A121" s="19" t="s">
        <v>47</v>
      </c>
      <c r="B121" s="10"/>
      <c r="C121" s="14">
        <v>46309</v>
      </c>
      <c r="D121" s="11"/>
      <c r="E121" s="11"/>
      <c r="F121" s="12">
        <f t="shared" si="2"/>
        <v>0</v>
      </c>
      <c r="G121" s="20"/>
      <c r="H121" s="20"/>
      <c r="I121" s="9"/>
      <c r="J121" s="9"/>
      <c r="K121" s="9"/>
    </row>
    <row r="122" spans="1:11" s="13" customFormat="1" ht="29.25" thickBot="1" x14ac:dyDescent="0.3">
      <c r="A122" s="19" t="s">
        <v>47</v>
      </c>
      <c r="B122" s="10"/>
      <c r="C122" s="14">
        <v>46309</v>
      </c>
      <c r="D122" s="11"/>
      <c r="E122" s="11"/>
      <c r="F122" s="12">
        <f t="shared" si="2"/>
        <v>0</v>
      </c>
      <c r="G122" s="20"/>
      <c r="H122" s="20"/>
      <c r="I122" s="9"/>
      <c r="J122" s="9"/>
      <c r="K122" s="9"/>
    </row>
    <row r="123" spans="1:11" s="13" customFormat="1" ht="29.25" thickBot="1" x14ac:dyDescent="0.3">
      <c r="A123" s="19" t="s">
        <v>47</v>
      </c>
      <c r="B123" s="10"/>
      <c r="C123" s="14">
        <v>46309</v>
      </c>
      <c r="D123" s="11"/>
      <c r="E123" s="11"/>
      <c r="F123" s="12">
        <f t="shared" si="2"/>
        <v>0</v>
      </c>
      <c r="G123" s="20"/>
      <c r="H123" s="20"/>
      <c r="I123" s="9"/>
      <c r="J123" s="9"/>
      <c r="K123" s="9"/>
    </row>
    <row r="124" spans="1:11" s="13" customFormat="1" ht="29.25" thickBot="1" x14ac:dyDescent="0.3">
      <c r="A124" s="19" t="s">
        <v>47</v>
      </c>
      <c r="B124" s="10"/>
      <c r="C124" s="14">
        <v>46309</v>
      </c>
      <c r="D124" s="11"/>
      <c r="E124" s="11"/>
      <c r="F124" s="12">
        <f t="shared" si="2"/>
        <v>0</v>
      </c>
      <c r="G124" s="20"/>
      <c r="H124" s="20"/>
      <c r="I124" s="9"/>
      <c r="J124" s="9"/>
      <c r="K124" s="9"/>
    </row>
    <row r="125" spans="1:11" s="13" customFormat="1" ht="29.25" thickBot="1" x14ac:dyDescent="0.3">
      <c r="A125" s="19" t="s">
        <v>47</v>
      </c>
      <c r="B125" s="10"/>
      <c r="C125" s="14">
        <v>46309</v>
      </c>
      <c r="D125" s="11"/>
      <c r="E125" s="11"/>
      <c r="F125" s="12">
        <f t="shared" si="2"/>
        <v>0</v>
      </c>
      <c r="G125" s="20"/>
      <c r="H125" s="20"/>
      <c r="I125" s="9"/>
      <c r="J125" s="9"/>
      <c r="K125" s="9"/>
    </row>
    <row r="126" spans="1:11" s="13" customFormat="1" ht="29.25" thickBot="1" x14ac:dyDescent="0.3">
      <c r="A126" s="19" t="s">
        <v>47</v>
      </c>
      <c r="B126" s="10"/>
      <c r="C126" s="14">
        <v>46309</v>
      </c>
      <c r="D126" s="11"/>
      <c r="E126" s="11"/>
      <c r="F126" s="12">
        <f t="shared" si="2"/>
        <v>0</v>
      </c>
      <c r="G126" s="20"/>
      <c r="H126" s="20"/>
      <c r="I126" s="9"/>
      <c r="J126" s="9"/>
      <c r="K126" s="9"/>
    </row>
    <row r="127" spans="1:11" s="13" customFormat="1" ht="29.25" thickBot="1" x14ac:dyDescent="0.3">
      <c r="A127" s="19" t="s">
        <v>47</v>
      </c>
      <c r="B127" s="10"/>
      <c r="C127" s="14">
        <v>46309</v>
      </c>
      <c r="D127" s="11"/>
      <c r="E127" s="11"/>
      <c r="F127" s="12">
        <f t="shared" si="2"/>
        <v>0</v>
      </c>
      <c r="G127" s="20"/>
      <c r="H127" s="20"/>
      <c r="I127" s="9"/>
      <c r="J127" s="9"/>
      <c r="K127" s="9"/>
    </row>
    <row r="128" spans="1:11" s="13" customFormat="1" ht="29.25" thickBot="1" x14ac:dyDescent="0.3">
      <c r="A128" s="19" t="s">
        <v>47</v>
      </c>
      <c r="B128" s="10"/>
      <c r="C128" s="14">
        <v>46310</v>
      </c>
      <c r="D128" s="11"/>
      <c r="E128" s="11"/>
      <c r="F128" s="12">
        <f t="shared" si="2"/>
        <v>0</v>
      </c>
      <c r="G128" s="20"/>
      <c r="H128" s="20"/>
      <c r="I128" s="9"/>
      <c r="J128" s="9"/>
      <c r="K128" s="9"/>
    </row>
    <row r="129" spans="1:11" s="13" customFormat="1" ht="29.25" thickBot="1" x14ac:dyDescent="0.3">
      <c r="A129" s="19" t="s">
        <v>47</v>
      </c>
      <c r="B129" s="10"/>
      <c r="C129" s="14">
        <v>46310</v>
      </c>
      <c r="D129" s="11"/>
      <c r="E129" s="11"/>
      <c r="F129" s="12">
        <f t="shared" si="2"/>
        <v>0</v>
      </c>
      <c r="G129" s="20"/>
      <c r="H129" s="20"/>
      <c r="I129" s="9"/>
      <c r="J129" s="9"/>
      <c r="K129" s="9"/>
    </row>
    <row r="130" spans="1:11" s="13" customFormat="1" ht="29.25" thickBot="1" x14ac:dyDescent="0.3">
      <c r="A130" s="19" t="s">
        <v>47</v>
      </c>
      <c r="B130" s="10"/>
      <c r="C130" s="14">
        <v>46310</v>
      </c>
      <c r="D130" s="11"/>
      <c r="E130" s="11"/>
      <c r="F130" s="12">
        <f t="shared" si="2"/>
        <v>0</v>
      </c>
      <c r="G130" s="20"/>
      <c r="H130" s="20"/>
      <c r="I130" s="9"/>
      <c r="J130" s="9"/>
      <c r="K130" s="9"/>
    </row>
    <row r="131" spans="1:11" s="13" customFormat="1" ht="29.25" thickBot="1" x14ac:dyDescent="0.3">
      <c r="A131" s="19" t="s">
        <v>47</v>
      </c>
      <c r="B131" s="10"/>
      <c r="C131" s="14">
        <v>46310</v>
      </c>
      <c r="D131" s="11"/>
      <c r="E131" s="11"/>
      <c r="F131" s="12">
        <f t="shared" si="2"/>
        <v>0</v>
      </c>
      <c r="G131" s="20"/>
      <c r="H131" s="20"/>
      <c r="I131" s="9"/>
      <c r="J131" s="9"/>
      <c r="K131" s="9"/>
    </row>
    <row r="132" spans="1:11" s="13" customFormat="1" ht="29.25" thickBot="1" x14ac:dyDescent="0.3">
      <c r="A132" s="19" t="s">
        <v>47</v>
      </c>
      <c r="B132" s="10"/>
      <c r="C132" s="14">
        <v>46310</v>
      </c>
      <c r="D132" s="11"/>
      <c r="E132" s="11"/>
      <c r="F132" s="12">
        <f t="shared" si="2"/>
        <v>0</v>
      </c>
      <c r="G132" s="20"/>
      <c r="H132" s="20"/>
      <c r="I132" s="9"/>
      <c r="J132" s="9"/>
      <c r="K132" s="9"/>
    </row>
    <row r="133" spans="1:11" s="13" customFormat="1" ht="29.25" thickBot="1" x14ac:dyDescent="0.3">
      <c r="A133" s="19" t="s">
        <v>47</v>
      </c>
      <c r="B133" s="10"/>
      <c r="C133" s="14">
        <v>46310</v>
      </c>
      <c r="D133" s="11"/>
      <c r="E133" s="11"/>
      <c r="F133" s="12">
        <f t="shared" si="2"/>
        <v>0</v>
      </c>
      <c r="G133" s="20"/>
      <c r="H133" s="20"/>
      <c r="I133" s="9"/>
      <c r="J133" s="9"/>
      <c r="K133" s="9"/>
    </row>
    <row r="134" spans="1:11" s="13" customFormat="1" ht="29.25" thickBot="1" x14ac:dyDescent="0.3">
      <c r="A134" s="19" t="s">
        <v>47</v>
      </c>
      <c r="B134" s="10"/>
      <c r="C134" s="14">
        <v>46310</v>
      </c>
      <c r="D134" s="11"/>
      <c r="E134" s="11"/>
      <c r="F134" s="12">
        <f t="shared" ref="F134:F197" si="4">+(E134-D134)*24</f>
        <v>0</v>
      </c>
      <c r="G134" s="20"/>
      <c r="H134" s="20"/>
      <c r="I134" s="9"/>
      <c r="J134" s="9"/>
      <c r="K134" s="9"/>
    </row>
    <row r="135" spans="1:11" s="13" customFormat="1" ht="29.25" thickBot="1" x14ac:dyDescent="0.3">
      <c r="A135" s="19" t="s">
        <v>47</v>
      </c>
      <c r="B135" s="10"/>
      <c r="C135" s="14">
        <v>46310</v>
      </c>
      <c r="D135" s="11"/>
      <c r="E135" s="11"/>
      <c r="F135" s="12">
        <f t="shared" si="4"/>
        <v>0</v>
      </c>
      <c r="G135" s="20"/>
      <c r="H135" s="20"/>
      <c r="I135" s="9"/>
      <c r="J135" s="9"/>
      <c r="K135" s="9"/>
    </row>
    <row r="136" spans="1:11" s="13" customFormat="1" ht="29.25" thickBot="1" x14ac:dyDescent="0.3">
      <c r="A136" s="19" t="s">
        <v>47</v>
      </c>
      <c r="B136" s="10"/>
      <c r="C136" s="14">
        <v>46310</v>
      </c>
      <c r="D136" s="11"/>
      <c r="E136" s="11"/>
      <c r="F136" s="12">
        <f t="shared" si="4"/>
        <v>0</v>
      </c>
      <c r="G136" s="20"/>
      <c r="H136" s="20"/>
      <c r="I136" s="9"/>
      <c r="J136" s="9"/>
      <c r="K136" s="9"/>
    </row>
    <row r="137" spans="1:11" s="13" customFormat="1" ht="29.25" thickBot="1" x14ac:dyDescent="0.3">
      <c r="A137" s="19" t="s">
        <v>47</v>
      </c>
      <c r="B137" s="10"/>
      <c r="C137" s="14">
        <v>46311</v>
      </c>
      <c r="D137" s="11"/>
      <c r="E137" s="11"/>
      <c r="F137" s="12">
        <f t="shared" si="4"/>
        <v>0</v>
      </c>
      <c r="G137" s="20"/>
      <c r="H137" s="20"/>
      <c r="I137" s="9"/>
      <c r="J137" s="9"/>
      <c r="K137" s="9"/>
    </row>
    <row r="138" spans="1:11" s="13" customFormat="1" ht="29.25" thickBot="1" x14ac:dyDescent="0.3">
      <c r="A138" s="19" t="s">
        <v>47</v>
      </c>
      <c r="B138" s="10"/>
      <c r="C138" s="14">
        <v>46311</v>
      </c>
      <c r="D138" s="11"/>
      <c r="E138" s="11"/>
      <c r="F138" s="12">
        <f t="shared" si="4"/>
        <v>0</v>
      </c>
      <c r="G138" s="20"/>
      <c r="H138" s="20"/>
      <c r="I138" s="9"/>
      <c r="J138" s="9"/>
      <c r="K138" s="9"/>
    </row>
    <row r="139" spans="1:11" s="13" customFormat="1" ht="29.25" thickBot="1" x14ac:dyDescent="0.3">
      <c r="A139" s="19" t="s">
        <v>47</v>
      </c>
      <c r="B139" s="10"/>
      <c r="C139" s="14">
        <v>46311</v>
      </c>
      <c r="D139" s="11"/>
      <c r="E139" s="11"/>
      <c r="F139" s="12">
        <f t="shared" si="4"/>
        <v>0</v>
      </c>
      <c r="G139" s="20"/>
      <c r="H139" s="20"/>
      <c r="I139" s="9"/>
      <c r="J139" s="9"/>
      <c r="K139" s="9"/>
    </row>
    <row r="140" spans="1:11" s="13" customFormat="1" ht="29.25" thickBot="1" x14ac:dyDescent="0.3">
      <c r="A140" s="19" t="s">
        <v>47</v>
      </c>
      <c r="B140" s="10"/>
      <c r="C140" s="14">
        <v>46311</v>
      </c>
      <c r="D140" s="11"/>
      <c r="E140" s="11"/>
      <c r="F140" s="12">
        <f t="shared" si="4"/>
        <v>0</v>
      </c>
      <c r="G140" s="20"/>
      <c r="H140" s="20"/>
      <c r="I140" s="9"/>
      <c r="J140" s="9"/>
      <c r="K140" s="9"/>
    </row>
    <row r="141" spans="1:11" s="13" customFormat="1" ht="29.25" thickBot="1" x14ac:dyDescent="0.3">
      <c r="A141" s="19" t="s">
        <v>47</v>
      </c>
      <c r="B141" s="10"/>
      <c r="C141" s="14">
        <v>46311</v>
      </c>
      <c r="D141" s="11"/>
      <c r="E141" s="11"/>
      <c r="F141" s="12">
        <f t="shared" si="4"/>
        <v>0</v>
      </c>
      <c r="G141" s="20"/>
      <c r="H141" s="20"/>
      <c r="I141" s="9"/>
      <c r="J141" s="9"/>
      <c r="K141" s="9"/>
    </row>
    <row r="142" spans="1:11" s="13" customFormat="1" ht="29.25" thickBot="1" x14ac:dyDescent="0.3">
      <c r="A142" s="19" t="s">
        <v>47</v>
      </c>
      <c r="B142" s="10"/>
      <c r="C142" s="14">
        <v>46311</v>
      </c>
      <c r="D142" s="11"/>
      <c r="E142" s="11"/>
      <c r="F142" s="12">
        <f t="shared" si="4"/>
        <v>0</v>
      </c>
      <c r="G142" s="20"/>
      <c r="H142" s="20"/>
      <c r="I142" s="9"/>
      <c r="J142" s="9"/>
      <c r="K142" s="9"/>
    </row>
    <row r="143" spans="1:11" s="13" customFormat="1" ht="29.25" thickBot="1" x14ac:dyDescent="0.3">
      <c r="A143" s="19" t="s">
        <v>47</v>
      </c>
      <c r="B143" s="10"/>
      <c r="C143" s="14">
        <v>46311</v>
      </c>
      <c r="D143" s="11"/>
      <c r="E143" s="11"/>
      <c r="F143" s="12">
        <f t="shared" si="4"/>
        <v>0</v>
      </c>
      <c r="G143" s="20"/>
      <c r="H143" s="20"/>
      <c r="I143" s="9"/>
      <c r="J143" s="9"/>
      <c r="K143" s="9"/>
    </row>
    <row r="144" spans="1:11" s="13" customFormat="1" ht="29.25" thickBot="1" x14ac:dyDescent="0.3">
      <c r="A144" s="19" t="s">
        <v>47</v>
      </c>
      <c r="B144" s="10"/>
      <c r="C144" s="14">
        <v>46311</v>
      </c>
      <c r="D144" s="11"/>
      <c r="E144" s="11"/>
      <c r="F144" s="12">
        <f t="shared" si="4"/>
        <v>0</v>
      </c>
      <c r="G144" s="20"/>
      <c r="H144" s="20"/>
      <c r="I144" s="9"/>
      <c r="J144" s="9"/>
      <c r="K144" s="9"/>
    </row>
    <row r="145" spans="1:11" s="13" customFormat="1" ht="29.25" thickBot="1" x14ac:dyDescent="0.3">
      <c r="A145" s="19" t="s">
        <v>47</v>
      </c>
      <c r="B145" s="10"/>
      <c r="C145" s="14">
        <v>46311</v>
      </c>
      <c r="D145" s="11"/>
      <c r="E145" s="11"/>
      <c r="F145" s="12">
        <f t="shared" si="4"/>
        <v>0</v>
      </c>
      <c r="G145" s="20"/>
      <c r="H145" s="20"/>
      <c r="I145" s="9"/>
      <c r="J145" s="9"/>
      <c r="K145" s="9"/>
    </row>
    <row r="146" spans="1:11" s="13" customFormat="1" ht="29.25" thickBot="1" x14ac:dyDescent="0.3">
      <c r="A146" s="19" t="s">
        <v>47</v>
      </c>
      <c r="B146" s="10"/>
      <c r="C146" s="14">
        <v>46312</v>
      </c>
      <c r="D146" s="11">
        <v>0.35416666666666669</v>
      </c>
      <c r="E146" s="11">
        <v>0.6875</v>
      </c>
      <c r="F146" s="12">
        <f>+(E146-D146)*24</f>
        <v>8</v>
      </c>
      <c r="G146" s="20" t="s">
        <v>21</v>
      </c>
      <c r="H146" s="20" t="s">
        <v>30</v>
      </c>
      <c r="I146" s="9"/>
      <c r="J146" s="9" t="s">
        <v>71</v>
      </c>
      <c r="K146" s="9"/>
    </row>
    <row r="147" spans="1:11" s="13" customFormat="1" ht="29.25" thickBot="1" x14ac:dyDescent="0.3">
      <c r="A147" s="19" t="s">
        <v>47</v>
      </c>
      <c r="B147" s="10"/>
      <c r="C147" s="14">
        <v>46312</v>
      </c>
      <c r="D147" s="11"/>
      <c r="E147" s="11"/>
      <c r="F147" s="12"/>
      <c r="G147" s="20"/>
      <c r="H147" s="20"/>
      <c r="I147" s="9"/>
      <c r="J147" s="9"/>
      <c r="K147" s="9"/>
    </row>
    <row r="148" spans="1:11" s="13" customFormat="1" ht="29.25" thickBot="1" x14ac:dyDescent="0.3">
      <c r="A148" s="19" t="s">
        <v>47</v>
      </c>
      <c r="B148" s="10"/>
      <c r="C148" s="14">
        <v>46312</v>
      </c>
      <c r="D148" s="11"/>
      <c r="E148" s="11"/>
      <c r="F148" s="12">
        <f t="shared" ref="F148:F154" si="5">+(E148-D148)*24</f>
        <v>0</v>
      </c>
      <c r="G148" s="20"/>
      <c r="H148" s="20"/>
      <c r="I148" s="9"/>
      <c r="J148" s="9"/>
      <c r="K148" s="9"/>
    </row>
    <row r="149" spans="1:11" s="13" customFormat="1" ht="29.25" thickBot="1" x14ac:dyDescent="0.3">
      <c r="A149" s="19" t="s">
        <v>47</v>
      </c>
      <c r="B149" s="10"/>
      <c r="C149" s="14">
        <v>46312</v>
      </c>
      <c r="D149" s="11"/>
      <c r="E149" s="11"/>
      <c r="F149" s="12">
        <f t="shared" si="5"/>
        <v>0</v>
      </c>
      <c r="G149" s="20"/>
      <c r="H149" s="20"/>
      <c r="I149" s="9"/>
      <c r="J149" s="9"/>
      <c r="K149" s="9"/>
    </row>
    <row r="150" spans="1:11" s="13" customFormat="1" ht="29.25" thickBot="1" x14ac:dyDescent="0.3">
      <c r="A150" s="19" t="s">
        <v>47</v>
      </c>
      <c r="B150" s="10"/>
      <c r="C150" s="14">
        <v>46312</v>
      </c>
      <c r="D150" s="11"/>
      <c r="E150" s="11"/>
      <c r="F150" s="12">
        <f t="shared" si="5"/>
        <v>0</v>
      </c>
      <c r="G150" s="20"/>
      <c r="H150" s="20"/>
      <c r="I150" s="9"/>
      <c r="J150" s="9"/>
      <c r="K150" s="9"/>
    </row>
    <row r="151" spans="1:11" s="13" customFormat="1" ht="29.25" thickBot="1" x14ac:dyDescent="0.3">
      <c r="A151" s="19" t="s">
        <v>47</v>
      </c>
      <c r="B151" s="10"/>
      <c r="C151" s="14">
        <v>46312</v>
      </c>
      <c r="D151" s="11"/>
      <c r="E151" s="11"/>
      <c r="F151" s="12">
        <f t="shared" si="5"/>
        <v>0</v>
      </c>
      <c r="G151" s="20"/>
      <c r="H151" s="20"/>
      <c r="I151" s="9"/>
      <c r="J151" s="9"/>
      <c r="K151" s="9"/>
    </row>
    <row r="152" spans="1:11" s="13" customFormat="1" ht="29.25" thickBot="1" x14ac:dyDescent="0.3">
      <c r="A152" s="19" t="s">
        <v>47</v>
      </c>
      <c r="B152" s="10"/>
      <c r="C152" s="14">
        <v>46312</v>
      </c>
      <c r="D152" s="11"/>
      <c r="E152" s="11"/>
      <c r="F152" s="12">
        <f t="shared" si="5"/>
        <v>0</v>
      </c>
      <c r="G152" s="20"/>
      <c r="H152" s="20"/>
      <c r="I152" s="9"/>
      <c r="J152" s="9"/>
      <c r="K152" s="9"/>
    </row>
    <row r="153" spans="1:11" s="13" customFormat="1" ht="29.25" thickBot="1" x14ac:dyDescent="0.3">
      <c r="A153" s="19" t="s">
        <v>47</v>
      </c>
      <c r="B153" s="10"/>
      <c r="C153" s="14">
        <v>46312</v>
      </c>
      <c r="D153" s="11"/>
      <c r="E153" s="11"/>
      <c r="F153" s="12">
        <f t="shared" si="5"/>
        <v>0</v>
      </c>
      <c r="G153" s="20"/>
      <c r="H153" s="20"/>
      <c r="I153" s="9"/>
      <c r="J153" s="9"/>
      <c r="K153" s="9"/>
    </row>
    <row r="154" spans="1:11" s="13" customFormat="1" ht="29.25" thickBot="1" x14ac:dyDescent="0.3">
      <c r="A154" s="19" t="s">
        <v>47</v>
      </c>
      <c r="B154" s="10"/>
      <c r="C154" s="14">
        <v>46312</v>
      </c>
      <c r="D154" s="11"/>
      <c r="E154" s="11"/>
      <c r="F154" s="12">
        <f t="shared" si="5"/>
        <v>0</v>
      </c>
      <c r="G154" s="20"/>
      <c r="H154" s="20"/>
      <c r="I154" s="9"/>
      <c r="J154" s="9"/>
      <c r="K154" s="9"/>
    </row>
    <row r="155" spans="1:11" s="13" customFormat="1" ht="29.25" thickBot="1" x14ac:dyDescent="0.3">
      <c r="A155" s="19" t="s">
        <v>47</v>
      </c>
      <c r="B155" s="10"/>
      <c r="C155" s="14">
        <v>46313</v>
      </c>
      <c r="D155" s="11">
        <v>0.35416666666666669</v>
      </c>
      <c r="E155" s="11">
        <v>0.6875</v>
      </c>
      <c r="F155" s="12">
        <f>+(E155-D155)*24</f>
        <v>8</v>
      </c>
      <c r="G155" s="20" t="s">
        <v>21</v>
      </c>
      <c r="H155" s="20" t="s">
        <v>30</v>
      </c>
      <c r="I155" s="9"/>
      <c r="J155" s="9" t="s">
        <v>71</v>
      </c>
      <c r="K155" s="9"/>
    </row>
    <row r="156" spans="1:11" s="13" customFormat="1" ht="29.25" thickBot="1" x14ac:dyDescent="0.3">
      <c r="A156" s="19" t="s">
        <v>47</v>
      </c>
      <c r="B156" s="10"/>
      <c r="C156" s="14">
        <v>46313</v>
      </c>
      <c r="D156" s="11"/>
      <c r="E156" s="11"/>
      <c r="F156" s="12">
        <f t="shared" si="4"/>
        <v>0</v>
      </c>
      <c r="G156" s="20"/>
      <c r="H156" s="20"/>
      <c r="I156" s="9"/>
      <c r="J156" s="9"/>
      <c r="K156" s="9"/>
    </row>
    <row r="157" spans="1:11" s="13" customFormat="1" ht="29.25" thickBot="1" x14ac:dyDescent="0.3">
      <c r="A157" s="19" t="s">
        <v>47</v>
      </c>
      <c r="B157" s="10"/>
      <c r="C157" s="14">
        <v>46313</v>
      </c>
      <c r="D157" s="11"/>
      <c r="E157" s="11"/>
      <c r="F157" s="12">
        <f t="shared" si="4"/>
        <v>0</v>
      </c>
      <c r="G157" s="20"/>
      <c r="H157" s="20"/>
      <c r="I157" s="9"/>
      <c r="J157" s="9"/>
      <c r="K157" s="9"/>
    </row>
    <row r="158" spans="1:11" s="13" customFormat="1" ht="29.25" thickBot="1" x14ac:dyDescent="0.3">
      <c r="A158" s="19" t="s">
        <v>47</v>
      </c>
      <c r="B158" s="10"/>
      <c r="C158" s="14">
        <v>46313</v>
      </c>
      <c r="D158" s="11"/>
      <c r="E158" s="11"/>
      <c r="F158" s="12">
        <f t="shared" si="4"/>
        <v>0</v>
      </c>
      <c r="G158" s="20"/>
      <c r="H158" s="20"/>
      <c r="I158" s="9"/>
      <c r="J158" s="9"/>
      <c r="K158" s="9"/>
    </row>
    <row r="159" spans="1:11" s="13" customFormat="1" ht="29.25" thickBot="1" x14ac:dyDescent="0.3">
      <c r="A159" s="19" t="s">
        <v>47</v>
      </c>
      <c r="B159" s="10"/>
      <c r="C159" s="14">
        <v>46313</v>
      </c>
      <c r="D159" s="11"/>
      <c r="E159" s="11"/>
      <c r="F159" s="12">
        <f t="shared" si="4"/>
        <v>0</v>
      </c>
      <c r="G159" s="20"/>
      <c r="H159" s="20"/>
      <c r="I159" s="9"/>
      <c r="J159" s="9"/>
      <c r="K159" s="9"/>
    </row>
    <row r="160" spans="1:11" s="13" customFormat="1" ht="29.25" thickBot="1" x14ac:dyDescent="0.3">
      <c r="A160" s="19" t="s">
        <v>47</v>
      </c>
      <c r="B160" s="10"/>
      <c r="C160" s="14">
        <v>46313</v>
      </c>
      <c r="D160" s="11"/>
      <c r="E160" s="11"/>
      <c r="F160" s="12">
        <f t="shared" si="4"/>
        <v>0</v>
      </c>
      <c r="G160" s="20"/>
      <c r="H160" s="20"/>
      <c r="I160" s="9"/>
      <c r="J160" s="9"/>
      <c r="K160" s="9"/>
    </row>
    <row r="161" spans="1:11" s="13" customFormat="1" ht="29.25" thickBot="1" x14ac:dyDescent="0.3">
      <c r="A161" s="19" t="s">
        <v>47</v>
      </c>
      <c r="B161" s="10"/>
      <c r="C161" s="14">
        <v>46313</v>
      </c>
      <c r="D161" s="11"/>
      <c r="E161" s="11"/>
      <c r="F161" s="12">
        <f t="shared" si="4"/>
        <v>0</v>
      </c>
      <c r="G161" s="20"/>
      <c r="H161" s="20"/>
      <c r="I161" s="9"/>
      <c r="J161" s="9"/>
      <c r="K161" s="9"/>
    </row>
    <row r="162" spans="1:11" s="13" customFormat="1" ht="29.25" thickBot="1" x14ac:dyDescent="0.3">
      <c r="A162" s="19" t="s">
        <v>47</v>
      </c>
      <c r="B162" s="10"/>
      <c r="C162" s="14">
        <v>46313</v>
      </c>
      <c r="D162" s="11"/>
      <c r="E162" s="11"/>
      <c r="F162" s="12">
        <f t="shared" si="4"/>
        <v>0</v>
      </c>
      <c r="G162" s="20"/>
      <c r="H162" s="20"/>
      <c r="I162" s="9"/>
      <c r="J162" s="9"/>
      <c r="K162" s="9"/>
    </row>
    <row r="163" spans="1:11" s="13" customFormat="1" ht="29.25" thickBot="1" x14ac:dyDescent="0.3">
      <c r="A163" s="19" t="s">
        <v>47</v>
      </c>
      <c r="B163" s="10"/>
      <c r="C163" s="14">
        <v>46313</v>
      </c>
      <c r="D163" s="11"/>
      <c r="E163" s="11"/>
      <c r="F163" s="12">
        <f t="shared" si="4"/>
        <v>0</v>
      </c>
      <c r="G163" s="20"/>
      <c r="H163" s="20"/>
      <c r="I163" s="9"/>
      <c r="J163" s="9"/>
      <c r="K163" s="9"/>
    </row>
    <row r="164" spans="1:11" s="13" customFormat="1" ht="29.25" thickBot="1" x14ac:dyDescent="0.3">
      <c r="A164" s="19" t="s">
        <v>47</v>
      </c>
      <c r="B164" s="10"/>
      <c r="C164" s="14">
        <v>46314</v>
      </c>
      <c r="D164" s="11"/>
      <c r="E164" s="11"/>
      <c r="F164" s="12">
        <f t="shared" si="4"/>
        <v>0</v>
      </c>
      <c r="G164" s="20"/>
      <c r="H164" s="20"/>
      <c r="I164" s="9"/>
      <c r="J164" s="9"/>
      <c r="K164" s="9"/>
    </row>
    <row r="165" spans="1:11" s="13" customFormat="1" ht="29.25" thickBot="1" x14ac:dyDescent="0.3">
      <c r="A165" s="19" t="s">
        <v>47</v>
      </c>
      <c r="B165" s="10"/>
      <c r="C165" s="14">
        <v>46314</v>
      </c>
      <c r="D165" s="11"/>
      <c r="E165" s="11"/>
      <c r="F165" s="12">
        <f t="shared" si="4"/>
        <v>0</v>
      </c>
      <c r="G165" s="20"/>
      <c r="H165" s="20"/>
      <c r="I165" s="9"/>
      <c r="J165" s="9"/>
      <c r="K165" s="9"/>
    </row>
    <row r="166" spans="1:11" s="13" customFormat="1" ht="29.25" thickBot="1" x14ac:dyDescent="0.3">
      <c r="A166" s="19" t="s">
        <v>47</v>
      </c>
      <c r="B166" s="10"/>
      <c r="C166" s="14">
        <v>46314</v>
      </c>
      <c r="D166" s="11"/>
      <c r="E166" s="11"/>
      <c r="F166" s="12">
        <f t="shared" si="4"/>
        <v>0</v>
      </c>
      <c r="G166" s="20"/>
      <c r="H166" s="20"/>
      <c r="I166" s="9"/>
      <c r="J166" s="9"/>
      <c r="K166" s="9"/>
    </row>
    <row r="167" spans="1:11" s="13" customFormat="1" ht="29.25" thickBot="1" x14ac:dyDescent="0.3">
      <c r="A167" s="19" t="s">
        <v>47</v>
      </c>
      <c r="B167" s="10"/>
      <c r="C167" s="14">
        <v>46314</v>
      </c>
      <c r="D167" s="11"/>
      <c r="E167" s="11"/>
      <c r="F167" s="12">
        <f t="shared" si="4"/>
        <v>0</v>
      </c>
      <c r="G167" s="20"/>
      <c r="H167" s="20"/>
      <c r="I167" s="9"/>
      <c r="J167" s="9"/>
      <c r="K167" s="9"/>
    </row>
    <row r="168" spans="1:11" s="13" customFormat="1" ht="29.25" thickBot="1" x14ac:dyDescent="0.3">
      <c r="A168" s="19" t="s">
        <v>47</v>
      </c>
      <c r="B168" s="10"/>
      <c r="C168" s="14">
        <v>46314</v>
      </c>
      <c r="D168" s="11"/>
      <c r="E168" s="11"/>
      <c r="F168" s="12">
        <f t="shared" si="4"/>
        <v>0</v>
      </c>
      <c r="G168" s="20"/>
      <c r="H168" s="20"/>
      <c r="I168" s="9"/>
      <c r="J168" s="9"/>
      <c r="K168" s="9"/>
    </row>
    <row r="169" spans="1:11" s="13" customFormat="1" ht="29.25" thickBot="1" x14ac:dyDescent="0.3">
      <c r="A169" s="19" t="s">
        <v>47</v>
      </c>
      <c r="B169" s="10"/>
      <c r="C169" s="14">
        <v>46314</v>
      </c>
      <c r="D169" s="11"/>
      <c r="E169" s="11"/>
      <c r="F169" s="12">
        <f t="shared" si="4"/>
        <v>0</v>
      </c>
      <c r="G169" s="20"/>
      <c r="H169" s="20"/>
      <c r="I169" s="9"/>
      <c r="J169" s="9"/>
      <c r="K169" s="9"/>
    </row>
    <row r="170" spans="1:11" s="13" customFormat="1" ht="29.25" thickBot="1" x14ac:dyDescent="0.3">
      <c r="A170" s="19" t="s">
        <v>47</v>
      </c>
      <c r="B170" s="10"/>
      <c r="C170" s="14">
        <v>46314</v>
      </c>
      <c r="D170" s="11"/>
      <c r="E170" s="11"/>
      <c r="F170" s="12">
        <f t="shared" si="4"/>
        <v>0</v>
      </c>
      <c r="G170" s="20"/>
      <c r="H170" s="20"/>
      <c r="I170" s="9"/>
      <c r="J170" s="9"/>
      <c r="K170" s="9"/>
    </row>
    <row r="171" spans="1:11" s="13" customFormat="1" ht="29.25" thickBot="1" x14ac:dyDescent="0.3">
      <c r="A171" s="19" t="s">
        <v>47</v>
      </c>
      <c r="B171" s="10"/>
      <c r="C171" s="14">
        <v>46314</v>
      </c>
      <c r="D171" s="11"/>
      <c r="E171" s="11"/>
      <c r="F171" s="12">
        <f t="shared" si="4"/>
        <v>0</v>
      </c>
      <c r="G171" s="20"/>
      <c r="H171" s="20"/>
      <c r="I171" s="9"/>
      <c r="J171" s="9"/>
      <c r="K171" s="9"/>
    </row>
    <row r="172" spans="1:11" s="13" customFormat="1" ht="29.25" thickBot="1" x14ac:dyDescent="0.3">
      <c r="A172" s="19" t="s">
        <v>47</v>
      </c>
      <c r="B172" s="10"/>
      <c r="C172" s="14">
        <v>46314</v>
      </c>
      <c r="D172" s="11"/>
      <c r="E172" s="11"/>
      <c r="F172" s="12">
        <f t="shared" si="4"/>
        <v>0</v>
      </c>
      <c r="G172" s="20"/>
      <c r="H172" s="20"/>
      <c r="I172" s="9"/>
      <c r="J172" s="9"/>
      <c r="K172" s="9"/>
    </row>
    <row r="173" spans="1:11" s="13" customFormat="1" ht="29.25" thickBot="1" x14ac:dyDescent="0.3">
      <c r="A173" s="19" t="s">
        <v>47</v>
      </c>
      <c r="B173" s="10"/>
      <c r="C173" s="14">
        <v>46315</v>
      </c>
      <c r="D173" s="11"/>
      <c r="E173" s="11"/>
      <c r="F173" s="12">
        <f t="shared" si="4"/>
        <v>0</v>
      </c>
      <c r="G173" s="20"/>
      <c r="H173" s="20"/>
      <c r="I173" s="9"/>
      <c r="J173" s="9"/>
      <c r="K173" s="9"/>
    </row>
    <row r="174" spans="1:11" s="13" customFormat="1" ht="29.25" thickBot="1" x14ac:dyDescent="0.3">
      <c r="A174" s="19" t="s">
        <v>47</v>
      </c>
      <c r="B174" s="10"/>
      <c r="C174" s="14">
        <v>46315</v>
      </c>
      <c r="D174" s="11"/>
      <c r="E174" s="11"/>
      <c r="F174" s="12">
        <f t="shared" si="4"/>
        <v>0</v>
      </c>
      <c r="G174" s="20"/>
      <c r="H174" s="20"/>
      <c r="I174" s="9"/>
      <c r="J174" s="9"/>
      <c r="K174" s="9"/>
    </row>
    <row r="175" spans="1:11" s="13" customFormat="1" ht="29.25" thickBot="1" x14ac:dyDescent="0.3">
      <c r="A175" s="19" t="s">
        <v>47</v>
      </c>
      <c r="B175" s="10"/>
      <c r="C175" s="14">
        <v>46315</v>
      </c>
      <c r="D175" s="11"/>
      <c r="E175" s="11"/>
      <c r="F175" s="12">
        <f t="shared" si="4"/>
        <v>0</v>
      </c>
      <c r="G175" s="20"/>
      <c r="H175" s="20"/>
      <c r="I175" s="9"/>
      <c r="J175" s="9"/>
      <c r="K175" s="9"/>
    </row>
    <row r="176" spans="1:11" s="13" customFormat="1" ht="29.25" thickBot="1" x14ac:dyDescent="0.3">
      <c r="A176" s="19" t="s">
        <v>47</v>
      </c>
      <c r="B176" s="10"/>
      <c r="C176" s="14">
        <v>46315</v>
      </c>
      <c r="D176" s="11"/>
      <c r="E176" s="11"/>
      <c r="F176" s="12">
        <f t="shared" si="4"/>
        <v>0</v>
      </c>
      <c r="G176" s="20"/>
      <c r="H176" s="20"/>
      <c r="I176" s="9"/>
      <c r="J176" s="9"/>
      <c r="K176" s="9"/>
    </row>
    <row r="177" spans="1:11" s="13" customFormat="1" ht="29.25" thickBot="1" x14ac:dyDescent="0.3">
      <c r="A177" s="19" t="s">
        <v>47</v>
      </c>
      <c r="B177" s="10"/>
      <c r="C177" s="14">
        <v>46315</v>
      </c>
      <c r="D177" s="11"/>
      <c r="E177" s="11"/>
      <c r="F177" s="12">
        <f t="shared" si="4"/>
        <v>0</v>
      </c>
      <c r="G177" s="20"/>
      <c r="H177" s="20"/>
      <c r="I177" s="9"/>
      <c r="J177" s="9"/>
      <c r="K177" s="9"/>
    </row>
    <row r="178" spans="1:11" s="13" customFormat="1" ht="29.25" thickBot="1" x14ac:dyDescent="0.3">
      <c r="A178" s="19" t="s">
        <v>47</v>
      </c>
      <c r="B178" s="10"/>
      <c r="C178" s="14">
        <v>46315</v>
      </c>
      <c r="D178" s="11"/>
      <c r="E178" s="11"/>
      <c r="F178" s="12">
        <f t="shared" si="4"/>
        <v>0</v>
      </c>
      <c r="G178" s="20"/>
      <c r="H178" s="20"/>
      <c r="I178" s="9"/>
      <c r="J178" s="9"/>
      <c r="K178" s="9"/>
    </row>
    <row r="179" spans="1:11" s="13" customFormat="1" ht="29.25" thickBot="1" x14ac:dyDescent="0.3">
      <c r="A179" s="19" t="s">
        <v>47</v>
      </c>
      <c r="B179" s="10"/>
      <c r="C179" s="14">
        <v>46315</v>
      </c>
      <c r="D179" s="11"/>
      <c r="E179" s="11"/>
      <c r="F179" s="12">
        <f t="shared" si="4"/>
        <v>0</v>
      </c>
      <c r="G179" s="20"/>
      <c r="H179" s="20"/>
      <c r="I179" s="9"/>
      <c r="J179" s="9"/>
      <c r="K179" s="9"/>
    </row>
    <row r="180" spans="1:11" s="13" customFormat="1" ht="29.25" thickBot="1" x14ac:dyDescent="0.3">
      <c r="A180" s="19" t="s">
        <v>47</v>
      </c>
      <c r="B180" s="10"/>
      <c r="C180" s="14">
        <v>46315</v>
      </c>
      <c r="D180" s="11"/>
      <c r="E180" s="11"/>
      <c r="F180" s="12">
        <f t="shared" si="4"/>
        <v>0</v>
      </c>
      <c r="G180" s="20"/>
      <c r="H180" s="20"/>
      <c r="I180" s="9"/>
      <c r="J180" s="9"/>
      <c r="K180" s="9"/>
    </row>
    <row r="181" spans="1:11" s="13" customFormat="1" ht="29.25" thickBot="1" x14ac:dyDescent="0.3">
      <c r="A181" s="19" t="s">
        <v>47</v>
      </c>
      <c r="B181" s="10"/>
      <c r="C181" s="14">
        <v>46315</v>
      </c>
      <c r="D181" s="11"/>
      <c r="E181" s="11"/>
      <c r="F181" s="12">
        <f t="shared" si="4"/>
        <v>0</v>
      </c>
      <c r="G181" s="20"/>
      <c r="H181" s="20"/>
      <c r="I181" s="9"/>
      <c r="J181" s="9"/>
      <c r="K181" s="9"/>
    </row>
    <row r="182" spans="1:11" s="13" customFormat="1" ht="29.25" thickBot="1" x14ac:dyDescent="0.3">
      <c r="A182" s="19" t="s">
        <v>47</v>
      </c>
      <c r="B182" s="10"/>
      <c r="C182" s="14">
        <v>46316</v>
      </c>
      <c r="D182" s="11"/>
      <c r="E182" s="11"/>
      <c r="F182" s="12">
        <f t="shared" si="4"/>
        <v>0</v>
      </c>
      <c r="G182" s="20"/>
      <c r="H182" s="20"/>
      <c r="I182" s="9"/>
      <c r="J182" s="9"/>
      <c r="K182" s="9"/>
    </row>
    <row r="183" spans="1:11" s="13" customFormat="1" ht="29.25" thickBot="1" x14ac:dyDescent="0.3">
      <c r="A183" s="19" t="s">
        <v>47</v>
      </c>
      <c r="B183" s="10"/>
      <c r="C183" s="14">
        <v>46316</v>
      </c>
      <c r="D183" s="11"/>
      <c r="E183" s="11"/>
      <c r="F183" s="12">
        <f t="shared" si="4"/>
        <v>0</v>
      </c>
      <c r="G183" s="20"/>
      <c r="H183" s="20"/>
      <c r="I183" s="9"/>
      <c r="J183" s="9"/>
      <c r="K183" s="9"/>
    </row>
    <row r="184" spans="1:11" s="13" customFormat="1" ht="29.25" thickBot="1" x14ac:dyDescent="0.3">
      <c r="A184" s="19" t="s">
        <v>47</v>
      </c>
      <c r="B184" s="10"/>
      <c r="C184" s="14">
        <v>46316</v>
      </c>
      <c r="D184" s="11"/>
      <c r="E184" s="11"/>
      <c r="F184" s="12">
        <f t="shared" si="4"/>
        <v>0</v>
      </c>
      <c r="G184" s="20"/>
      <c r="H184" s="20"/>
      <c r="I184" s="9"/>
      <c r="J184" s="9"/>
      <c r="K184" s="9"/>
    </row>
    <row r="185" spans="1:11" s="13" customFormat="1" ht="29.25" thickBot="1" x14ac:dyDescent="0.3">
      <c r="A185" s="19" t="s">
        <v>47</v>
      </c>
      <c r="B185" s="10"/>
      <c r="C185" s="14">
        <v>46316</v>
      </c>
      <c r="D185" s="11"/>
      <c r="E185" s="11"/>
      <c r="F185" s="12">
        <f t="shared" si="4"/>
        <v>0</v>
      </c>
      <c r="G185" s="20"/>
      <c r="H185" s="20"/>
      <c r="I185" s="9"/>
      <c r="J185" s="9"/>
      <c r="K185" s="9"/>
    </row>
    <row r="186" spans="1:11" s="13" customFormat="1" ht="29.25" thickBot="1" x14ac:dyDescent="0.3">
      <c r="A186" s="19" t="s">
        <v>47</v>
      </c>
      <c r="B186" s="10"/>
      <c r="C186" s="14">
        <v>46316</v>
      </c>
      <c r="D186" s="11"/>
      <c r="E186" s="11"/>
      <c r="F186" s="12">
        <f t="shared" si="4"/>
        <v>0</v>
      </c>
      <c r="G186" s="20"/>
      <c r="H186" s="20"/>
      <c r="I186" s="9"/>
      <c r="J186" s="9"/>
      <c r="K186" s="9"/>
    </row>
    <row r="187" spans="1:11" s="13" customFormat="1" ht="29.25" thickBot="1" x14ac:dyDescent="0.3">
      <c r="A187" s="19" t="s">
        <v>47</v>
      </c>
      <c r="B187" s="10"/>
      <c r="C187" s="14">
        <v>46316</v>
      </c>
      <c r="D187" s="11"/>
      <c r="E187" s="11"/>
      <c r="F187" s="12">
        <f t="shared" si="4"/>
        <v>0</v>
      </c>
      <c r="G187" s="20"/>
      <c r="H187" s="20"/>
      <c r="I187" s="9"/>
      <c r="J187" s="9"/>
      <c r="K187" s="9"/>
    </row>
    <row r="188" spans="1:11" s="13" customFormat="1" ht="29.25" thickBot="1" x14ac:dyDescent="0.3">
      <c r="A188" s="19" t="s">
        <v>47</v>
      </c>
      <c r="B188" s="10"/>
      <c r="C188" s="14">
        <v>46316</v>
      </c>
      <c r="D188" s="11"/>
      <c r="E188" s="11"/>
      <c r="F188" s="12">
        <f t="shared" si="4"/>
        <v>0</v>
      </c>
      <c r="G188" s="20"/>
      <c r="H188" s="20"/>
      <c r="I188" s="9"/>
      <c r="J188" s="9"/>
      <c r="K188" s="9"/>
    </row>
    <row r="189" spans="1:11" s="13" customFormat="1" ht="29.25" thickBot="1" x14ac:dyDescent="0.3">
      <c r="A189" s="19" t="s">
        <v>47</v>
      </c>
      <c r="B189" s="10"/>
      <c r="C189" s="14">
        <v>46316</v>
      </c>
      <c r="D189" s="11"/>
      <c r="E189" s="11"/>
      <c r="F189" s="12">
        <f t="shared" si="4"/>
        <v>0</v>
      </c>
      <c r="G189" s="20"/>
      <c r="H189" s="20"/>
      <c r="I189" s="9"/>
      <c r="J189" s="9"/>
      <c r="K189" s="9"/>
    </row>
    <row r="190" spans="1:11" s="13" customFormat="1" ht="29.25" thickBot="1" x14ac:dyDescent="0.3">
      <c r="A190" s="19" t="s">
        <v>47</v>
      </c>
      <c r="B190" s="10"/>
      <c r="C190" s="14">
        <v>46317</v>
      </c>
      <c r="D190" s="11"/>
      <c r="E190" s="11"/>
      <c r="F190" s="12">
        <f t="shared" si="4"/>
        <v>0</v>
      </c>
      <c r="G190" s="20"/>
      <c r="H190" s="20"/>
      <c r="I190" s="9"/>
      <c r="J190" s="9"/>
      <c r="K190" s="9"/>
    </row>
    <row r="191" spans="1:11" s="13" customFormat="1" ht="29.25" thickBot="1" x14ac:dyDescent="0.3">
      <c r="A191" s="19" t="s">
        <v>47</v>
      </c>
      <c r="B191" s="10"/>
      <c r="C191" s="14">
        <v>46317</v>
      </c>
      <c r="D191" s="11"/>
      <c r="E191" s="11"/>
      <c r="F191" s="12">
        <f t="shared" si="4"/>
        <v>0</v>
      </c>
      <c r="G191" s="20"/>
      <c r="H191" s="20"/>
      <c r="I191" s="9"/>
      <c r="J191" s="9"/>
      <c r="K191" s="9"/>
    </row>
    <row r="192" spans="1:11" s="13" customFormat="1" ht="29.25" thickBot="1" x14ac:dyDescent="0.3">
      <c r="A192" s="19" t="s">
        <v>47</v>
      </c>
      <c r="B192" s="10"/>
      <c r="C192" s="14">
        <v>46317</v>
      </c>
      <c r="D192" s="11"/>
      <c r="E192" s="11"/>
      <c r="F192" s="12">
        <f t="shared" si="4"/>
        <v>0</v>
      </c>
      <c r="G192" s="20"/>
      <c r="H192" s="20"/>
      <c r="I192" s="9"/>
      <c r="J192" s="9"/>
      <c r="K192" s="9"/>
    </row>
    <row r="193" spans="1:11" s="13" customFormat="1" ht="29.25" thickBot="1" x14ac:dyDescent="0.3">
      <c r="A193" s="19" t="s">
        <v>47</v>
      </c>
      <c r="B193" s="10"/>
      <c r="C193" s="14">
        <v>46317</v>
      </c>
      <c r="D193" s="11"/>
      <c r="E193" s="11"/>
      <c r="F193" s="12">
        <f t="shared" si="4"/>
        <v>0</v>
      </c>
      <c r="G193" s="20"/>
      <c r="H193" s="20"/>
      <c r="I193" s="9"/>
      <c r="J193" s="9"/>
      <c r="K193" s="9"/>
    </row>
    <row r="194" spans="1:11" s="13" customFormat="1" ht="29.25" thickBot="1" x14ac:dyDescent="0.3">
      <c r="A194" s="19" t="s">
        <v>47</v>
      </c>
      <c r="B194" s="10"/>
      <c r="C194" s="14">
        <v>46317</v>
      </c>
      <c r="D194" s="11"/>
      <c r="E194" s="11"/>
      <c r="F194" s="12">
        <f t="shared" si="4"/>
        <v>0</v>
      </c>
      <c r="G194" s="20"/>
      <c r="H194" s="20"/>
      <c r="I194" s="9"/>
      <c r="J194" s="9"/>
      <c r="K194" s="9"/>
    </row>
    <row r="195" spans="1:11" s="13" customFormat="1" ht="29.25" thickBot="1" x14ac:dyDescent="0.3">
      <c r="A195" s="19" t="s">
        <v>47</v>
      </c>
      <c r="B195" s="10"/>
      <c r="C195" s="14">
        <v>46317</v>
      </c>
      <c r="D195" s="11"/>
      <c r="E195" s="11"/>
      <c r="F195" s="12">
        <f t="shared" si="4"/>
        <v>0</v>
      </c>
      <c r="G195" s="20"/>
      <c r="H195" s="20"/>
      <c r="I195" s="9"/>
      <c r="J195" s="9"/>
      <c r="K195" s="9"/>
    </row>
    <row r="196" spans="1:11" s="13" customFormat="1" ht="29.25" thickBot="1" x14ac:dyDescent="0.3">
      <c r="A196" s="19" t="s">
        <v>47</v>
      </c>
      <c r="B196" s="10"/>
      <c r="C196" s="14">
        <v>46317</v>
      </c>
      <c r="D196" s="11"/>
      <c r="E196" s="11"/>
      <c r="F196" s="12">
        <f t="shared" si="4"/>
        <v>0</v>
      </c>
      <c r="G196" s="20"/>
      <c r="H196" s="20"/>
      <c r="I196" s="9"/>
      <c r="J196" s="9"/>
      <c r="K196" s="9"/>
    </row>
    <row r="197" spans="1:11" s="13" customFormat="1" ht="29.25" thickBot="1" x14ac:dyDescent="0.3">
      <c r="A197" s="19" t="s">
        <v>47</v>
      </c>
      <c r="B197" s="10"/>
      <c r="C197" s="14">
        <v>46317</v>
      </c>
      <c r="D197" s="11"/>
      <c r="E197" s="11"/>
      <c r="F197" s="12">
        <f t="shared" si="4"/>
        <v>0</v>
      </c>
      <c r="G197" s="20"/>
      <c r="H197" s="20"/>
      <c r="I197" s="9"/>
      <c r="J197" s="9"/>
      <c r="K197" s="9"/>
    </row>
    <row r="198" spans="1:11" s="13" customFormat="1" ht="29.25" thickBot="1" x14ac:dyDescent="0.3">
      <c r="A198" s="19" t="s">
        <v>47</v>
      </c>
      <c r="B198" s="10"/>
      <c r="C198" s="14">
        <v>46317</v>
      </c>
      <c r="D198" s="11"/>
      <c r="E198" s="11"/>
      <c r="F198" s="12">
        <f t="shared" ref="F198:F261" si="6">+(E198-D198)*24</f>
        <v>0</v>
      </c>
      <c r="G198" s="20"/>
      <c r="H198" s="20"/>
      <c r="I198" s="9"/>
      <c r="J198" s="9"/>
      <c r="K198" s="9"/>
    </row>
    <row r="199" spans="1:11" s="13" customFormat="1" ht="29.25" thickBot="1" x14ac:dyDescent="0.3">
      <c r="A199" s="19" t="s">
        <v>47</v>
      </c>
      <c r="B199" s="10"/>
      <c r="C199" s="14">
        <v>46318</v>
      </c>
      <c r="D199" s="11"/>
      <c r="E199" s="11"/>
      <c r="F199" s="12">
        <f t="shared" si="6"/>
        <v>0</v>
      </c>
      <c r="G199" s="20"/>
      <c r="H199" s="20"/>
      <c r="I199" s="9"/>
      <c r="J199" s="9"/>
      <c r="K199" s="9"/>
    </row>
    <row r="200" spans="1:11" s="13" customFormat="1" ht="29.25" thickBot="1" x14ac:dyDescent="0.3">
      <c r="A200" s="19" t="s">
        <v>47</v>
      </c>
      <c r="B200" s="10"/>
      <c r="C200" s="14">
        <v>46318</v>
      </c>
      <c r="D200" s="11"/>
      <c r="E200" s="11"/>
      <c r="F200" s="12">
        <f t="shared" si="6"/>
        <v>0</v>
      </c>
      <c r="G200" s="20"/>
      <c r="H200" s="20"/>
      <c r="I200" s="9"/>
      <c r="J200" s="9"/>
      <c r="K200" s="9"/>
    </row>
    <row r="201" spans="1:11" s="13" customFormat="1" ht="29.25" thickBot="1" x14ac:dyDescent="0.3">
      <c r="A201" s="19" t="s">
        <v>47</v>
      </c>
      <c r="B201" s="10"/>
      <c r="C201" s="14">
        <v>46318</v>
      </c>
      <c r="D201" s="11"/>
      <c r="E201" s="11"/>
      <c r="F201" s="12">
        <f t="shared" si="6"/>
        <v>0</v>
      </c>
      <c r="G201" s="20"/>
      <c r="H201" s="20"/>
      <c r="I201" s="9"/>
      <c r="J201" s="9"/>
      <c r="K201" s="9"/>
    </row>
    <row r="202" spans="1:11" s="13" customFormat="1" ht="29.25" thickBot="1" x14ac:dyDescent="0.3">
      <c r="A202" s="19" t="s">
        <v>47</v>
      </c>
      <c r="B202" s="10"/>
      <c r="C202" s="14">
        <v>46318</v>
      </c>
      <c r="D202" s="11"/>
      <c r="E202" s="11"/>
      <c r="F202" s="12">
        <f t="shared" si="6"/>
        <v>0</v>
      </c>
      <c r="G202" s="20"/>
      <c r="H202" s="20"/>
      <c r="I202" s="9"/>
      <c r="J202" s="9"/>
      <c r="K202" s="9"/>
    </row>
    <row r="203" spans="1:11" s="13" customFormat="1" ht="29.25" thickBot="1" x14ac:dyDescent="0.3">
      <c r="A203" s="19" t="s">
        <v>47</v>
      </c>
      <c r="B203" s="10"/>
      <c r="C203" s="14">
        <v>46318</v>
      </c>
      <c r="D203" s="11"/>
      <c r="E203" s="11"/>
      <c r="F203" s="12">
        <f t="shared" si="6"/>
        <v>0</v>
      </c>
      <c r="G203" s="20"/>
      <c r="H203" s="20"/>
      <c r="I203" s="9"/>
      <c r="J203" s="9"/>
      <c r="K203" s="9"/>
    </row>
    <row r="204" spans="1:11" s="13" customFormat="1" ht="29.25" thickBot="1" x14ac:dyDescent="0.3">
      <c r="A204" s="19" t="s">
        <v>47</v>
      </c>
      <c r="B204" s="10"/>
      <c r="C204" s="14">
        <v>46318</v>
      </c>
      <c r="D204" s="11"/>
      <c r="E204" s="11"/>
      <c r="F204" s="12">
        <f t="shared" si="6"/>
        <v>0</v>
      </c>
      <c r="G204" s="20"/>
      <c r="H204" s="20"/>
      <c r="I204" s="9"/>
      <c r="J204" s="9"/>
      <c r="K204" s="9"/>
    </row>
    <row r="205" spans="1:11" s="13" customFormat="1" ht="29.25" thickBot="1" x14ac:dyDescent="0.3">
      <c r="A205" s="19" t="s">
        <v>47</v>
      </c>
      <c r="B205" s="10"/>
      <c r="C205" s="14">
        <v>46318</v>
      </c>
      <c r="D205" s="11"/>
      <c r="E205" s="11"/>
      <c r="F205" s="12">
        <f t="shared" si="6"/>
        <v>0</v>
      </c>
      <c r="G205" s="20"/>
      <c r="H205" s="20"/>
      <c r="I205" s="9"/>
      <c r="J205" s="9"/>
      <c r="K205" s="9"/>
    </row>
    <row r="206" spans="1:11" s="13" customFormat="1" ht="29.25" thickBot="1" x14ac:dyDescent="0.3">
      <c r="A206" s="19" t="s">
        <v>47</v>
      </c>
      <c r="B206" s="10"/>
      <c r="C206" s="14">
        <v>46318</v>
      </c>
      <c r="D206" s="11"/>
      <c r="E206" s="11"/>
      <c r="F206" s="12">
        <f t="shared" si="6"/>
        <v>0</v>
      </c>
      <c r="G206" s="20"/>
      <c r="H206" s="20"/>
      <c r="I206" s="9"/>
      <c r="J206" s="9"/>
      <c r="K206" s="9"/>
    </row>
    <row r="207" spans="1:11" s="13" customFormat="1" ht="29.25" thickBot="1" x14ac:dyDescent="0.3">
      <c r="A207" s="19" t="s">
        <v>47</v>
      </c>
      <c r="B207" s="10"/>
      <c r="C207" s="14">
        <v>46318</v>
      </c>
      <c r="D207" s="11"/>
      <c r="E207" s="11"/>
      <c r="F207" s="12">
        <f t="shared" si="6"/>
        <v>0</v>
      </c>
      <c r="G207" s="20"/>
      <c r="H207" s="20"/>
      <c r="I207" s="9"/>
      <c r="J207" s="9"/>
      <c r="K207" s="9"/>
    </row>
    <row r="208" spans="1:11" s="13" customFormat="1" ht="29.25" thickBot="1" x14ac:dyDescent="0.3">
      <c r="A208" s="19" t="s">
        <v>47</v>
      </c>
      <c r="B208" s="10"/>
      <c r="C208" s="14">
        <v>46319</v>
      </c>
      <c r="D208" s="11">
        <v>0.35416666666666669</v>
      </c>
      <c r="E208" s="11">
        <v>0.6875</v>
      </c>
      <c r="F208" s="12">
        <f>+(E208-D208)*24</f>
        <v>8</v>
      </c>
      <c r="G208" s="20" t="s">
        <v>21</v>
      </c>
      <c r="H208" s="20" t="s">
        <v>30</v>
      </c>
      <c r="I208" s="9"/>
      <c r="J208" s="9" t="s">
        <v>71</v>
      </c>
      <c r="K208" s="9"/>
    </row>
    <row r="209" spans="1:11" s="13" customFormat="1" ht="29.25" thickBot="1" x14ac:dyDescent="0.3">
      <c r="A209" s="19" t="s">
        <v>47</v>
      </c>
      <c r="B209" s="10"/>
      <c r="C209" s="14">
        <v>46319</v>
      </c>
      <c r="D209" s="11"/>
      <c r="E209" s="11"/>
      <c r="F209" s="12"/>
      <c r="G209" s="20"/>
      <c r="H209" s="20"/>
      <c r="I209" s="9"/>
      <c r="J209" s="9"/>
      <c r="K209" s="9"/>
    </row>
    <row r="210" spans="1:11" s="13" customFormat="1" ht="29.25" thickBot="1" x14ac:dyDescent="0.3">
      <c r="A210" s="19" t="s">
        <v>47</v>
      </c>
      <c r="B210" s="10"/>
      <c r="C210" s="14">
        <v>46319</v>
      </c>
      <c r="D210" s="11"/>
      <c r="E210" s="11"/>
      <c r="F210" s="12">
        <f t="shared" ref="F210:F216" si="7">+(E210-D210)*24</f>
        <v>0</v>
      </c>
      <c r="G210" s="20"/>
      <c r="H210" s="20"/>
      <c r="I210" s="9"/>
      <c r="J210" s="9"/>
      <c r="K210" s="9"/>
    </row>
    <row r="211" spans="1:11" s="13" customFormat="1" ht="29.25" thickBot="1" x14ac:dyDescent="0.3">
      <c r="A211" s="19" t="s">
        <v>47</v>
      </c>
      <c r="B211" s="10"/>
      <c r="C211" s="14">
        <v>46319</v>
      </c>
      <c r="D211" s="11"/>
      <c r="E211" s="11"/>
      <c r="F211" s="12">
        <f t="shared" si="7"/>
        <v>0</v>
      </c>
      <c r="G211" s="20"/>
      <c r="H211" s="20"/>
      <c r="I211" s="9"/>
      <c r="J211" s="9"/>
      <c r="K211" s="9"/>
    </row>
    <row r="212" spans="1:11" s="13" customFormat="1" ht="29.25" thickBot="1" x14ac:dyDescent="0.3">
      <c r="A212" s="19" t="s">
        <v>47</v>
      </c>
      <c r="B212" s="10"/>
      <c r="C212" s="14">
        <v>46319</v>
      </c>
      <c r="D212" s="11"/>
      <c r="E212" s="11"/>
      <c r="F212" s="12">
        <f t="shared" si="7"/>
        <v>0</v>
      </c>
      <c r="G212" s="20"/>
      <c r="H212" s="20"/>
      <c r="I212" s="9"/>
      <c r="J212" s="9"/>
      <c r="K212" s="9"/>
    </row>
    <row r="213" spans="1:11" s="13" customFormat="1" ht="29.25" thickBot="1" x14ac:dyDescent="0.3">
      <c r="A213" s="19" t="s">
        <v>47</v>
      </c>
      <c r="B213" s="10"/>
      <c r="C213" s="14">
        <v>46319</v>
      </c>
      <c r="D213" s="11"/>
      <c r="E213" s="11"/>
      <c r="F213" s="12">
        <f t="shared" si="7"/>
        <v>0</v>
      </c>
      <c r="G213" s="20"/>
      <c r="H213" s="20"/>
      <c r="I213" s="9"/>
      <c r="J213" s="9"/>
      <c r="K213" s="9"/>
    </row>
    <row r="214" spans="1:11" s="13" customFormat="1" ht="29.25" thickBot="1" x14ac:dyDescent="0.3">
      <c r="A214" s="19" t="s">
        <v>47</v>
      </c>
      <c r="B214" s="10"/>
      <c r="C214" s="14">
        <v>46319</v>
      </c>
      <c r="D214" s="11"/>
      <c r="E214" s="11"/>
      <c r="F214" s="12">
        <f t="shared" si="7"/>
        <v>0</v>
      </c>
      <c r="G214" s="20"/>
      <c r="H214" s="20"/>
      <c r="I214" s="9"/>
      <c r="J214" s="9"/>
      <c r="K214" s="9"/>
    </row>
    <row r="215" spans="1:11" s="13" customFormat="1" ht="29.25" thickBot="1" x14ac:dyDescent="0.3">
      <c r="A215" s="19" t="s">
        <v>47</v>
      </c>
      <c r="B215" s="10"/>
      <c r="C215" s="14">
        <v>46319</v>
      </c>
      <c r="D215" s="11"/>
      <c r="E215" s="11"/>
      <c r="F215" s="12">
        <f t="shared" si="7"/>
        <v>0</v>
      </c>
      <c r="G215" s="20"/>
      <c r="H215" s="20"/>
      <c r="I215" s="9"/>
      <c r="J215" s="9"/>
      <c r="K215" s="9"/>
    </row>
    <row r="216" spans="1:11" s="13" customFormat="1" ht="29.25" thickBot="1" x14ac:dyDescent="0.3">
      <c r="A216" s="19" t="s">
        <v>47</v>
      </c>
      <c r="B216" s="10"/>
      <c r="C216" s="14">
        <v>46319</v>
      </c>
      <c r="D216" s="11"/>
      <c r="E216" s="11"/>
      <c r="F216" s="12">
        <f t="shared" si="7"/>
        <v>0</v>
      </c>
      <c r="G216" s="20"/>
      <c r="H216" s="20"/>
      <c r="I216" s="9"/>
      <c r="J216" s="9"/>
      <c r="K216" s="9"/>
    </row>
    <row r="217" spans="1:11" s="13" customFormat="1" ht="29.25" thickBot="1" x14ac:dyDescent="0.3">
      <c r="A217" s="19" t="s">
        <v>47</v>
      </c>
      <c r="B217" s="10"/>
      <c r="C217" s="14">
        <v>46320</v>
      </c>
      <c r="D217" s="11">
        <v>0.35416666666666669</v>
      </c>
      <c r="E217" s="11">
        <v>0.6875</v>
      </c>
      <c r="F217" s="12">
        <f>+(E217-D217)*24</f>
        <v>8</v>
      </c>
      <c r="G217" s="20" t="s">
        <v>21</v>
      </c>
      <c r="H217" s="20" t="s">
        <v>30</v>
      </c>
      <c r="I217" s="9"/>
      <c r="J217" s="9" t="s">
        <v>71</v>
      </c>
      <c r="K217" s="9"/>
    </row>
    <row r="218" spans="1:11" s="13" customFormat="1" ht="29.25" thickBot="1" x14ac:dyDescent="0.3">
      <c r="A218" s="19" t="s">
        <v>47</v>
      </c>
      <c r="B218" s="10"/>
      <c r="C218" s="14">
        <v>46320</v>
      </c>
      <c r="D218" s="11"/>
      <c r="E218" s="11"/>
      <c r="F218" s="12">
        <f t="shared" si="6"/>
        <v>0</v>
      </c>
      <c r="G218" s="20"/>
      <c r="H218" s="20"/>
      <c r="I218" s="9"/>
      <c r="J218" s="9"/>
      <c r="K218" s="9"/>
    </row>
    <row r="219" spans="1:11" ht="29.25" thickBot="1" x14ac:dyDescent="0.25">
      <c r="A219" s="19" t="s">
        <v>47</v>
      </c>
      <c r="B219" s="10"/>
      <c r="C219" s="14">
        <v>46320</v>
      </c>
      <c r="D219" s="11"/>
      <c r="E219" s="11"/>
      <c r="F219" s="12">
        <f t="shared" si="6"/>
        <v>0</v>
      </c>
      <c r="G219" s="20"/>
      <c r="H219" s="20"/>
      <c r="I219" s="9"/>
      <c r="J219" s="9"/>
      <c r="K219" s="9"/>
    </row>
    <row r="220" spans="1:11" ht="29.25" thickBot="1" x14ac:dyDescent="0.25">
      <c r="A220" s="19" t="s">
        <v>47</v>
      </c>
      <c r="B220" s="10"/>
      <c r="C220" s="14">
        <v>46320</v>
      </c>
      <c r="D220" s="11"/>
      <c r="E220" s="11"/>
      <c r="F220" s="12">
        <f t="shared" si="6"/>
        <v>0</v>
      </c>
      <c r="G220" s="20"/>
      <c r="H220" s="20"/>
      <c r="I220" s="9"/>
      <c r="J220" s="9"/>
      <c r="K220" s="9"/>
    </row>
    <row r="221" spans="1:11" ht="29.25" thickBot="1" x14ac:dyDescent="0.25">
      <c r="A221" s="19" t="s">
        <v>47</v>
      </c>
      <c r="B221" s="10"/>
      <c r="C221" s="14">
        <v>46320</v>
      </c>
      <c r="D221" s="11"/>
      <c r="E221" s="11"/>
      <c r="F221" s="12">
        <f t="shared" si="6"/>
        <v>0</v>
      </c>
      <c r="G221" s="20"/>
      <c r="H221" s="20"/>
      <c r="I221" s="9"/>
      <c r="J221" s="9"/>
      <c r="K221" s="9"/>
    </row>
    <row r="222" spans="1:11" ht="29.25" thickBot="1" x14ac:dyDescent="0.25">
      <c r="A222" s="19" t="s">
        <v>47</v>
      </c>
      <c r="B222" s="10"/>
      <c r="C222" s="14">
        <v>46320</v>
      </c>
      <c r="D222" s="11"/>
      <c r="E222" s="11"/>
      <c r="F222" s="12">
        <f t="shared" si="6"/>
        <v>0</v>
      </c>
      <c r="G222" s="20"/>
      <c r="H222" s="20"/>
      <c r="I222" s="9"/>
      <c r="J222" s="9"/>
      <c r="K222" s="9"/>
    </row>
    <row r="223" spans="1:11" ht="29.25" thickBot="1" x14ac:dyDescent="0.25">
      <c r="A223" s="19" t="s">
        <v>47</v>
      </c>
      <c r="B223" s="10"/>
      <c r="C223" s="14">
        <v>46320</v>
      </c>
      <c r="D223" s="11"/>
      <c r="E223" s="11"/>
      <c r="F223" s="12">
        <f t="shared" si="6"/>
        <v>0</v>
      </c>
      <c r="G223" s="20"/>
      <c r="H223" s="20"/>
      <c r="I223" s="9"/>
      <c r="J223" s="9"/>
      <c r="K223" s="9"/>
    </row>
    <row r="224" spans="1:11" ht="29.25" thickBot="1" x14ac:dyDescent="0.25">
      <c r="A224" s="19" t="s">
        <v>47</v>
      </c>
      <c r="B224" s="10"/>
      <c r="C224" s="14">
        <v>46320</v>
      </c>
      <c r="D224" s="11"/>
      <c r="E224" s="11"/>
      <c r="F224" s="12">
        <f t="shared" si="6"/>
        <v>0</v>
      </c>
      <c r="G224" s="20"/>
      <c r="H224" s="20"/>
      <c r="I224" s="9"/>
      <c r="J224" s="9"/>
      <c r="K224" s="9"/>
    </row>
    <row r="225" spans="1:11" ht="29.25" thickBot="1" x14ac:dyDescent="0.25">
      <c r="A225" s="19" t="s">
        <v>47</v>
      </c>
      <c r="B225" s="10"/>
      <c r="C225" s="14">
        <v>46320</v>
      </c>
      <c r="D225" s="11"/>
      <c r="E225" s="11"/>
      <c r="F225" s="12">
        <f t="shared" si="6"/>
        <v>0</v>
      </c>
      <c r="G225" s="20"/>
      <c r="H225" s="20"/>
      <c r="I225" s="9"/>
      <c r="J225" s="9"/>
      <c r="K225" s="9"/>
    </row>
    <row r="226" spans="1:11" ht="29.25" thickBot="1" x14ac:dyDescent="0.25">
      <c r="A226" s="19" t="s">
        <v>47</v>
      </c>
      <c r="B226" s="10"/>
      <c r="C226" s="14">
        <v>46321</v>
      </c>
      <c r="D226" s="11"/>
      <c r="E226" s="11"/>
      <c r="F226" s="12">
        <f t="shared" si="6"/>
        <v>0</v>
      </c>
      <c r="G226" s="20"/>
      <c r="H226" s="20"/>
      <c r="I226" s="9"/>
      <c r="J226" s="9"/>
      <c r="K226" s="9"/>
    </row>
    <row r="227" spans="1:11" ht="29.25" thickBot="1" x14ac:dyDescent="0.25">
      <c r="A227" s="19" t="s">
        <v>47</v>
      </c>
      <c r="B227" s="10"/>
      <c r="C227" s="14">
        <v>46321</v>
      </c>
      <c r="D227" s="11"/>
      <c r="E227" s="11"/>
      <c r="F227" s="12">
        <f t="shared" si="6"/>
        <v>0</v>
      </c>
      <c r="G227" s="20"/>
      <c r="H227" s="20"/>
      <c r="I227" s="9"/>
      <c r="J227" s="9"/>
      <c r="K227" s="9"/>
    </row>
    <row r="228" spans="1:11" ht="29.25" thickBot="1" x14ac:dyDescent="0.25">
      <c r="A228" s="19" t="s">
        <v>47</v>
      </c>
      <c r="B228" s="10"/>
      <c r="C228" s="14">
        <v>46321</v>
      </c>
      <c r="D228" s="11"/>
      <c r="E228" s="11"/>
      <c r="F228" s="12">
        <f t="shared" si="6"/>
        <v>0</v>
      </c>
      <c r="G228" s="20"/>
      <c r="H228" s="20"/>
      <c r="I228" s="9"/>
      <c r="J228" s="9"/>
      <c r="K228" s="9"/>
    </row>
    <row r="229" spans="1:11" ht="29.25" thickBot="1" x14ac:dyDescent="0.25">
      <c r="A229" s="19" t="s">
        <v>47</v>
      </c>
      <c r="B229" s="10"/>
      <c r="C229" s="14">
        <v>46321</v>
      </c>
      <c r="D229" s="11"/>
      <c r="E229" s="11"/>
      <c r="F229" s="12">
        <f t="shared" si="6"/>
        <v>0</v>
      </c>
      <c r="G229" s="20"/>
      <c r="H229" s="20"/>
      <c r="I229" s="9"/>
      <c r="J229" s="9"/>
      <c r="K229" s="9"/>
    </row>
    <row r="230" spans="1:11" ht="29.25" thickBot="1" x14ac:dyDescent="0.25">
      <c r="A230" s="19" t="s">
        <v>47</v>
      </c>
      <c r="B230" s="10"/>
      <c r="C230" s="14">
        <v>46321</v>
      </c>
      <c r="D230" s="11"/>
      <c r="E230" s="11"/>
      <c r="F230" s="12">
        <f t="shared" si="6"/>
        <v>0</v>
      </c>
      <c r="G230" s="20"/>
      <c r="H230" s="20"/>
      <c r="I230" s="9"/>
      <c r="J230" s="9"/>
      <c r="K230" s="9"/>
    </row>
    <row r="231" spans="1:11" ht="29.25" thickBot="1" x14ac:dyDescent="0.25">
      <c r="A231" s="19" t="s">
        <v>47</v>
      </c>
      <c r="B231" s="10"/>
      <c r="C231" s="14">
        <v>46321</v>
      </c>
      <c r="D231" s="11"/>
      <c r="E231" s="11"/>
      <c r="F231" s="12">
        <f t="shared" si="6"/>
        <v>0</v>
      </c>
      <c r="G231" s="20"/>
      <c r="H231" s="20"/>
      <c r="I231" s="9"/>
      <c r="J231" s="9"/>
      <c r="K231" s="9"/>
    </row>
    <row r="232" spans="1:11" ht="29.25" thickBot="1" x14ac:dyDescent="0.25">
      <c r="A232" s="19" t="s">
        <v>47</v>
      </c>
      <c r="B232" s="10"/>
      <c r="C232" s="14">
        <v>46321</v>
      </c>
      <c r="D232" s="11"/>
      <c r="E232" s="11"/>
      <c r="F232" s="12">
        <f t="shared" si="6"/>
        <v>0</v>
      </c>
      <c r="G232" s="20"/>
      <c r="H232" s="20"/>
      <c r="I232" s="9"/>
      <c r="J232" s="9"/>
      <c r="K232" s="9"/>
    </row>
    <row r="233" spans="1:11" ht="29.25" thickBot="1" x14ac:dyDescent="0.25">
      <c r="A233" s="19" t="s">
        <v>47</v>
      </c>
      <c r="B233" s="10"/>
      <c r="C233" s="14">
        <v>46321</v>
      </c>
      <c r="D233" s="11"/>
      <c r="E233" s="11"/>
      <c r="F233" s="12">
        <f t="shared" si="6"/>
        <v>0</v>
      </c>
      <c r="G233" s="20"/>
      <c r="H233" s="20"/>
      <c r="I233" s="9"/>
      <c r="J233" s="9"/>
      <c r="K233" s="9"/>
    </row>
    <row r="234" spans="1:11" ht="29.25" thickBot="1" x14ac:dyDescent="0.25">
      <c r="A234" s="19" t="s">
        <v>47</v>
      </c>
      <c r="B234" s="10"/>
      <c r="C234" s="14">
        <v>46321</v>
      </c>
      <c r="D234" s="11"/>
      <c r="E234" s="11"/>
      <c r="F234" s="12">
        <f t="shared" si="6"/>
        <v>0</v>
      </c>
      <c r="G234" s="20"/>
      <c r="H234" s="20"/>
      <c r="I234" s="9"/>
      <c r="J234" s="9"/>
      <c r="K234" s="9"/>
    </row>
    <row r="235" spans="1:11" ht="29.25" thickBot="1" x14ac:dyDescent="0.25">
      <c r="A235" s="19" t="s">
        <v>47</v>
      </c>
      <c r="B235" s="10"/>
      <c r="C235" s="14">
        <v>46322</v>
      </c>
      <c r="D235" s="11"/>
      <c r="E235" s="11"/>
      <c r="F235" s="12">
        <f t="shared" si="6"/>
        <v>0</v>
      </c>
      <c r="G235" s="20"/>
      <c r="H235" s="20"/>
      <c r="I235" s="9"/>
      <c r="J235" s="9"/>
      <c r="K235" s="9"/>
    </row>
    <row r="236" spans="1:11" ht="29.25" thickBot="1" x14ac:dyDescent="0.25">
      <c r="A236" s="19" t="s">
        <v>47</v>
      </c>
      <c r="B236" s="10"/>
      <c r="C236" s="14">
        <v>46322</v>
      </c>
      <c r="D236" s="11"/>
      <c r="E236" s="11"/>
      <c r="F236" s="12">
        <f t="shared" si="6"/>
        <v>0</v>
      </c>
      <c r="G236" s="20"/>
      <c r="H236" s="20"/>
      <c r="I236" s="9"/>
      <c r="J236" s="9"/>
      <c r="K236" s="9"/>
    </row>
    <row r="237" spans="1:11" ht="29.25" thickBot="1" x14ac:dyDescent="0.25">
      <c r="A237" s="19" t="s">
        <v>47</v>
      </c>
      <c r="B237" s="10"/>
      <c r="C237" s="14">
        <v>46322</v>
      </c>
      <c r="D237" s="11"/>
      <c r="E237" s="11"/>
      <c r="F237" s="12">
        <f t="shared" si="6"/>
        <v>0</v>
      </c>
      <c r="G237" s="20"/>
      <c r="H237" s="20"/>
      <c r="I237" s="9"/>
      <c r="J237" s="9"/>
      <c r="K237" s="9"/>
    </row>
    <row r="238" spans="1:11" ht="29.25" thickBot="1" x14ac:dyDescent="0.25">
      <c r="A238" s="19" t="s">
        <v>47</v>
      </c>
      <c r="B238" s="10"/>
      <c r="C238" s="14">
        <v>46322</v>
      </c>
      <c r="D238" s="11"/>
      <c r="E238" s="11"/>
      <c r="F238" s="12">
        <f t="shared" si="6"/>
        <v>0</v>
      </c>
      <c r="G238" s="20"/>
      <c r="H238" s="20"/>
      <c r="I238" s="9"/>
      <c r="J238" s="9"/>
      <c r="K238" s="9"/>
    </row>
    <row r="239" spans="1:11" ht="29.25" thickBot="1" x14ac:dyDescent="0.25">
      <c r="A239" s="19" t="s">
        <v>47</v>
      </c>
      <c r="B239" s="10"/>
      <c r="C239" s="14">
        <v>46322</v>
      </c>
      <c r="D239" s="11"/>
      <c r="E239" s="11"/>
      <c r="F239" s="12">
        <f t="shared" si="6"/>
        <v>0</v>
      </c>
      <c r="G239" s="20"/>
      <c r="H239" s="20"/>
      <c r="I239" s="9"/>
      <c r="J239" s="9"/>
      <c r="K239" s="9"/>
    </row>
    <row r="240" spans="1:11" ht="29.25" thickBot="1" x14ac:dyDescent="0.25">
      <c r="A240" s="19" t="s">
        <v>47</v>
      </c>
      <c r="B240" s="10"/>
      <c r="C240" s="14">
        <v>46322</v>
      </c>
      <c r="D240" s="11"/>
      <c r="E240" s="11"/>
      <c r="F240" s="12">
        <f t="shared" si="6"/>
        <v>0</v>
      </c>
      <c r="G240" s="20"/>
      <c r="H240" s="20"/>
      <c r="I240" s="9"/>
      <c r="J240" s="9"/>
      <c r="K240" s="9"/>
    </row>
    <row r="241" spans="1:11" ht="29.25" thickBot="1" x14ac:dyDescent="0.25">
      <c r="A241" s="19" t="s">
        <v>47</v>
      </c>
      <c r="B241" s="10"/>
      <c r="C241" s="14">
        <v>46322</v>
      </c>
      <c r="D241" s="11"/>
      <c r="E241" s="11"/>
      <c r="F241" s="12">
        <f t="shared" si="6"/>
        <v>0</v>
      </c>
      <c r="G241" s="20"/>
      <c r="H241" s="20"/>
      <c r="I241" s="9"/>
      <c r="J241" s="9"/>
      <c r="K241" s="9"/>
    </row>
    <row r="242" spans="1:11" ht="29.25" thickBot="1" x14ac:dyDescent="0.25">
      <c r="A242" s="19" t="s">
        <v>47</v>
      </c>
      <c r="B242" s="10"/>
      <c r="C242" s="14">
        <v>46322</v>
      </c>
      <c r="D242" s="11"/>
      <c r="E242" s="11"/>
      <c r="F242" s="12">
        <f t="shared" si="6"/>
        <v>0</v>
      </c>
      <c r="G242" s="20"/>
      <c r="H242" s="20"/>
      <c r="I242" s="9"/>
      <c r="J242" s="9"/>
      <c r="K242" s="9"/>
    </row>
    <row r="243" spans="1:11" ht="29.25" thickBot="1" x14ac:dyDescent="0.25">
      <c r="A243" s="19" t="s">
        <v>47</v>
      </c>
      <c r="B243" s="10"/>
      <c r="C243" s="14">
        <v>46322</v>
      </c>
      <c r="D243" s="11"/>
      <c r="E243" s="11"/>
      <c r="F243" s="12">
        <f t="shared" si="6"/>
        <v>0</v>
      </c>
      <c r="G243" s="20"/>
      <c r="H243" s="20"/>
      <c r="I243" s="9"/>
      <c r="J243" s="9"/>
      <c r="K243" s="9"/>
    </row>
    <row r="244" spans="1:11" ht="29.25" thickBot="1" x14ac:dyDescent="0.25">
      <c r="A244" s="19" t="s">
        <v>47</v>
      </c>
      <c r="B244" s="10"/>
      <c r="C244" s="14">
        <v>46323</v>
      </c>
      <c r="D244" s="11"/>
      <c r="E244" s="11"/>
      <c r="F244" s="12">
        <f t="shared" si="6"/>
        <v>0</v>
      </c>
      <c r="G244" s="20"/>
      <c r="H244" s="20"/>
      <c r="I244" s="9"/>
      <c r="J244" s="9"/>
      <c r="K244" s="9"/>
    </row>
    <row r="245" spans="1:11" ht="29.25" thickBot="1" x14ac:dyDescent="0.25">
      <c r="A245" s="19" t="s">
        <v>47</v>
      </c>
      <c r="B245" s="10"/>
      <c r="C245" s="14">
        <v>46323</v>
      </c>
      <c r="D245" s="11"/>
      <c r="E245" s="11"/>
      <c r="F245" s="12">
        <f t="shared" si="6"/>
        <v>0</v>
      </c>
      <c r="G245" s="20"/>
      <c r="H245" s="20"/>
      <c r="I245" s="9"/>
      <c r="J245" s="9"/>
      <c r="K245" s="9"/>
    </row>
    <row r="246" spans="1:11" ht="29.25" thickBot="1" x14ac:dyDescent="0.25">
      <c r="A246" s="19" t="s">
        <v>47</v>
      </c>
      <c r="B246" s="10"/>
      <c r="C246" s="14">
        <v>46323</v>
      </c>
      <c r="D246" s="11"/>
      <c r="E246" s="11"/>
      <c r="F246" s="12">
        <f t="shared" si="6"/>
        <v>0</v>
      </c>
      <c r="G246" s="20"/>
      <c r="H246" s="20"/>
      <c r="I246" s="9"/>
      <c r="J246" s="9"/>
      <c r="K246" s="9"/>
    </row>
    <row r="247" spans="1:11" ht="29.25" thickBot="1" x14ac:dyDescent="0.25">
      <c r="A247" s="19" t="s">
        <v>47</v>
      </c>
      <c r="B247" s="10"/>
      <c r="C247" s="14">
        <v>46323</v>
      </c>
      <c r="D247" s="11"/>
      <c r="E247" s="11"/>
      <c r="F247" s="12">
        <f t="shared" si="6"/>
        <v>0</v>
      </c>
      <c r="G247" s="20"/>
      <c r="H247" s="20"/>
      <c r="I247" s="9"/>
      <c r="J247" s="9"/>
      <c r="K247" s="9"/>
    </row>
    <row r="248" spans="1:11" ht="29.25" thickBot="1" x14ac:dyDescent="0.25">
      <c r="A248" s="19" t="s">
        <v>47</v>
      </c>
      <c r="B248" s="10"/>
      <c r="C248" s="14">
        <v>46323</v>
      </c>
      <c r="D248" s="11"/>
      <c r="E248" s="11"/>
      <c r="F248" s="12">
        <f t="shared" si="6"/>
        <v>0</v>
      </c>
      <c r="G248" s="20"/>
      <c r="H248" s="20"/>
      <c r="I248" s="9"/>
      <c r="J248" s="9"/>
      <c r="K248" s="9"/>
    </row>
    <row r="249" spans="1:11" ht="29.25" thickBot="1" x14ac:dyDescent="0.25">
      <c r="A249" s="19" t="s">
        <v>47</v>
      </c>
      <c r="B249" s="10"/>
      <c r="C249" s="14">
        <v>46323</v>
      </c>
      <c r="D249" s="11"/>
      <c r="E249" s="11"/>
      <c r="F249" s="12">
        <f t="shared" si="6"/>
        <v>0</v>
      </c>
      <c r="G249" s="20"/>
      <c r="H249" s="20"/>
      <c r="I249" s="9"/>
      <c r="J249" s="9"/>
      <c r="K249" s="9"/>
    </row>
    <row r="250" spans="1:11" ht="29.25" thickBot="1" x14ac:dyDescent="0.25">
      <c r="A250" s="19" t="s">
        <v>47</v>
      </c>
      <c r="B250" s="10"/>
      <c r="C250" s="14">
        <v>46323</v>
      </c>
      <c r="D250" s="11"/>
      <c r="E250" s="11"/>
      <c r="F250" s="12">
        <f t="shared" si="6"/>
        <v>0</v>
      </c>
      <c r="G250" s="20"/>
      <c r="H250" s="20"/>
      <c r="I250" s="9"/>
      <c r="J250" s="9"/>
      <c r="K250" s="9"/>
    </row>
    <row r="251" spans="1:11" ht="29.25" thickBot="1" x14ac:dyDescent="0.25">
      <c r="A251" s="19" t="s">
        <v>47</v>
      </c>
      <c r="B251" s="10"/>
      <c r="C251" s="14">
        <v>46323</v>
      </c>
      <c r="D251" s="11"/>
      <c r="E251" s="11"/>
      <c r="F251" s="12">
        <f t="shared" si="6"/>
        <v>0</v>
      </c>
      <c r="G251" s="20"/>
      <c r="H251" s="20"/>
      <c r="I251" s="9"/>
      <c r="J251" s="9"/>
      <c r="K251" s="9"/>
    </row>
    <row r="252" spans="1:11" ht="29.25" thickBot="1" x14ac:dyDescent="0.25">
      <c r="A252" s="19" t="s">
        <v>47</v>
      </c>
      <c r="B252" s="10"/>
      <c r="C252" s="14">
        <v>46323</v>
      </c>
      <c r="D252" s="11"/>
      <c r="E252" s="11"/>
      <c r="F252" s="12">
        <f t="shared" si="6"/>
        <v>0</v>
      </c>
      <c r="G252" s="20"/>
      <c r="H252" s="20"/>
      <c r="I252" s="9"/>
      <c r="J252" s="9"/>
      <c r="K252" s="9"/>
    </row>
    <row r="253" spans="1:11" ht="29.25" thickBot="1" x14ac:dyDescent="0.25">
      <c r="A253" s="19" t="s">
        <v>47</v>
      </c>
      <c r="B253" s="10"/>
      <c r="C253" s="14">
        <v>46324</v>
      </c>
      <c r="D253" s="11"/>
      <c r="E253" s="11"/>
      <c r="F253" s="12">
        <f t="shared" si="6"/>
        <v>0</v>
      </c>
      <c r="G253" s="20"/>
      <c r="H253" s="20"/>
      <c r="I253" s="9"/>
      <c r="J253" s="9"/>
      <c r="K253" s="9"/>
    </row>
    <row r="254" spans="1:11" ht="29.25" thickBot="1" x14ac:dyDescent="0.25">
      <c r="A254" s="19" t="s">
        <v>47</v>
      </c>
      <c r="B254" s="10"/>
      <c r="C254" s="14">
        <v>46324</v>
      </c>
      <c r="D254" s="11"/>
      <c r="E254" s="11"/>
      <c r="F254" s="12">
        <f t="shared" si="6"/>
        <v>0</v>
      </c>
      <c r="G254" s="20"/>
      <c r="H254" s="20"/>
      <c r="I254" s="9"/>
      <c r="J254" s="9"/>
      <c r="K254" s="9"/>
    </row>
    <row r="255" spans="1:11" ht="29.25" thickBot="1" x14ac:dyDescent="0.25">
      <c r="A255" s="19" t="s">
        <v>47</v>
      </c>
      <c r="B255" s="10"/>
      <c r="C255" s="14">
        <v>46324</v>
      </c>
      <c r="D255" s="11"/>
      <c r="E255" s="11"/>
      <c r="F255" s="12">
        <f t="shared" si="6"/>
        <v>0</v>
      </c>
      <c r="G255" s="20"/>
      <c r="H255" s="20"/>
      <c r="I255" s="9"/>
      <c r="J255" s="9"/>
      <c r="K255" s="9"/>
    </row>
    <row r="256" spans="1:11" ht="29.25" thickBot="1" x14ac:dyDescent="0.25">
      <c r="A256" s="19" t="s">
        <v>47</v>
      </c>
      <c r="B256" s="10"/>
      <c r="C256" s="14">
        <v>46324</v>
      </c>
      <c r="D256" s="11"/>
      <c r="E256" s="11"/>
      <c r="F256" s="12">
        <f t="shared" si="6"/>
        <v>0</v>
      </c>
      <c r="G256" s="20"/>
      <c r="H256" s="20"/>
      <c r="I256" s="9"/>
      <c r="J256" s="9"/>
      <c r="K256" s="9"/>
    </row>
    <row r="257" spans="1:11" ht="29.25" thickBot="1" x14ac:dyDescent="0.25">
      <c r="A257" s="19" t="s">
        <v>47</v>
      </c>
      <c r="B257" s="10"/>
      <c r="C257" s="14">
        <v>46324</v>
      </c>
      <c r="D257" s="11"/>
      <c r="E257" s="11"/>
      <c r="F257" s="12">
        <f t="shared" si="6"/>
        <v>0</v>
      </c>
      <c r="G257" s="20"/>
      <c r="H257" s="20"/>
      <c r="I257" s="9"/>
      <c r="J257" s="9"/>
      <c r="K257" s="9"/>
    </row>
    <row r="258" spans="1:11" s="7" customFormat="1" ht="29.25" thickBot="1" x14ac:dyDescent="0.25">
      <c r="A258" s="19" t="s">
        <v>47</v>
      </c>
      <c r="B258" s="10"/>
      <c r="C258" s="14">
        <v>46324</v>
      </c>
      <c r="D258" s="11"/>
      <c r="E258" s="11"/>
      <c r="F258" s="12">
        <f t="shared" si="6"/>
        <v>0</v>
      </c>
      <c r="G258" s="20"/>
      <c r="H258" s="20"/>
      <c r="I258" s="9"/>
      <c r="J258" s="9"/>
      <c r="K258" s="9"/>
    </row>
    <row r="259" spans="1:11" s="7" customFormat="1" ht="29.25" thickBot="1" x14ac:dyDescent="0.25">
      <c r="A259" s="19" t="s">
        <v>47</v>
      </c>
      <c r="B259" s="10"/>
      <c r="C259" s="14">
        <v>46324</v>
      </c>
      <c r="D259" s="11"/>
      <c r="E259" s="11"/>
      <c r="F259" s="12">
        <f t="shared" si="6"/>
        <v>0</v>
      </c>
      <c r="G259" s="20"/>
      <c r="H259" s="20"/>
      <c r="I259" s="9"/>
      <c r="J259" s="9"/>
      <c r="K259" s="9"/>
    </row>
    <row r="260" spans="1:11" s="7" customFormat="1" ht="29.25" thickBot="1" x14ac:dyDescent="0.25">
      <c r="A260" s="19" t="s">
        <v>47</v>
      </c>
      <c r="B260" s="10"/>
      <c r="C260" s="14">
        <v>46324</v>
      </c>
      <c r="D260" s="11"/>
      <c r="E260" s="11"/>
      <c r="F260" s="12">
        <f t="shared" si="6"/>
        <v>0</v>
      </c>
      <c r="G260" s="20"/>
      <c r="H260" s="20"/>
      <c r="I260" s="9"/>
      <c r="J260" s="9"/>
      <c r="K260" s="9"/>
    </row>
    <row r="261" spans="1:11" s="7" customFormat="1" ht="29.25" thickBot="1" x14ac:dyDescent="0.25">
      <c r="A261" s="19" t="s">
        <v>47</v>
      </c>
      <c r="B261" s="10"/>
      <c r="C261" s="14">
        <v>46324</v>
      </c>
      <c r="D261" s="11"/>
      <c r="E261" s="11"/>
      <c r="F261" s="12">
        <f t="shared" si="6"/>
        <v>0</v>
      </c>
      <c r="G261" s="20"/>
      <c r="H261" s="20"/>
      <c r="I261" s="9"/>
      <c r="J261" s="9"/>
      <c r="K261" s="9"/>
    </row>
    <row r="262" spans="1:11" s="7" customFormat="1" ht="29.25" thickBot="1" x14ac:dyDescent="0.25">
      <c r="A262" s="19" t="s">
        <v>47</v>
      </c>
      <c r="B262" s="10"/>
      <c r="C262" s="14">
        <v>46325</v>
      </c>
      <c r="D262" s="11"/>
      <c r="E262" s="11"/>
      <c r="F262" s="12">
        <f t="shared" ref="F262:F298" si="8">+(E262-D262)*24</f>
        <v>0</v>
      </c>
      <c r="G262" s="20"/>
      <c r="H262" s="20"/>
      <c r="I262" s="9"/>
      <c r="J262" s="9"/>
      <c r="K262" s="9"/>
    </row>
    <row r="263" spans="1:11" s="7" customFormat="1" ht="29.25" thickBot="1" x14ac:dyDescent="0.25">
      <c r="A263" s="19" t="s">
        <v>47</v>
      </c>
      <c r="B263" s="10"/>
      <c r="C263" s="14">
        <v>46325</v>
      </c>
      <c r="D263" s="11"/>
      <c r="E263" s="11"/>
      <c r="F263" s="12">
        <f t="shared" si="8"/>
        <v>0</v>
      </c>
      <c r="G263" s="20"/>
      <c r="H263" s="20"/>
      <c r="I263" s="9"/>
      <c r="J263" s="9"/>
      <c r="K263" s="9"/>
    </row>
    <row r="264" spans="1:11" s="7" customFormat="1" ht="29.25" thickBot="1" x14ac:dyDescent="0.25">
      <c r="A264" s="19" t="s">
        <v>47</v>
      </c>
      <c r="B264" s="10"/>
      <c r="C264" s="14">
        <v>46325</v>
      </c>
      <c r="D264" s="11"/>
      <c r="E264" s="11"/>
      <c r="F264" s="12">
        <f t="shared" si="8"/>
        <v>0</v>
      </c>
      <c r="G264" s="20"/>
      <c r="H264" s="20"/>
      <c r="I264" s="9"/>
      <c r="J264" s="9"/>
      <c r="K264" s="9"/>
    </row>
    <row r="265" spans="1:11" s="7" customFormat="1" ht="29.25" thickBot="1" x14ac:dyDescent="0.25">
      <c r="A265" s="19" t="s">
        <v>47</v>
      </c>
      <c r="B265" s="10"/>
      <c r="C265" s="14">
        <v>46325</v>
      </c>
      <c r="D265" s="11"/>
      <c r="E265" s="11"/>
      <c r="F265" s="12">
        <f t="shared" si="8"/>
        <v>0</v>
      </c>
      <c r="G265" s="20"/>
      <c r="H265" s="20"/>
      <c r="I265" s="9"/>
      <c r="J265" s="9"/>
      <c r="K265" s="9"/>
    </row>
    <row r="266" spans="1:11" s="7" customFormat="1" ht="29.25" thickBot="1" x14ac:dyDescent="0.25">
      <c r="A266" s="19" t="s">
        <v>47</v>
      </c>
      <c r="B266" s="10"/>
      <c r="C266" s="14">
        <v>46325</v>
      </c>
      <c r="D266" s="11"/>
      <c r="E266" s="11"/>
      <c r="F266" s="12">
        <f t="shared" si="8"/>
        <v>0</v>
      </c>
      <c r="G266" s="20"/>
      <c r="H266" s="20"/>
      <c r="I266" s="9"/>
      <c r="J266" s="9"/>
      <c r="K266" s="9"/>
    </row>
    <row r="267" spans="1:11" s="7" customFormat="1" ht="29.25" thickBot="1" x14ac:dyDescent="0.25">
      <c r="A267" s="19" t="s">
        <v>47</v>
      </c>
      <c r="B267" s="10"/>
      <c r="C267" s="14">
        <v>46325</v>
      </c>
      <c r="D267" s="11"/>
      <c r="E267" s="11"/>
      <c r="F267" s="12">
        <f t="shared" si="8"/>
        <v>0</v>
      </c>
      <c r="G267" s="20"/>
      <c r="H267" s="20"/>
      <c r="I267" s="9"/>
      <c r="J267" s="9"/>
      <c r="K267" s="9"/>
    </row>
    <row r="268" spans="1:11" s="7" customFormat="1" ht="29.25" thickBot="1" x14ac:dyDescent="0.25">
      <c r="A268" s="19" t="s">
        <v>47</v>
      </c>
      <c r="B268" s="10"/>
      <c r="C268" s="14">
        <v>46325</v>
      </c>
      <c r="D268" s="11"/>
      <c r="E268" s="11"/>
      <c r="F268" s="12">
        <f t="shared" si="8"/>
        <v>0</v>
      </c>
      <c r="G268" s="20"/>
      <c r="H268" s="20"/>
      <c r="I268" s="9"/>
      <c r="J268" s="9"/>
      <c r="K268" s="9"/>
    </row>
    <row r="269" spans="1:11" s="7" customFormat="1" ht="29.25" thickBot="1" x14ac:dyDescent="0.25">
      <c r="A269" s="19" t="s">
        <v>47</v>
      </c>
      <c r="B269" s="10"/>
      <c r="C269" s="14">
        <v>46325</v>
      </c>
      <c r="D269" s="11"/>
      <c r="E269" s="11"/>
      <c r="F269" s="12">
        <f t="shared" si="8"/>
        <v>0</v>
      </c>
      <c r="G269" s="20"/>
      <c r="H269" s="20"/>
      <c r="I269" s="9"/>
      <c r="J269" s="9"/>
      <c r="K269" s="9"/>
    </row>
    <row r="270" spans="1:11" s="7" customFormat="1" ht="29.25" thickBot="1" x14ac:dyDescent="0.25">
      <c r="A270" s="19" t="s">
        <v>47</v>
      </c>
      <c r="B270" s="10"/>
      <c r="C270" s="14">
        <v>46325</v>
      </c>
      <c r="D270" s="11"/>
      <c r="E270" s="11"/>
      <c r="F270" s="12">
        <f t="shared" si="8"/>
        <v>0</v>
      </c>
      <c r="G270" s="20"/>
      <c r="H270" s="20"/>
      <c r="I270" s="9"/>
      <c r="J270" s="9"/>
      <c r="K270" s="9"/>
    </row>
    <row r="271" spans="1:11" s="7" customFormat="1" ht="29.25" thickBot="1" x14ac:dyDescent="0.25">
      <c r="A271" s="19" t="s">
        <v>47</v>
      </c>
      <c r="B271" s="10"/>
      <c r="C271" s="14">
        <v>46326</v>
      </c>
      <c r="D271" s="11"/>
      <c r="E271" s="11"/>
      <c r="F271" s="12">
        <f t="shared" si="8"/>
        <v>0</v>
      </c>
      <c r="G271" s="20"/>
      <c r="H271" s="20"/>
      <c r="I271" s="9"/>
      <c r="J271" s="9"/>
      <c r="K271" s="9"/>
    </row>
    <row r="272" spans="1:11" s="7" customFormat="1" ht="29.25" thickBot="1" x14ac:dyDescent="0.25">
      <c r="A272" s="19" t="s">
        <v>47</v>
      </c>
      <c r="B272" s="10"/>
      <c r="C272" s="14">
        <v>46326</v>
      </c>
      <c r="D272" s="11"/>
      <c r="E272" s="11"/>
      <c r="F272" s="12">
        <f t="shared" si="8"/>
        <v>0</v>
      </c>
      <c r="G272" s="20"/>
      <c r="H272" s="20"/>
      <c r="I272" s="9"/>
      <c r="J272" s="9"/>
      <c r="K272" s="9"/>
    </row>
    <row r="273" spans="1:11" s="7" customFormat="1" ht="29.25" thickBot="1" x14ac:dyDescent="0.25">
      <c r="A273" s="19" t="s">
        <v>47</v>
      </c>
      <c r="B273" s="10"/>
      <c r="C273" s="14">
        <v>46326</v>
      </c>
      <c r="D273" s="11"/>
      <c r="E273" s="11"/>
      <c r="F273" s="12">
        <f t="shared" si="8"/>
        <v>0</v>
      </c>
      <c r="G273" s="20"/>
      <c r="H273" s="20"/>
      <c r="I273" s="9"/>
      <c r="J273" s="9"/>
      <c r="K273" s="9"/>
    </row>
    <row r="274" spans="1:11" s="7" customFormat="1" ht="29.25" thickBot="1" x14ac:dyDescent="0.25">
      <c r="A274" s="19" t="s">
        <v>47</v>
      </c>
      <c r="B274" s="10"/>
      <c r="C274" s="14">
        <v>46326</v>
      </c>
      <c r="D274" s="11"/>
      <c r="E274" s="11"/>
      <c r="F274" s="12">
        <f t="shared" si="8"/>
        <v>0</v>
      </c>
      <c r="G274" s="20"/>
      <c r="H274" s="20"/>
      <c r="I274" s="9"/>
      <c r="J274" s="9"/>
      <c r="K274" s="9"/>
    </row>
    <row r="275" spans="1:11" s="7" customFormat="1" ht="29.25" thickBot="1" x14ac:dyDescent="0.25">
      <c r="A275" s="19" t="s">
        <v>47</v>
      </c>
      <c r="B275" s="10"/>
      <c r="C275" s="14">
        <v>46326</v>
      </c>
      <c r="D275" s="11"/>
      <c r="E275" s="11"/>
      <c r="F275" s="12">
        <f t="shared" si="8"/>
        <v>0</v>
      </c>
      <c r="G275" s="20"/>
      <c r="H275" s="20"/>
      <c r="I275" s="9"/>
      <c r="J275" s="9"/>
      <c r="K275" s="9"/>
    </row>
    <row r="276" spans="1:11" s="7" customFormat="1" ht="29.25" thickBot="1" x14ac:dyDescent="0.25">
      <c r="A276" s="19" t="s">
        <v>47</v>
      </c>
      <c r="B276" s="10"/>
      <c r="C276" s="14">
        <v>46326</v>
      </c>
      <c r="D276" s="11"/>
      <c r="E276" s="11"/>
      <c r="F276" s="12">
        <f t="shared" si="8"/>
        <v>0</v>
      </c>
      <c r="G276" s="20"/>
      <c r="H276" s="20"/>
      <c r="I276" s="9"/>
      <c r="J276" s="9"/>
      <c r="K276" s="9"/>
    </row>
    <row r="277" spans="1:11" s="7" customFormat="1" ht="29.25" thickBot="1" x14ac:dyDescent="0.25">
      <c r="A277" s="19" t="s">
        <v>47</v>
      </c>
      <c r="B277" s="10"/>
      <c r="C277" s="14">
        <v>46326</v>
      </c>
      <c r="D277" s="11"/>
      <c r="E277" s="11"/>
      <c r="F277" s="12">
        <f t="shared" si="8"/>
        <v>0</v>
      </c>
      <c r="G277" s="20"/>
      <c r="H277" s="20"/>
      <c r="I277" s="9"/>
      <c r="J277" s="9"/>
      <c r="K277" s="9"/>
    </row>
    <row r="278" spans="1:11" s="7" customFormat="1" ht="29.25" thickBot="1" x14ac:dyDescent="0.25">
      <c r="A278" s="19" t="s">
        <v>47</v>
      </c>
      <c r="B278" s="10"/>
      <c r="C278" s="14">
        <v>46326</v>
      </c>
      <c r="D278" s="11"/>
      <c r="E278" s="11"/>
      <c r="F278" s="12">
        <f t="shared" si="8"/>
        <v>0</v>
      </c>
      <c r="G278" s="20"/>
      <c r="H278" s="20"/>
      <c r="I278" s="9"/>
      <c r="J278" s="9"/>
      <c r="K278" s="9"/>
    </row>
    <row r="279" spans="1:11" s="7" customFormat="1" ht="29.25" thickBot="1" x14ac:dyDescent="0.25">
      <c r="A279" s="19" t="s">
        <v>47</v>
      </c>
      <c r="B279" s="10"/>
      <c r="C279" s="14">
        <v>46326</v>
      </c>
      <c r="D279" s="11">
        <v>0.35416666666666669</v>
      </c>
      <c r="E279" s="11">
        <v>0.6875</v>
      </c>
      <c r="F279" s="12">
        <f>+(E279-D279)*24</f>
        <v>8</v>
      </c>
      <c r="G279" s="20" t="s">
        <v>21</v>
      </c>
      <c r="H279" s="20" t="s">
        <v>30</v>
      </c>
      <c r="I279" s="9"/>
      <c r="J279" s="9" t="s">
        <v>71</v>
      </c>
      <c r="K279" s="9"/>
    </row>
    <row r="280" spans="1:11" s="7" customFormat="1" ht="29.25" thickBot="1" x14ac:dyDescent="0.25">
      <c r="A280" s="19" t="s">
        <v>47</v>
      </c>
      <c r="B280" s="10"/>
      <c r="C280" s="14"/>
      <c r="D280" s="11"/>
      <c r="E280" s="11"/>
      <c r="F280" s="12"/>
      <c r="G280" s="20"/>
      <c r="H280" s="20"/>
      <c r="I280" s="9"/>
      <c r="J280" s="9"/>
      <c r="K280" s="9"/>
    </row>
    <row r="281" spans="1:11" s="7" customFormat="1" ht="29.25" thickBot="1" x14ac:dyDescent="0.25">
      <c r="A281" s="19" t="s">
        <v>47</v>
      </c>
      <c r="B281" s="10"/>
      <c r="C281" s="14"/>
      <c r="D281" s="11"/>
      <c r="E281" s="11"/>
      <c r="F281" s="12">
        <f t="shared" ref="F281:F287" si="9">+(E281-D281)*24</f>
        <v>0</v>
      </c>
      <c r="G281" s="20"/>
      <c r="H281" s="20"/>
      <c r="I281" s="9"/>
      <c r="J281" s="9"/>
      <c r="K281" s="9"/>
    </row>
    <row r="282" spans="1:11" s="7" customFormat="1" ht="29.25" thickBot="1" x14ac:dyDescent="0.25">
      <c r="A282" s="19" t="s">
        <v>47</v>
      </c>
      <c r="B282" s="10"/>
      <c r="C282" s="14"/>
      <c r="D282" s="11"/>
      <c r="E282" s="11"/>
      <c r="F282" s="12">
        <f t="shared" si="9"/>
        <v>0</v>
      </c>
      <c r="G282" s="20"/>
      <c r="H282" s="20"/>
      <c r="I282" s="9"/>
      <c r="J282" s="9"/>
      <c r="K282" s="9"/>
    </row>
    <row r="283" spans="1:11" s="7" customFormat="1" ht="29.25" thickBot="1" x14ac:dyDescent="0.25">
      <c r="A283" s="19" t="s">
        <v>47</v>
      </c>
      <c r="B283" s="10"/>
      <c r="C283" s="14"/>
      <c r="D283" s="11"/>
      <c r="E283" s="11"/>
      <c r="F283" s="12">
        <f t="shared" si="9"/>
        <v>0</v>
      </c>
      <c r="G283" s="20"/>
      <c r="H283" s="20"/>
      <c r="I283" s="9"/>
      <c r="J283" s="9"/>
      <c r="K283" s="9"/>
    </row>
    <row r="284" spans="1:11" s="7" customFormat="1" ht="29.25" thickBot="1" x14ac:dyDescent="0.25">
      <c r="A284" s="19" t="s">
        <v>47</v>
      </c>
      <c r="B284" s="10"/>
      <c r="C284" s="14"/>
      <c r="D284" s="11"/>
      <c r="E284" s="11"/>
      <c r="F284" s="12">
        <f t="shared" si="9"/>
        <v>0</v>
      </c>
      <c r="G284" s="20"/>
      <c r="H284" s="20"/>
      <c r="I284" s="9"/>
      <c r="J284" s="9"/>
      <c r="K284" s="9"/>
    </row>
    <row r="285" spans="1:11" s="7" customFormat="1" ht="29.25" thickBot="1" x14ac:dyDescent="0.25">
      <c r="A285" s="19" t="s">
        <v>47</v>
      </c>
      <c r="B285" s="10"/>
      <c r="C285" s="14"/>
      <c r="D285" s="11"/>
      <c r="E285" s="11"/>
      <c r="F285" s="12">
        <f t="shared" si="9"/>
        <v>0</v>
      </c>
      <c r="G285" s="20"/>
      <c r="H285" s="20"/>
      <c r="I285" s="9"/>
      <c r="J285" s="9"/>
      <c r="K285" s="9"/>
    </row>
    <row r="286" spans="1:11" s="7" customFormat="1" ht="29.25" thickBot="1" x14ac:dyDescent="0.25">
      <c r="A286" s="19" t="s">
        <v>47</v>
      </c>
      <c r="B286" s="10"/>
      <c r="C286" s="14"/>
      <c r="D286" s="11"/>
      <c r="E286" s="11"/>
      <c r="F286" s="12">
        <f t="shared" si="9"/>
        <v>0</v>
      </c>
      <c r="G286" s="20"/>
      <c r="H286" s="20"/>
      <c r="I286" s="9"/>
      <c r="J286" s="9"/>
      <c r="K286" s="9"/>
    </row>
    <row r="287" spans="1:11" s="7" customFormat="1" ht="29.25" thickBot="1" x14ac:dyDescent="0.25">
      <c r="A287" s="19" t="s">
        <v>47</v>
      </c>
      <c r="B287" s="10"/>
      <c r="C287" s="14"/>
      <c r="D287" s="11"/>
      <c r="E287" s="11"/>
      <c r="F287" s="12">
        <f t="shared" si="9"/>
        <v>0</v>
      </c>
      <c r="G287" s="20"/>
      <c r="H287" s="20"/>
      <c r="I287" s="9"/>
      <c r="J287" s="9"/>
      <c r="K287" s="9"/>
    </row>
    <row r="288" spans="1:11" s="7" customFormat="1" ht="29.25" thickBot="1" x14ac:dyDescent="0.25">
      <c r="A288" s="19" t="s">
        <v>47</v>
      </c>
      <c r="B288" s="10"/>
      <c r="C288" s="14"/>
      <c r="D288" s="11"/>
      <c r="E288" s="11"/>
      <c r="F288" s="12"/>
      <c r="G288" s="20"/>
      <c r="H288" s="20"/>
      <c r="I288" s="9"/>
      <c r="J288" s="9"/>
      <c r="K288" s="9"/>
    </row>
    <row r="289" spans="1:11" s="7" customFormat="1" ht="29.25" thickBot="1" x14ac:dyDescent="0.25">
      <c r="A289" s="19" t="s">
        <v>47</v>
      </c>
      <c r="B289" s="10"/>
      <c r="C289" s="14"/>
      <c r="D289" s="11"/>
      <c r="E289" s="11"/>
      <c r="F289" s="12">
        <f t="shared" si="8"/>
        <v>0</v>
      </c>
      <c r="G289" s="20"/>
      <c r="H289" s="20"/>
      <c r="I289" s="9"/>
      <c r="J289" s="9"/>
      <c r="K289" s="9"/>
    </row>
    <row r="290" spans="1:11" s="7" customFormat="1" ht="29.25" thickBot="1" x14ac:dyDescent="0.25">
      <c r="A290" s="19" t="s">
        <v>47</v>
      </c>
      <c r="B290" s="10"/>
      <c r="C290" s="14"/>
      <c r="D290" s="11"/>
      <c r="E290" s="11"/>
      <c r="F290" s="12">
        <f t="shared" si="8"/>
        <v>0</v>
      </c>
      <c r="G290" s="20"/>
      <c r="H290" s="20"/>
      <c r="I290" s="9"/>
      <c r="J290" s="9"/>
      <c r="K290" s="9"/>
    </row>
    <row r="291" spans="1:11" s="7" customFormat="1" ht="29.25" thickBot="1" x14ac:dyDescent="0.25">
      <c r="A291" s="19" t="s">
        <v>47</v>
      </c>
      <c r="B291" s="10"/>
      <c r="C291" s="14"/>
      <c r="D291" s="11"/>
      <c r="E291" s="11"/>
      <c r="F291" s="12">
        <f t="shared" si="8"/>
        <v>0</v>
      </c>
      <c r="G291" s="20"/>
      <c r="H291" s="20"/>
      <c r="I291" s="9"/>
      <c r="J291" s="9"/>
      <c r="K291" s="9"/>
    </row>
    <row r="292" spans="1:11" s="7" customFormat="1" ht="29.25" thickBot="1" x14ac:dyDescent="0.25">
      <c r="A292" s="19" t="s">
        <v>47</v>
      </c>
      <c r="B292" s="10"/>
      <c r="C292" s="14"/>
      <c r="D292" s="11"/>
      <c r="E292" s="11"/>
      <c r="F292" s="12">
        <f t="shared" si="8"/>
        <v>0</v>
      </c>
      <c r="G292" s="20"/>
      <c r="H292" s="20"/>
      <c r="I292" s="9"/>
      <c r="J292" s="9"/>
      <c r="K292" s="9"/>
    </row>
    <row r="293" spans="1:11" s="7" customFormat="1" ht="29.25" thickBot="1" x14ac:dyDescent="0.25">
      <c r="A293" s="19" t="s">
        <v>47</v>
      </c>
      <c r="B293" s="10"/>
      <c r="C293" s="14"/>
      <c r="D293" s="11"/>
      <c r="E293" s="11"/>
      <c r="F293" s="12">
        <f t="shared" si="8"/>
        <v>0</v>
      </c>
      <c r="G293" s="20"/>
      <c r="H293" s="20"/>
      <c r="I293" s="9"/>
      <c r="J293" s="9"/>
      <c r="K293" s="9"/>
    </row>
    <row r="294" spans="1:11" s="7" customFormat="1" ht="29.25" thickBot="1" x14ac:dyDescent="0.25">
      <c r="A294" s="19" t="s">
        <v>47</v>
      </c>
      <c r="B294" s="10"/>
      <c r="C294" s="14"/>
      <c r="D294" s="11"/>
      <c r="E294" s="11"/>
      <c r="F294" s="12">
        <f t="shared" si="8"/>
        <v>0</v>
      </c>
      <c r="G294" s="20"/>
      <c r="H294" s="20"/>
      <c r="I294" s="9"/>
      <c r="J294" s="9"/>
      <c r="K294" s="9"/>
    </row>
    <row r="295" spans="1:11" s="7" customFormat="1" ht="29.25" thickBot="1" x14ac:dyDescent="0.25">
      <c r="A295" s="19" t="s">
        <v>47</v>
      </c>
      <c r="B295" s="10"/>
      <c r="C295" s="14"/>
      <c r="D295" s="11"/>
      <c r="E295" s="11"/>
      <c r="F295" s="12">
        <f t="shared" si="8"/>
        <v>0</v>
      </c>
      <c r="G295" s="20"/>
      <c r="H295" s="20"/>
      <c r="I295" s="9"/>
      <c r="J295" s="9"/>
      <c r="K295" s="9"/>
    </row>
    <row r="296" spans="1:11" s="7" customFormat="1" ht="29.25" thickBot="1" x14ac:dyDescent="0.25">
      <c r="A296" s="19" t="s">
        <v>47</v>
      </c>
      <c r="B296" s="10"/>
      <c r="C296" s="14"/>
      <c r="D296" s="11"/>
      <c r="E296" s="11"/>
      <c r="F296" s="12">
        <f t="shared" si="8"/>
        <v>0</v>
      </c>
      <c r="G296" s="20"/>
      <c r="H296" s="20"/>
      <c r="I296" s="9"/>
      <c r="J296" s="9"/>
      <c r="K296" s="9"/>
    </row>
    <row r="297" spans="1:11" s="7" customFormat="1" ht="29.25" thickBot="1" x14ac:dyDescent="0.25">
      <c r="A297" s="19" t="s">
        <v>47</v>
      </c>
      <c r="B297" s="10"/>
      <c r="C297" s="14"/>
      <c r="D297" s="11"/>
      <c r="E297" s="11"/>
      <c r="F297" s="12">
        <f t="shared" si="8"/>
        <v>0</v>
      </c>
      <c r="G297" s="20"/>
      <c r="H297" s="20"/>
      <c r="I297" s="9"/>
      <c r="J297" s="9"/>
      <c r="K297" s="9"/>
    </row>
    <row r="298" spans="1:11" s="7" customFormat="1" ht="29.25" thickBot="1" x14ac:dyDescent="0.25">
      <c r="A298" s="19" t="s">
        <v>47</v>
      </c>
      <c r="B298" s="10"/>
      <c r="C298" s="14"/>
      <c r="D298" s="11"/>
      <c r="E298" s="11"/>
      <c r="F298" s="12">
        <f t="shared" si="8"/>
        <v>0</v>
      </c>
      <c r="G298" s="20"/>
      <c r="H298" s="20"/>
      <c r="I298" s="9"/>
      <c r="J298" s="9"/>
      <c r="K298" s="9"/>
    </row>
    <row r="299" spans="1:11" s="7" customFormat="1" ht="15" thickBot="1" x14ac:dyDescent="0.25">
      <c r="A299" s="19"/>
      <c r="B299" s="10"/>
      <c r="C299" s="14"/>
      <c r="D299" s="11"/>
      <c r="E299" s="11"/>
      <c r="F299" s="12"/>
      <c r="G299" s="9"/>
      <c r="H299" s="20"/>
      <c r="I299" s="9"/>
      <c r="J299" s="9"/>
      <c r="K299" s="9"/>
    </row>
    <row r="300" spans="1:11" s="7" customFormat="1" ht="15" thickBot="1" x14ac:dyDescent="0.25">
      <c r="A300" s="9"/>
      <c r="B300" s="9"/>
      <c r="C300" s="9"/>
      <c r="D300" s="9"/>
      <c r="E300" s="9"/>
      <c r="F300" s="9">
        <f>SUBTOTAL(9,$F$2:$F$299)</f>
        <v>72</v>
      </c>
      <c r="G300" s="9" t="s">
        <v>11</v>
      </c>
      <c r="H300" s="9"/>
      <c r="I300" s="9"/>
      <c r="J300" s="9"/>
      <c r="K300" s="9"/>
    </row>
    <row r="301" spans="1:11" s="7" customFormat="1" ht="15" thickBot="1" x14ac:dyDescent="0.25">
      <c r="A301" s="9"/>
      <c r="B301" s="9"/>
      <c r="C301" s="9"/>
      <c r="D301" s="9"/>
      <c r="E301" s="9"/>
      <c r="F301" s="9">
        <v>0</v>
      </c>
      <c r="G301" s="9" t="s">
        <v>19</v>
      </c>
      <c r="H301" s="9"/>
      <c r="I301" s="9"/>
      <c r="J301" s="9"/>
      <c r="K301" s="9"/>
    </row>
    <row r="302" spans="1:11" s="7" customFormat="1" ht="15" thickBot="1" x14ac:dyDescent="0.25">
      <c r="A302" s="9"/>
      <c r="B302" s="9"/>
      <c r="C302" s="9"/>
      <c r="D302" s="9"/>
      <c r="E302" s="9"/>
      <c r="F302" s="9">
        <v>0</v>
      </c>
      <c r="G302" s="9" t="s">
        <v>20</v>
      </c>
      <c r="H302" s="9"/>
      <c r="I302" s="9"/>
      <c r="J302" s="9"/>
      <c r="K302" s="9"/>
    </row>
    <row r="303" spans="1:11" s="7" customFormat="1" ht="15" thickBot="1" x14ac:dyDescent="0.25">
      <c r="A303" s="9"/>
      <c r="B303" s="9"/>
      <c r="C303" s="9"/>
      <c r="D303" s="9"/>
      <c r="E303" s="9"/>
      <c r="F303" s="9">
        <v>0</v>
      </c>
      <c r="G303" s="9" t="s">
        <v>22</v>
      </c>
      <c r="H303" s="9"/>
      <c r="I303" s="9"/>
      <c r="J303" s="9"/>
      <c r="K303" s="9"/>
    </row>
    <row r="304" spans="1:11" s="7" customFormat="1" ht="15" thickBot="1" x14ac:dyDescent="0.25">
      <c r="A304" s="9"/>
      <c r="B304" s="9"/>
      <c r="C304" s="9"/>
      <c r="D304" s="9"/>
      <c r="E304" s="9"/>
      <c r="F304" s="9">
        <v>0</v>
      </c>
      <c r="G304" s="9" t="s">
        <v>45</v>
      </c>
      <c r="H304" s="9"/>
      <c r="I304" s="9"/>
      <c r="J304" s="9"/>
      <c r="K304" s="9"/>
    </row>
    <row r="305" spans="1:11" s="7" customFormat="1" ht="15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s="7" customFormat="1" ht="15" thickBot="1" x14ac:dyDescent="0.25">
      <c r="A306" s="9"/>
      <c r="B306" s="9"/>
      <c r="C306" s="9"/>
      <c r="D306" s="9"/>
      <c r="E306" s="9"/>
      <c r="F306" s="9">
        <f>SUBTOTAL(9,F301:F304)</f>
        <v>0</v>
      </c>
      <c r="G306" s="9" t="s">
        <v>12</v>
      </c>
      <c r="H306" s="9"/>
      <c r="I306" s="9"/>
      <c r="J306" s="9"/>
      <c r="K306" s="9"/>
    </row>
    <row r="307" spans="1:11" s="7" customFormat="1" ht="15" thickBot="1" x14ac:dyDescent="0.25">
      <c r="A307" s="9"/>
      <c r="B307" s="9"/>
      <c r="C307" s="9"/>
      <c r="D307" s="9"/>
      <c r="E307" s="9"/>
      <c r="F307" s="9">
        <f>F306/8</f>
        <v>0</v>
      </c>
      <c r="G307" s="9" t="s">
        <v>13</v>
      </c>
      <c r="H307" s="9"/>
      <c r="I307" s="9"/>
      <c r="J307" s="9"/>
      <c r="K307" s="9"/>
    </row>
    <row r="308" spans="1:11" s="7" customFormat="1" ht="15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s="7" customFormat="1" ht="15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s="7" customFormat="1" ht="15" thickBot="1" x14ac:dyDescent="0.25">
      <c r="A310" s="9"/>
      <c r="B310" s="9"/>
      <c r="C310" s="9"/>
      <c r="D310" s="9"/>
      <c r="E310" s="9"/>
      <c r="F310" s="9">
        <v>0</v>
      </c>
      <c r="G310" s="9" t="s">
        <v>74</v>
      </c>
      <c r="H310" s="9"/>
      <c r="I310" s="9"/>
      <c r="J310" s="9"/>
      <c r="K310" s="9"/>
    </row>
    <row r="311" spans="1:11" s="7" customFormat="1" ht="15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s="7" customFormat="1" ht="15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s="7" customFormat="1" ht="15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s="7" customFormat="1" ht="15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s="7" customFormat="1" ht="15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s="7" customFormat="1" ht="15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s="7" customFormat="1" ht="15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s="7" customFormat="1" ht="15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s="7" customFormat="1" ht="15" thickBo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s="7" customFormat="1" ht="15" thickBo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s="7" customFormat="1" ht="15" thickBo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s="7" customFormat="1" ht="15" thickBo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s="7" customFormat="1" ht="15" thickBo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s="7" customFormat="1" ht="15" thickBo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s="7" customFormat="1" ht="15" thickBo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s="7" customFormat="1" ht="15" thickBo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s="7" customFormat="1" ht="15" thickBo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s="7" customFormat="1" ht="15" thickBo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s="7" customFormat="1" ht="15" thickBo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s="7" customFormat="1" ht="15" thickBo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s="7" customFormat="1" ht="15" thickBo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s="7" customFormat="1" ht="15" thickBo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s="7" customFormat="1" ht="15" thickBo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s="7" customFormat="1" ht="15" thickBo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s="7" customFormat="1" ht="15" thickBo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s="7" customFormat="1" ht="15" thickBo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s="7" customFormat="1" ht="15" thickBo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s="7" customFormat="1" ht="15" thickBo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s="7" customFormat="1" ht="15" thickBo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s="7" customFormat="1" ht="15" thickBo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s="7" customFormat="1" ht="15" thickBo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s="7" customFormat="1" ht="15" thickBo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s="7" customFormat="1" ht="15" thickBo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s="7" customFormat="1" ht="15" thickBo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s="7" customFormat="1" ht="15" thickBo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s="7" customFormat="1" ht="15" thickBo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s="7" customFormat="1" ht="15" thickBo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s="7" customFormat="1" ht="15" thickBo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s="7" customFormat="1" ht="15" thickBo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s="7" customFormat="1" ht="15" thickBo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s="7" customFormat="1" x14ac:dyDescent="0.2">
      <c r="B351" s="5"/>
      <c r="C351" s="5"/>
      <c r="D351" s="5"/>
      <c r="E351" s="5"/>
      <c r="F351" s="5"/>
      <c r="I351" s="5"/>
      <c r="J351" s="5"/>
    </row>
    <row r="352" spans="1:11" s="7" customFormat="1" x14ac:dyDescent="0.2">
      <c r="B352" s="5"/>
      <c r="C352" s="5"/>
      <c r="D352" s="5"/>
      <c r="E352" s="5"/>
      <c r="F352" s="5"/>
      <c r="I352" s="5"/>
      <c r="J352" s="5"/>
    </row>
    <row r="353" spans="2:10" s="7" customFormat="1" x14ac:dyDescent="0.2">
      <c r="B353" s="5"/>
      <c r="C353" s="5"/>
      <c r="D353" s="5"/>
      <c r="E353" s="5"/>
      <c r="F353" s="5"/>
      <c r="I353" s="5"/>
      <c r="J353" s="5"/>
    </row>
    <row r="354" spans="2:10" s="7" customFormat="1" x14ac:dyDescent="0.2">
      <c r="B354" s="5"/>
      <c r="C354" s="5"/>
      <c r="D354" s="5"/>
      <c r="E354" s="5"/>
      <c r="F354" s="5"/>
      <c r="I354" s="5"/>
      <c r="J354" s="5"/>
    </row>
    <row r="355" spans="2:10" s="7" customFormat="1" x14ac:dyDescent="0.2">
      <c r="B355" s="5"/>
      <c r="C355" s="5"/>
      <c r="D355" s="5"/>
      <c r="E355" s="5"/>
      <c r="F355" s="5"/>
      <c r="I355" s="5"/>
      <c r="J355" s="5"/>
    </row>
    <row r="356" spans="2:10" s="7" customFormat="1" x14ac:dyDescent="0.2">
      <c r="B356" s="5"/>
      <c r="C356" s="5"/>
      <c r="D356" s="5"/>
      <c r="E356" s="5"/>
      <c r="F356" s="5"/>
      <c r="I356" s="5"/>
      <c r="J356" s="5"/>
    </row>
    <row r="357" spans="2:10" s="7" customFormat="1" x14ac:dyDescent="0.2">
      <c r="B357" s="5"/>
      <c r="C357" s="5"/>
      <c r="D357" s="5"/>
      <c r="E357" s="5"/>
      <c r="F357" s="5"/>
      <c r="I357" s="5"/>
      <c r="J357" s="5"/>
    </row>
    <row r="358" spans="2:10" s="7" customFormat="1" x14ac:dyDescent="0.2">
      <c r="B358" s="5"/>
      <c r="C358" s="5"/>
      <c r="D358" s="5"/>
      <c r="E358" s="5"/>
      <c r="F358" s="5"/>
      <c r="I358" s="5"/>
      <c r="J358" s="5"/>
    </row>
    <row r="359" spans="2:10" s="7" customFormat="1" x14ac:dyDescent="0.2">
      <c r="B359" s="5"/>
      <c r="C359" s="5"/>
      <c r="D359" s="5"/>
      <c r="E359" s="5"/>
      <c r="F359" s="5"/>
      <c r="I359" s="5"/>
      <c r="J359" s="5"/>
    </row>
    <row r="360" spans="2:10" s="7" customFormat="1" x14ac:dyDescent="0.2">
      <c r="B360" s="5"/>
      <c r="C360" s="5"/>
      <c r="D360" s="5"/>
      <c r="E360" s="5"/>
      <c r="F360" s="5"/>
      <c r="I360" s="5"/>
      <c r="J360" s="5"/>
    </row>
    <row r="361" spans="2:10" s="7" customFormat="1" x14ac:dyDescent="0.2">
      <c r="B361" s="5"/>
      <c r="C361" s="5"/>
      <c r="D361" s="5"/>
      <c r="E361" s="5"/>
      <c r="F361" s="5"/>
      <c r="I361" s="5"/>
      <c r="J361" s="5"/>
    </row>
    <row r="362" spans="2:10" s="7" customFormat="1" x14ac:dyDescent="0.2">
      <c r="B362" s="5"/>
      <c r="C362" s="5"/>
      <c r="D362" s="5"/>
      <c r="E362" s="5"/>
      <c r="F362" s="5"/>
      <c r="I362" s="5"/>
      <c r="J362" s="5"/>
    </row>
    <row r="363" spans="2:10" s="7" customFormat="1" x14ac:dyDescent="0.2">
      <c r="B363" s="5"/>
      <c r="C363" s="5"/>
      <c r="D363" s="5"/>
      <c r="E363" s="5"/>
      <c r="F363" s="5"/>
      <c r="I363" s="5"/>
      <c r="J363" s="5"/>
    </row>
    <row r="364" spans="2:10" s="7" customFormat="1" x14ac:dyDescent="0.2">
      <c r="B364" s="5"/>
      <c r="C364" s="5"/>
      <c r="D364" s="5"/>
      <c r="E364" s="5"/>
      <c r="F364" s="5"/>
      <c r="I364" s="5"/>
      <c r="J364" s="5"/>
    </row>
    <row r="365" spans="2:10" s="7" customFormat="1" x14ac:dyDescent="0.2">
      <c r="B365" s="5"/>
      <c r="C365" s="5"/>
      <c r="D365" s="5"/>
      <c r="E365" s="5"/>
      <c r="F365" s="5"/>
      <c r="I365" s="5"/>
      <c r="J365" s="5"/>
    </row>
    <row r="366" spans="2:10" s="7" customFormat="1" x14ac:dyDescent="0.2">
      <c r="B366" s="5"/>
      <c r="C366" s="5"/>
      <c r="D366" s="5"/>
      <c r="E366" s="5"/>
      <c r="F366" s="5"/>
      <c r="I366" s="5"/>
      <c r="J366" s="5"/>
    </row>
    <row r="367" spans="2:10" s="7" customFormat="1" x14ac:dyDescent="0.2">
      <c r="B367" s="5"/>
      <c r="C367" s="5"/>
      <c r="D367" s="5"/>
      <c r="E367" s="5"/>
      <c r="F367" s="5"/>
      <c r="I367" s="5"/>
      <c r="J367" s="5"/>
    </row>
    <row r="368" spans="2:10" s="7" customFormat="1" x14ac:dyDescent="0.2">
      <c r="B368" s="5"/>
      <c r="C368" s="5"/>
      <c r="D368" s="5"/>
      <c r="E368" s="5"/>
      <c r="F368" s="5"/>
      <c r="I368" s="5"/>
      <c r="J368" s="5"/>
    </row>
    <row r="369" spans="2:10" s="7" customFormat="1" x14ac:dyDescent="0.2">
      <c r="B369" s="5"/>
      <c r="C369" s="5"/>
      <c r="D369" s="5"/>
      <c r="E369" s="5"/>
      <c r="F369" s="5"/>
      <c r="I369" s="5"/>
      <c r="J369" s="5"/>
    </row>
    <row r="370" spans="2:10" s="7" customFormat="1" x14ac:dyDescent="0.2">
      <c r="B370" s="5"/>
      <c r="C370" s="5"/>
      <c r="D370" s="5"/>
      <c r="E370" s="5"/>
      <c r="F370" s="5"/>
      <c r="I370" s="5"/>
      <c r="J370" s="5"/>
    </row>
    <row r="371" spans="2:10" s="7" customFormat="1" x14ac:dyDescent="0.2">
      <c r="B371" s="5"/>
      <c r="C371" s="5"/>
      <c r="D371" s="5"/>
      <c r="E371" s="5"/>
      <c r="F371" s="5"/>
      <c r="I371" s="5"/>
      <c r="J371" s="5"/>
    </row>
    <row r="372" spans="2:10" s="7" customFormat="1" x14ac:dyDescent="0.2">
      <c r="B372" s="5"/>
      <c r="C372" s="5"/>
      <c r="D372" s="5"/>
      <c r="E372" s="5"/>
      <c r="F372" s="5"/>
      <c r="I372" s="5"/>
      <c r="J372" s="5"/>
    </row>
    <row r="373" spans="2:10" s="7" customFormat="1" x14ac:dyDescent="0.2">
      <c r="B373" s="5"/>
      <c r="C373" s="5"/>
      <c r="D373" s="5"/>
      <c r="E373" s="5"/>
      <c r="F373" s="5"/>
      <c r="I373" s="5"/>
      <c r="J373" s="5"/>
    </row>
    <row r="374" spans="2:10" s="7" customFormat="1" x14ac:dyDescent="0.2">
      <c r="B374" s="5"/>
      <c r="C374" s="5"/>
      <c r="D374" s="5"/>
      <c r="E374" s="5"/>
      <c r="F374" s="5"/>
      <c r="I374" s="5"/>
      <c r="J374" s="5"/>
    </row>
    <row r="375" spans="2:10" s="7" customFormat="1" x14ac:dyDescent="0.2">
      <c r="B375" s="5"/>
      <c r="C375" s="5"/>
      <c r="D375" s="5"/>
      <c r="E375" s="5"/>
      <c r="F375" s="5"/>
      <c r="I375" s="5"/>
      <c r="J375" s="5"/>
    </row>
    <row r="376" spans="2:10" s="7" customFormat="1" x14ac:dyDescent="0.2">
      <c r="B376" s="5"/>
      <c r="C376" s="5"/>
      <c r="D376" s="5"/>
      <c r="E376" s="5"/>
      <c r="F376" s="5"/>
      <c r="I376" s="5"/>
      <c r="J376" s="5"/>
    </row>
    <row r="377" spans="2:10" s="7" customFormat="1" x14ac:dyDescent="0.2">
      <c r="B377" s="5"/>
      <c r="C377" s="5"/>
      <c r="D377" s="5"/>
      <c r="E377" s="5"/>
      <c r="F377" s="5"/>
      <c r="I377" s="5"/>
      <c r="J377" s="5"/>
    </row>
    <row r="378" spans="2:10" s="7" customFormat="1" x14ac:dyDescent="0.2">
      <c r="B378" s="5"/>
      <c r="C378" s="5"/>
      <c r="D378" s="5"/>
      <c r="E378" s="5"/>
      <c r="F378" s="5"/>
      <c r="I378" s="5"/>
      <c r="J378" s="5"/>
    </row>
    <row r="379" spans="2:10" s="7" customFormat="1" x14ac:dyDescent="0.2">
      <c r="B379" s="5"/>
      <c r="C379" s="5"/>
      <c r="D379" s="5"/>
      <c r="E379" s="5"/>
      <c r="F379" s="5"/>
      <c r="I379" s="5"/>
      <c r="J379" s="5"/>
    </row>
    <row r="380" spans="2:10" s="7" customFormat="1" x14ac:dyDescent="0.2">
      <c r="B380" s="5"/>
      <c r="C380" s="5"/>
      <c r="D380" s="5"/>
      <c r="E380" s="5"/>
      <c r="F380" s="5"/>
      <c r="I380" s="5"/>
      <c r="J380" s="5"/>
    </row>
    <row r="381" spans="2:10" s="7" customFormat="1" x14ac:dyDescent="0.2">
      <c r="B381" s="5"/>
      <c r="C381" s="5"/>
      <c r="D381" s="5"/>
      <c r="E381" s="5"/>
      <c r="F381" s="5"/>
      <c r="I381" s="5"/>
      <c r="J381" s="5"/>
    </row>
    <row r="382" spans="2:10" s="7" customFormat="1" x14ac:dyDescent="0.2">
      <c r="B382" s="5"/>
      <c r="C382" s="5"/>
      <c r="D382" s="5"/>
      <c r="E382" s="5"/>
      <c r="F382" s="5"/>
      <c r="I382" s="5"/>
      <c r="J382" s="5"/>
    </row>
    <row r="383" spans="2:10" s="7" customFormat="1" x14ac:dyDescent="0.2">
      <c r="B383" s="5"/>
      <c r="C383" s="5"/>
      <c r="D383" s="5"/>
      <c r="E383" s="5"/>
      <c r="F383" s="5"/>
      <c r="I383" s="5"/>
      <c r="J383" s="5"/>
    </row>
    <row r="384" spans="2:10" s="7" customFormat="1" x14ac:dyDescent="0.2">
      <c r="B384" s="5"/>
      <c r="C384" s="5"/>
      <c r="D384" s="5"/>
      <c r="E384" s="5"/>
      <c r="F384" s="5"/>
      <c r="I384" s="5"/>
      <c r="J384" s="5"/>
    </row>
    <row r="385" spans="2:10" s="7" customFormat="1" x14ac:dyDescent="0.2">
      <c r="B385" s="5"/>
      <c r="C385" s="5"/>
      <c r="D385" s="5"/>
      <c r="E385" s="5"/>
      <c r="F385" s="5"/>
      <c r="I385" s="5"/>
      <c r="J385" s="5"/>
    </row>
    <row r="386" spans="2:10" s="7" customFormat="1" x14ac:dyDescent="0.2">
      <c r="B386" s="5"/>
      <c r="C386" s="5"/>
      <c r="D386" s="5"/>
      <c r="E386" s="5"/>
      <c r="F386" s="5"/>
      <c r="I386" s="5"/>
      <c r="J386" s="5"/>
    </row>
    <row r="387" spans="2:10" s="7" customFormat="1" x14ac:dyDescent="0.2">
      <c r="B387" s="5"/>
      <c r="C387" s="5"/>
      <c r="D387" s="5"/>
      <c r="E387" s="5"/>
      <c r="F387" s="5"/>
      <c r="I387" s="5"/>
      <c r="J387" s="5"/>
    </row>
    <row r="388" spans="2:10" s="7" customFormat="1" x14ac:dyDescent="0.2">
      <c r="B388" s="5"/>
      <c r="C388" s="5"/>
      <c r="D388" s="5"/>
      <c r="E388" s="5"/>
      <c r="F388" s="5"/>
      <c r="I388" s="5"/>
      <c r="J388" s="5"/>
    </row>
    <row r="389" spans="2:10" s="7" customFormat="1" x14ac:dyDescent="0.2">
      <c r="B389" s="5"/>
      <c r="C389" s="5"/>
      <c r="D389" s="5"/>
      <c r="E389" s="5"/>
      <c r="F389" s="5"/>
      <c r="I389" s="5"/>
      <c r="J389" s="5"/>
    </row>
    <row r="390" spans="2:10" s="7" customFormat="1" x14ac:dyDescent="0.2">
      <c r="B390" s="5"/>
      <c r="C390" s="5"/>
      <c r="D390" s="5"/>
      <c r="E390" s="5"/>
      <c r="F390" s="5"/>
      <c r="I390" s="5"/>
      <c r="J390" s="5"/>
    </row>
    <row r="391" spans="2:10" s="7" customFormat="1" x14ac:dyDescent="0.2">
      <c r="B391" s="5"/>
      <c r="C391" s="5"/>
      <c r="D391" s="5"/>
      <c r="E391" s="5"/>
      <c r="F391" s="5"/>
      <c r="I391" s="5"/>
      <c r="J391" s="5"/>
    </row>
    <row r="392" spans="2:10" s="7" customFormat="1" x14ac:dyDescent="0.2">
      <c r="B392" s="5"/>
      <c r="C392" s="5"/>
      <c r="D392" s="5"/>
      <c r="E392" s="5"/>
      <c r="F392" s="5"/>
      <c r="I392" s="5"/>
      <c r="J392" s="5"/>
    </row>
    <row r="393" spans="2:10" s="7" customFormat="1" x14ac:dyDescent="0.2">
      <c r="B393" s="5"/>
      <c r="C393" s="5"/>
      <c r="D393" s="5"/>
      <c r="E393" s="5"/>
      <c r="F393" s="5"/>
      <c r="I393" s="5"/>
      <c r="J393" s="5"/>
    </row>
    <row r="394" spans="2:10" s="7" customFormat="1" x14ac:dyDescent="0.2">
      <c r="B394" s="5"/>
      <c r="C394" s="5"/>
      <c r="D394" s="5"/>
      <c r="E394" s="5"/>
      <c r="F394" s="5"/>
      <c r="I394" s="5"/>
      <c r="J394" s="5"/>
    </row>
    <row r="395" spans="2:10" s="7" customFormat="1" x14ac:dyDescent="0.2">
      <c r="B395" s="5"/>
      <c r="C395" s="5"/>
      <c r="D395" s="5"/>
      <c r="E395" s="5"/>
      <c r="F395" s="5"/>
      <c r="I395" s="5"/>
      <c r="J395" s="5"/>
    </row>
    <row r="396" spans="2:10" s="7" customFormat="1" x14ac:dyDescent="0.2">
      <c r="B396" s="5"/>
      <c r="C396" s="5"/>
      <c r="D396" s="5"/>
      <c r="E396" s="5"/>
      <c r="F396" s="5"/>
      <c r="I396" s="5"/>
      <c r="J396" s="5"/>
    </row>
    <row r="397" spans="2:10" s="7" customFormat="1" x14ac:dyDescent="0.2">
      <c r="B397" s="5"/>
      <c r="C397" s="5"/>
      <c r="D397" s="5"/>
      <c r="E397" s="5"/>
      <c r="F397" s="5"/>
      <c r="I397" s="5"/>
      <c r="J397" s="5"/>
    </row>
    <row r="398" spans="2:10" s="7" customFormat="1" x14ac:dyDescent="0.2">
      <c r="B398" s="5"/>
      <c r="C398" s="5"/>
      <c r="D398" s="5"/>
      <c r="E398" s="5"/>
      <c r="F398" s="5"/>
      <c r="I398" s="5"/>
      <c r="J398" s="5"/>
    </row>
    <row r="399" spans="2:10" s="7" customFormat="1" x14ac:dyDescent="0.2">
      <c r="B399" s="5"/>
      <c r="C399" s="5"/>
      <c r="D399" s="5"/>
      <c r="E399" s="5"/>
      <c r="F399" s="5"/>
      <c r="I399" s="5"/>
      <c r="J399" s="5"/>
    </row>
    <row r="400" spans="2:10" s="7" customFormat="1" x14ac:dyDescent="0.2">
      <c r="B400" s="5"/>
      <c r="C400" s="5"/>
      <c r="D400" s="5"/>
      <c r="E400" s="5"/>
      <c r="F400" s="5"/>
      <c r="I400" s="5"/>
      <c r="J400" s="5"/>
    </row>
    <row r="401" spans="2:10" s="7" customFormat="1" x14ac:dyDescent="0.2">
      <c r="B401" s="5"/>
      <c r="C401" s="5"/>
      <c r="D401" s="5"/>
      <c r="E401" s="5"/>
      <c r="F401" s="5"/>
      <c r="I401" s="5"/>
      <c r="J401" s="5"/>
    </row>
    <row r="402" spans="2:10" s="7" customFormat="1" x14ac:dyDescent="0.2">
      <c r="B402" s="5"/>
      <c r="C402" s="5"/>
      <c r="D402" s="5"/>
      <c r="E402" s="5"/>
      <c r="F402" s="5"/>
      <c r="I402" s="5"/>
      <c r="J402" s="5"/>
    </row>
    <row r="403" spans="2:10" s="7" customFormat="1" x14ac:dyDescent="0.2">
      <c r="B403" s="5"/>
      <c r="C403" s="5"/>
      <c r="D403" s="5"/>
      <c r="E403" s="5"/>
      <c r="F403" s="5"/>
      <c r="I403" s="5"/>
      <c r="J403" s="5"/>
    </row>
    <row r="404" spans="2:10" s="7" customFormat="1" x14ac:dyDescent="0.2">
      <c r="B404" s="5"/>
      <c r="C404" s="5"/>
      <c r="D404" s="5"/>
      <c r="E404" s="5"/>
      <c r="F404" s="5"/>
      <c r="I404" s="5"/>
      <c r="J404" s="5"/>
    </row>
    <row r="405" spans="2:10" s="7" customFormat="1" x14ac:dyDescent="0.2">
      <c r="B405" s="5"/>
      <c r="C405" s="5"/>
      <c r="D405" s="5"/>
      <c r="E405" s="5"/>
      <c r="F405" s="5"/>
      <c r="I405" s="5"/>
      <c r="J405" s="5"/>
    </row>
    <row r="406" spans="2:10" s="7" customFormat="1" x14ac:dyDescent="0.2">
      <c r="B406" s="5"/>
      <c r="C406" s="5"/>
      <c r="D406" s="5"/>
      <c r="E406" s="5"/>
      <c r="F406" s="5"/>
      <c r="I406" s="5"/>
      <c r="J406" s="5"/>
    </row>
    <row r="407" spans="2:10" s="7" customFormat="1" x14ac:dyDescent="0.2">
      <c r="B407" s="5"/>
      <c r="C407" s="5"/>
      <c r="D407" s="5"/>
      <c r="E407" s="5"/>
      <c r="F407" s="5"/>
      <c r="I407" s="5"/>
      <c r="J407" s="5"/>
    </row>
    <row r="408" spans="2:10" s="7" customFormat="1" x14ac:dyDescent="0.2">
      <c r="B408" s="5"/>
      <c r="C408" s="5"/>
      <c r="D408" s="5"/>
      <c r="E408" s="5"/>
      <c r="F408" s="5"/>
      <c r="I408" s="5"/>
      <c r="J408" s="5"/>
    </row>
    <row r="409" spans="2:10" s="7" customFormat="1" x14ac:dyDescent="0.2">
      <c r="B409" s="5"/>
      <c r="C409" s="5"/>
      <c r="D409" s="5"/>
      <c r="E409" s="5"/>
      <c r="F409" s="5"/>
      <c r="I409" s="5"/>
      <c r="J409" s="5"/>
    </row>
    <row r="410" spans="2:10" s="7" customFormat="1" x14ac:dyDescent="0.2">
      <c r="B410" s="5"/>
      <c r="C410" s="5"/>
      <c r="D410" s="5"/>
      <c r="E410" s="5"/>
      <c r="F410" s="5"/>
      <c r="I410" s="5"/>
      <c r="J410" s="5"/>
    </row>
    <row r="411" spans="2:10" s="7" customFormat="1" x14ac:dyDescent="0.2">
      <c r="B411" s="5"/>
      <c r="C411" s="5"/>
      <c r="D411" s="5"/>
      <c r="E411" s="5"/>
      <c r="F411" s="5"/>
      <c r="I411" s="5"/>
      <c r="J411" s="5"/>
    </row>
    <row r="412" spans="2:10" s="7" customFormat="1" x14ac:dyDescent="0.2">
      <c r="B412" s="5"/>
      <c r="C412" s="5"/>
      <c r="D412" s="5"/>
      <c r="E412" s="5"/>
      <c r="F412" s="5"/>
      <c r="I412" s="5"/>
      <c r="J412" s="5"/>
    </row>
    <row r="413" spans="2:10" s="7" customFormat="1" x14ac:dyDescent="0.2">
      <c r="B413" s="5"/>
      <c r="C413" s="5"/>
      <c r="D413" s="5"/>
      <c r="E413" s="5"/>
      <c r="F413" s="5"/>
      <c r="I413" s="5"/>
      <c r="J413" s="5"/>
    </row>
    <row r="414" spans="2:10" s="7" customFormat="1" x14ac:dyDescent="0.2">
      <c r="B414" s="5"/>
      <c r="C414" s="5"/>
      <c r="D414" s="5"/>
      <c r="E414" s="5"/>
      <c r="F414" s="5"/>
      <c r="I414" s="5"/>
      <c r="J414" s="5"/>
    </row>
    <row r="415" spans="2:10" s="7" customFormat="1" x14ac:dyDescent="0.2">
      <c r="B415" s="5"/>
      <c r="C415" s="5"/>
      <c r="D415" s="5"/>
      <c r="E415" s="5"/>
      <c r="F415" s="5"/>
      <c r="I415" s="5"/>
      <c r="J415" s="5"/>
    </row>
    <row r="416" spans="2:10" s="7" customFormat="1" x14ac:dyDescent="0.2">
      <c r="B416" s="5"/>
      <c r="C416" s="5"/>
      <c r="D416" s="5"/>
      <c r="E416" s="5"/>
      <c r="F416" s="5"/>
      <c r="I416" s="5"/>
      <c r="J416" s="5"/>
    </row>
    <row r="417" spans="2:10" s="7" customFormat="1" x14ac:dyDescent="0.2">
      <c r="B417" s="5"/>
      <c r="C417" s="5"/>
      <c r="D417" s="5"/>
      <c r="E417" s="5"/>
      <c r="F417" s="5"/>
      <c r="I417" s="5"/>
      <c r="J417" s="5"/>
    </row>
    <row r="418" spans="2:10" s="7" customFormat="1" x14ac:dyDescent="0.2">
      <c r="B418" s="5"/>
      <c r="C418" s="5"/>
      <c r="D418" s="5"/>
      <c r="E418" s="5"/>
      <c r="F418" s="5"/>
      <c r="I418" s="5"/>
      <c r="J418" s="5"/>
    </row>
    <row r="419" spans="2:10" s="7" customFormat="1" x14ac:dyDescent="0.2">
      <c r="B419" s="5"/>
      <c r="C419" s="5"/>
      <c r="D419" s="5"/>
      <c r="E419" s="5"/>
      <c r="F419" s="5"/>
      <c r="I419" s="5"/>
      <c r="J419" s="5"/>
    </row>
    <row r="420" spans="2:10" s="7" customFormat="1" x14ac:dyDescent="0.2">
      <c r="B420" s="5"/>
      <c r="C420" s="5"/>
      <c r="D420" s="5"/>
      <c r="E420" s="5"/>
      <c r="F420" s="5"/>
      <c r="I420" s="5"/>
      <c r="J420" s="5"/>
    </row>
    <row r="421" spans="2:10" s="7" customFormat="1" x14ac:dyDescent="0.2">
      <c r="B421" s="5"/>
      <c r="C421" s="5"/>
      <c r="D421" s="5"/>
      <c r="E421" s="5"/>
      <c r="F421" s="5"/>
      <c r="I421" s="5"/>
      <c r="J421" s="5"/>
    </row>
    <row r="422" spans="2:10" s="7" customFormat="1" x14ac:dyDescent="0.2">
      <c r="B422" s="5"/>
      <c r="C422" s="5"/>
      <c r="D422" s="5"/>
      <c r="E422" s="5"/>
      <c r="F422" s="5"/>
      <c r="I422" s="5"/>
      <c r="J422" s="5"/>
    </row>
    <row r="423" spans="2:10" s="7" customFormat="1" x14ac:dyDescent="0.2">
      <c r="B423" s="5"/>
      <c r="C423" s="5"/>
      <c r="D423" s="5"/>
      <c r="E423" s="5"/>
      <c r="F423" s="5"/>
      <c r="I423" s="5"/>
      <c r="J423" s="5"/>
    </row>
    <row r="424" spans="2:10" s="7" customFormat="1" x14ac:dyDescent="0.2">
      <c r="B424" s="5"/>
      <c r="C424" s="5"/>
      <c r="D424" s="5"/>
      <c r="E424" s="5"/>
      <c r="F424" s="5"/>
      <c r="I424" s="5"/>
      <c r="J424" s="5"/>
    </row>
    <row r="425" spans="2:10" s="7" customFormat="1" x14ac:dyDescent="0.2">
      <c r="B425" s="5"/>
      <c r="C425" s="5"/>
      <c r="D425" s="5"/>
      <c r="E425" s="5"/>
      <c r="F425" s="5"/>
      <c r="I425" s="5"/>
      <c r="J425" s="5"/>
    </row>
    <row r="426" spans="2:10" s="7" customFormat="1" x14ac:dyDescent="0.2">
      <c r="B426" s="5"/>
      <c r="C426" s="5"/>
      <c r="D426" s="5"/>
      <c r="E426" s="5"/>
      <c r="F426" s="5"/>
      <c r="I426" s="5"/>
      <c r="J426" s="5"/>
    </row>
    <row r="427" spans="2:10" s="7" customFormat="1" x14ac:dyDescent="0.2">
      <c r="B427" s="5"/>
      <c r="C427" s="5"/>
      <c r="D427" s="5"/>
      <c r="E427" s="5"/>
      <c r="F427" s="5"/>
      <c r="I427" s="5"/>
      <c r="J427" s="5"/>
    </row>
    <row r="428" spans="2:10" s="7" customFormat="1" x14ac:dyDescent="0.2">
      <c r="B428" s="5"/>
      <c r="C428" s="5"/>
      <c r="D428" s="5"/>
      <c r="E428" s="5"/>
      <c r="F428" s="5"/>
      <c r="I428" s="5"/>
      <c r="J428" s="5"/>
    </row>
    <row r="429" spans="2:10" s="7" customFormat="1" x14ac:dyDescent="0.2">
      <c r="B429" s="5"/>
      <c r="C429" s="5"/>
      <c r="D429" s="5"/>
      <c r="E429" s="5"/>
      <c r="F429" s="5"/>
      <c r="I429" s="5"/>
      <c r="J429" s="5"/>
    </row>
    <row r="430" spans="2:10" s="7" customFormat="1" x14ac:dyDescent="0.2">
      <c r="B430" s="5"/>
      <c r="C430" s="5"/>
      <c r="D430" s="5"/>
      <c r="E430" s="5"/>
      <c r="F430" s="5"/>
      <c r="I430" s="5"/>
      <c r="J430" s="5"/>
    </row>
    <row r="431" spans="2:10" s="7" customFormat="1" x14ac:dyDescent="0.2">
      <c r="B431" s="5"/>
      <c r="C431" s="5"/>
      <c r="D431" s="5"/>
      <c r="E431" s="5"/>
      <c r="F431" s="5"/>
      <c r="I431" s="5"/>
      <c r="J431" s="5"/>
    </row>
    <row r="432" spans="2:10" s="7" customFormat="1" x14ac:dyDescent="0.2">
      <c r="B432" s="5"/>
      <c r="C432" s="5"/>
      <c r="D432" s="5"/>
      <c r="E432" s="5"/>
      <c r="F432" s="5"/>
      <c r="I432" s="5"/>
      <c r="J432" s="5"/>
    </row>
    <row r="433" spans="2:10" s="7" customFormat="1" x14ac:dyDescent="0.2">
      <c r="B433" s="5"/>
      <c r="C433" s="5"/>
      <c r="D433" s="5"/>
      <c r="E433" s="5"/>
      <c r="F433" s="5"/>
      <c r="I433" s="5"/>
      <c r="J433" s="5"/>
    </row>
    <row r="434" spans="2:10" s="7" customFormat="1" x14ac:dyDescent="0.2">
      <c r="B434" s="5"/>
      <c r="C434" s="5"/>
      <c r="D434" s="5"/>
      <c r="E434" s="5"/>
      <c r="F434" s="5"/>
      <c r="I434" s="5"/>
      <c r="J434" s="5"/>
    </row>
    <row r="435" spans="2:10" s="7" customFormat="1" x14ac:dyDescent="0.2">
      <c r="B435" s="5"/>
      <c r="C435" s="5"/>
      <c r="D435" s="5"/>
      <c r="E435" s="5"/>
      <c r="F435" s="5"/>
      <c r="I435" s="5"/>
      <c r="J435" s="5"/>
    </row>
    <row r="436" spans="2:10" s="7" customFormat="1" x14ac:dyDescent="0.2">
      <c r="B436" s="5"/>
      <c r="C436" s="5"/>
      <c r="D436" s="5"/>
      <c r="E436" s="5"/>
      <c r="F436" s="5"/>
      <c r="I436" s="5"/>
      <c r="J436" s="5"/>
    </row>
    <row r="437" spans="2:10" s="7" customFormat="1" x14ac:dyDescent="0.2">
      <c r="B437" s="5"/>
      <c r="C437" s="5"/>
      <c r="D437" s="5"/>
      <c r="E437" s="5"/>
      <c r="F437" s="5"/>
      <c r="I437" s="5"/>
      <c r="J437" s="5"/>
    </row>
    <row r="438" spans="2:10" s="7" customFormat="1" x14ac:dyDescent="0.2">
      <c r="B438" s="5"/>
      <c r="C438" s="5"/>
      <c r="D438" s="5"/>
      <c r="E438" s="5"/>
      <c r="F438" s="5"/>
      <c r="I438" s="5"/>
      <c r="J438" s="5"/>
    </row>
    <row r="439" spans="2:10" s="7" customFormat="1" x14ac:dyDescent="0.2">
      <c r="B439" s="5"/>
      <c r="C439" s="5"/>
      <c r="D439" s="5"/>
      <c r="E439" s="5"/>
      <c r="F439" s="5"/>
      <c r="I439" s="5"/>
      <c r="J439" s="5"/>
    </row>
    <row r="440" spans="2:10" s="7" customFormat="1" x14ac:dyDescent="0.2">
      <c r="B440" s="5"/>
      <c r="C440" s="5"/>
      <c r="D440" s="5"/>
      <c r="E440" s="5"/>
      <c r="F440" s="5"/>
      <c r="I440" s="5"/>
      <c r="J440" s="5"/>
    </row>
    <row r="441" spans="2:10" s="7" customFormat="1" x14ac:dyDescent="0.2">
      <c r="B441" s="5"/>
      <c r="C441" s="5"/>
      <c r="D441" s="5"/>
      <c r="E441" s="5"/>
      <c r="F441" s="5"/>
      <c r="I441" s="5"/>
      <c r="J441" s="5"/>
    </row>
    <row r="442" spans="2:10" s="7" customFormat="1" x14ac:dyDescent="0.2">
      <c r="B442" s="5"/>
      <c r="C442" s="5"/>
      <c r="D442" s="5"/>
      <c r="E442" s="5"/>
      <c r="F442" s="5"/>
      <c r="I442" s="5"/>
      <c r="J442" s="5"/>
    </row>
    <row r="443" spans="2:10" s="7" customFormat="1" x14ac:dyDescent="0.2">
      <c r="B443" s="5"/>
      <c r="C443" s="5"/>
      <c r="D443" s="5"/>
      <c r="E443" s="5"/>
      <c r="F443" s="5"/>
      <c r="I443" s="5"/>
      <c r="J443" s="5"/>
    </row>
    <row r="444" spans="2:10" s="7" customFormat="1" x14ac:dyDescent="0.2">
      <c r="B444" s="5"/>
      <c r="C444" s="5"/>
      <c r="D444" s="5"/>
      <c r="E444" s="5"/>
      <c r="F444" s="5"/>
      <c r="I444" s="5"/>
      <c r="J444" s="5"/>
    </row>
    <row r="445" spans="2:10" s="7" customFormat="1" x14ac:dyDescent="0.2">
      <c r="B445" s="5"/>
      <c r="C445" s="5"/>
      <c r="D445" s="5"/>
      <c r="E445" s="5"/>
      <c r="F445" s="5"/>
      <c r="I445" s="5"/>
      <c r="J445" s="5"/>
    </row>
    <row r="446" spans="2:10" s="7" customFormat="1" x14ac:dyDescent="0.2">
      <c r="B446" s="5"/>
      <c r="C446" s="5"/>
      <c r="D446" s="5"/>
      <c r="E446" s="5"/>
      <c r="F446" s="5"/>
      <c r="I446" s="5"/>
      <c r="J446" s="5"/>
    </row>
    <row r="447" spans="2:10" s="7" customFormat="1" x14ac:dyDescent="0.2">
      <c r="B447" s="5"/>
      <c r="C447" s="5"/>
      <c r="D447" s="5"/>
      <c r="E447" s="5"/>
      <c r="F447" s="5"/>
      <c r="I447" s="5"/>
      <c r="J447" s="5"/>
    </row>
    <row r="448" spans="2:10" s="7" customFormat="1" x14ac:dyDescent="0.2">
      <c r="B448" s="5"/>
      <c r="C448" s="5"/>
      <c r="D448" s="5"/>
      <c r="E448" s="5"/>
      <c r="F448" s="5"/>
      <c r="I448" s="5"/>
      <c r="J448" s="5"/>
    </row>
    <row r="449" spans="2:10" s="7" customFormat="1" x14ac:dyDescent="0.2">
      <c r="B449" s="5"/>
      <c r="C449" s="5"/>
      <c r="D449" s="5"/>
      <c r="E449" s="5"/>
      <c r="F449" s="5"/>
      <c r="I449" s="5"/>
      <c r="J449" s="5"/>
    </row>
  </sheetData>
  <autoFilter ref="A1:M246" xr:uid="{DAD00364-664A-470B-8B0C-3CB3FB80AFDB}"/>
  <dataValidations count="1">
    <dataValidation type="time" allowBlank="1" showInputMessage="1" showErrorMessage="1" sqref="D28:E38 F31:F37 D20:E20 D39:F82 F85:F91 D83:E92 D93:F145 F148:F154 D146:E155 D156:F207 F210:F216 D208:E217 D218:F278 D289:F299 D279:E288 F281:F287" xr:uid="{FEB80BC1-0476-44FF-B91F-4CD84A627201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6694DD1-47DC-4673-BF28-938D0C097812}">
          <x14:formula1>
            <xm:f>Metadata!$H$2:$H$5</xm:f>
          </x14:formula1>
          <xm:sqref>A2:A299</xm:sqref>
        </x14:dataValidation>
        <x14:dataValidation type="list" allowBlank="1" showInputMessage="1" showErrorMessage="1" xr:uid="{C0A6F08D-454E-4FAA-8064-2A90409DB001}">
          <x14:formula1>
            <xm:f>Metadata!$A$2:$A$15</xm:f>
          </x14:formula1>
          <xm:sqref>G2:G298</xm:sqref>
        </x14:dataValidation>
        <x14:dataValidation type="list" allowBlank="1" showInputMessage="1" showErrorMessage="1" xr:uid="{0AFE04EA-01AC-4574-8E2F-107460A455DD}">
          <x14:formula1>
            <xm:f>Metadata!$C$2:$C$15</xm:f>
          </x14:formula1>
          <xm:sqref>H2:H299</xm:sqref>
        </x14:dataValidation>
        <x14:dataValidation type="list" allowBlank="1" showInputMessage="1" showErrorMessage="1" xr:uid="{87DBF505-0855-400F-B50A-7B82F43D5AF3}">
          <x14:formula1>
            <xm:f>Metadata!$C$3:$C$14</xm:f>
          </x14:formula1>
          <xm:sqref>B2:B299</xm:sqref>
        </x14:dataValidation>
        <x14:dataValidation type="list" allowBlank="1" showInputMessage="1" showErrorMessage="1" xr:uid="{844000E0-9F72-473B-BCB5-2C0D04591785}">
          <x14:formula1>
            <xm:f>Metadata!$F$2:$F$15</xm:f>
          </x14:formula1>
          <xm:sqref>I2:I299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52B7-3302-4312-AA4F-3BB8CF08218F}">
  <sheetPr codeName="Tabelle11">
    <pageSetUpPr fitToPage="1"/>
  </sheetPr>
  <dimension ref="A1:K449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11" sqref="A11"/>
      <selection pane="bottomRight" activeCell="D244" sqref="D244:J253"/>
    </sheetView>
  </sheetViews>
  <sheetFormatPr baseColWidth="10" defaultColWidth="11.42578125" defaultRowHeight="14.25" x14ac:dyDescent="0.2"/>
  <cols>
    <col min="1" max="1" width="21.28515625" style="7" hidden="1" customWidth="1"/>
    <col min="2" max="2" width="15.8554687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7.710937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2" width="11.42578125" style="5"/>
    <col min="13" max="13" width="15.42578125" style="5" customWidth="1"/>
    <col min="14" max="16384" width="11.42578125" style="5"/>
  </cols>
  <sheetData>
    <row r="1" spans="1:11" s="18" customFormat="1" ht="60.75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1" s="13" customFormat="1" ht="29.25" thickBot="1" x14ac:dyDescent="0.3">
      <c r="A2" s="19" t="s">
        <v>47</v>
      </c>
      <c r="B2" s="10" t="s">
        <v>1</v>
      </c>
      <c r="C2" s="14">
        <v>46327</v>
      </c>
      <c r="D2" s="11">
        <v>0.35416666666666669</v>
      </c>
      <c r="E2" s="11">
        <v>0.6875</v>
      </c>
      <c r="F2" s="12">
        <f>+(E2-D2)*24</f>
        <v>8</v>
      </c>
      <c r="G2" s="20" t="s">
        <v>21</v>
      </c>
      <c r="H2" s="20" t="s">
        <v>30</v>
      </c>
      <c r="I2" s="9"/>
      <c r="J2" s="9" t="s">
        <v>83</v>
      </c>
      <c r="K2" s="9"/>
    </row>
    <row r="3" spans="1:11" s="13" customFormat="1" ht="29.25" thickBot="1" x14ac:dyDescent="0.3">
      <c r="A3" s="19" t="s">
        <v>47</v>
      </c>
      <c r="B3" s="10" t="s">
        <v>1</v>
      </c>
      <c r="C3" s="14">
        <v>46327</v>
      </c>
      <c r="D3" s="11"/>
      <c r="E3" s="11"/>
      <c r="F3" s="12"/>
      <c r="G3" s="20"/>
      <c r="H3" s="20"/>
      <c r="I3" s="9"/>
      <c r="J3" s="9"/>
      <c r="K3" s="9"/>
    </row>
    <row r="4" spans="1:11" s="13" customFormat="1" ht="29.25" thickBot="1" x14ac:dyDescent="0.3">
      <c r="A4" s="19" t="s">
        <v>47</v>
      </c>
      <c r="B4" s="10" t="s">
        <v>1</v>
      </c>
      <c r="C4" s="14">
        <v>46327</v>
      </c>
      <c r="D4" s="11"/>
      <c r="E4" s="11"/>
      <c r="F4" s="12">
        <f t="shared" ref="F4:F10" si="0">+(E4-D4)*24</f>
        <v>0</v>
      </c>
      <c r="G4" s="20"/>
      <c r="H4" s="20"/>
      <c r="I4" s="9"/>
      <c r="J4" s="9"/>
      <c r="K4" s="9"/>
    </row>
    <row r="5" spans="1:11" s="13" customFormat="1" ht="29.25" thickBot="1" x14ac:dyDescent="0.3">
      <c r="A5" s="19" t="s">
        <v>47</v>
      </c>
      <c r="B5" s="10" t="s">
        <v>1</v>
      </c>
      <c r="C5" s="14">
        <v>46327</v>
      </c>
      <c r="D5" s="11"/>
      <c r="E5" s="11"/>
      <c r="F5" s="12">
        <f t="shared" si="0"/>
        <v>0</v>
      </c>
      <c r="G5" s="20"/>
      <c r="H5" s="20"/>
      <c r="I5" s="9"/>
      <c r="J5" s="9"/>
      <c r="K5" s="9"/>
    </row>
    <row r="6" spans="1:11" s="13" customFormat="1" ht="29.25" thickBot="1" x14ac:dyDescent="0.3">
      <c r="A6" s="19" t="s">
        <v>47</v>
      </c>
      <c r="B6" s="10" t="s">
        <v>1</v>
      </c>
      <c r="C6" s="14">
        <v>46327</v>
      </c>
      <c r="D6" s="11"/>
      <c r="E6" s="11"/>
      <c r="F6" s="12">
        <f t="shared" si="0"/>
        <v>0</v>
      </c>
      <c r="G6" s="20"/>
      <c r="H6" s="20"/>
      <c r="I6" s="9"/>
      <c r="J6" s="9"/>
      <c r="K6" s="9"/>
    </row>
    <row r="7" spans="1:11" s="13" customFormat="1" ht="29.25" thickBot="1" x14ac:dyDescent="0.3">
      <c r="A7" s="19" t="s">
        <v>47</v>
      </c>
      <c r="B7" s="10" t="s">
        <v>1</v>
      </c>
      <c r="C7" s="14">
        <v>46327</v>
      </c>
      <c r="D7" s="11"/>
      <c r="E7" s="11"/>
      <c r="F7" s="12">
        <f t="shared" si="0"/>
        <v>0</v>
      </c>
      <c r="G7" s="20"/>
      <c r="H7" s="20"/>
      <c r="I7" s="9"/>
      <c r="J7" s="9"/>
      <c r="K7" s="9"/>
    </row>
    <row r="8" spans="1:11" s="13" customFormat="1" ht="13.9" customHeight="1" thickBot="1" x14ac:dyDescent="0.3">
      <c r="A8" s="19" t="s">
        <v>47</v>
      </c>
      <c r="B8" s="10" t="s">
        <v>1</v>
      </c>
      <c r="C8" s="14">
        <v>46327</v>
      </c>
      <c r="D8" s="11"/>
      <c r="E8" s="11"/>
      <c r="F8" s="12">
        <f t="shared" si="0"/>
        <v>0</v>
      </c>
      <c r="G8" s="20"/>
      <c r="H8" s="20"/>
      <c r="I8" s="9"/>
      <c r="J8" s="9"/>
      <c r="K8" s="9"/>
    </row>
    <row r="9" spans="1:11" s="13" customFormat="1" ht="29.25" thickBot="1" x14ac:dyDescent="0.3">
      <c r="A9" s="19" t="s">
        <v>47</v>
      </c>
      <c r="B9" s="10"/>
      <c r="C9" s="14">
        <v>46327</v>
      </c>
      <c r="D9" s="11"/>
      <c r="E9" s="11"/>
      <c r="F9" s="12">
        <f t="shared" si="0"/>
        <v>0</v>
      </c>
      <c r="G9" s="20"/>
      <c r="H9" s="20"/>
      <c r="I9" s="9"/>
      <c r="J9" s="9"/>
      <c r="K9" s="9"/>
    </row>
    <row r="10" spans="1:11" s="13" customFormat="1" ht="29.25" thickBot="1" x14ac:dyDescent="0.3">
      <c r="A10" s="19" t="s">
        <v>47</v>
      </c>
      <c r="B10" s="10" t="s">
        <v>1</v>
      </c>
      <c r="C10" s="14">
        <v>46327</v>
      </c>
      <c r="D10" s="11"/>
      <c r="E10" s="11"/>
      <c r="F10" s="12">
        <f t="shared" si="0"/>
        <v>0</v>
      </c>
      <c r="G10" s="20"/>
      <c r="H10" s="20"/>
      <c r="I10" s="9"/>
      <c r="J10" s="9"/>
      <c r="K10" s="9"/>
    </row>
    <row r="11" spans="1:11" s="13" customFormat="1" ht="29.25" thickBot="1" x14ac:dyDescent="0.3">
      <c r="A11" s="19" t="s">
        <v>47</v>
      </c>
      <c r="B11" s="10" t="s">
        <v>1</v>
      </c>
      <c r="C11" s="14">
        <v>46328</v>
      </c>
      <c r="D11" s="11">
        <v>0.35416666666666669</v>
      </c>
      <c r="E11" s="11">
        <v>0.6875</v>
      </c>
      <c r="F11" s="12">
        <f>+(E11-D11)*24</f>
        <v>8</v>
      </c>
      <c r="G11" s="20" t="s">
        <v>21</v>
      </c>
      <c r="H11" s="20" t="s">
        <v>30</v>
      </c>
      <c r="I11" s="9"/>
      <c r="J11" s="9" t="s">
        <v>71</v>
      </c>
      <c r="K11" s="9"/>
    </row>
    <row r="12" spans="1:11" s="13" customFormat="1" ht="29.25" thickBot="1" x14ac:dyDescent="0.3">
      <c r="A12" s="19" t="s">
        <v>47</v>
      </c>
      <c r="B12" s="10" t="s">
        <v>1</v>
      </c>
      <c r="C12" s="14">
        <v>46328</v>
      </c>
      <c r="D12" s="11"/>
      <c r="E12" s="11"/>
      <c r="F12" s="12">
        <f t="shared" ref="F12:F69" si="1">+(E12-D12)*24</f>
        <v>0</v>
      </c>
      <c r="G12" s="20"/>
      <c r="H12" s="20"/>
      <c r="I12" s="9"/>
      <c r="J12" s="9"/>
      <c r="K12" s="9"/>
    </row>
    <row r="13" spans="1:11" s="13" customFormat="1" ht="29.25" thickBot="1" x14ac:dyDescent="0.3">
      <c r="A13" s="19" t="s">
        <v>47</v>
      </c>
      <c r="B13" s="10" t="s">
        <v>1</v>
      </c>
      <c r="C13" s="14">
        <v>46328</v>
      </c>
      <c r="D13" s="11"/>
      <c r="E13" s="11"/>
      <c r="F13" s="12">
        <f t="shared" si="1"/>
        <v>0</v>
      </c>
      <c r="G13" s="20"/>
      <c r="H13" s="20"/>
      <c r="I13" s="9"/>
      <c r="J13" s="9"/>
      <c r="K13" s="9"/>
    </row>
    <row r="14" spans="1:11" s="13" customFormat="1" ht="29.25" thickBot="1" x14ac:dyDescent="0.3">
      <c r="A14" s="19" t="s">
        <v>47</v>
      </c>
      <c r="B14" s="10" t="s">
        <v>1</v>
      </c>
      <c r="C14" s="14">
        <v>46328</v>
      </c>
      <c r="D14" s="11"/>
      <c r="E14" s="11"/>
      <c r="F14" s="12">
        <f t="shared" si="1"/>
        <v>0</v>
      </c>
      <c r="G14" s="20"/>
      <c r="H14" s="20"/>
      <c r="I14" s="9"/>
      <c r="J14" s="9"/>
      <c r="K14" s="9"/>
    </row>
    <row r="15" spans="1:11" s="13" customFormat="1" ht="29.25" thickBot="1" x14ac:dyDescent="0.3">
      <c r="A15" s="19" t="s">
        <v>47</v>
      </c>
      <c r="B15" s="10" t="s">
        <v>1</v>
      </c>
      <c r="C15" s="14">
        <v>46328</v>
      </c>
      <c r="D15" s="11"/>
      <c r="E15" s="11"/>
      <c r="F15" s="12">
        <f t="shared" si="1"/>
        <v>0</v>
      </c>
      <c r="G15" s="20"/>
      <c r="H15" s="20"/>
      <c r="I15" s="9"/>
      <c r="J15" s="9"/>
      <c r="K15" s="9"/>
    </row>
    <row r="16" spans="1:11" s="13" customFormat="1" ht="29.25" thickBot="1" x14ac:dyDescent="0.3">
      <c r="A16" s="19" t="s">
        <v>47</v>
      </c>
      <c r="B16" s="10" t="s">
        <v>1</v>
      </c>
      <c r="C16" s="14">
        <v>46328</v>
      </c>
      <c r="D16" s="11"/>
      <c r="E16" s="11"/>
      <c r="F16" s="12">
        <f t="shared" si="1"/>
        <v>0</v>
      </c>
      <c r="G16" s="20"/>
      <c r="H16" s="20"/>
      <c r="I16" s="9"/>
      <c r="J16" s="9"/>
      <c r="K16" s="9"/>
    </row>
    <row r="17" spans="1:11" s="13" customFormat="1" ht="29.25" thickBot="1" x14ac:dyDescent="0.3">
      <c r="A17" s="19" t="s">
        <v>47</v>
      </c>
      <c r="B17" s="10" t="s">
        <v>1</v>
      </c>
      <c r="C17" s="14">
        <v>46328</v>
      </c>
      <c r="D17" s="11"/>
      <c r="E17" s="11"/>
      <c r="F17" s="12">
        <f t="shared" si="1"/>
        <v>0</v>
      </c>
      <c r="G17" s="20"/>
      <c r="H17" s="20"/>
      <c r="I17" s="9"/>
      <c r="J17" s="9"/>
      <c r="K17" s="9"/>
    </row>
    <row r="18" spans="1:11" s="13" customFormat="1" ht="15.75" customHeight="1" thickBot="1" x14ac:dyDescent="0.3">
      <c r="A18" s="19" t="s">
        <v>47</v>
      </c>
      <c r="B18" s="10" t="s">
        <v>1</v>
      </c>
      <c r="C18" s="14">
        <v>46328</v>
      </c>
      <c r="D18" s="11"/>
      <c r="E18" s="11"/>
      <c r="F18" s="12">
        <f t="shared" si="1"/>
        <v>0</v>
      </c>
      <c r="G18" s="20"/>
      <c r="H18" s="20"/>
      <c r="I18" s="9"/>
      <c r="J18" s="9"/>
      <c r="K18" s="9"/>
    </row>
    <row r="19" spans="1:11" s="13" customFormat="1" ht="29.25" thickBot="1" x14ac:dyDescent="0.3">
      <c r="A19" s="19" t="s">
        <v>47</v>
      </c>
      <c r="B19" s="10" t="s">
        <v>1</v>
      </c>
      <c r="C19" s="14">
        <v>46328</v>
      </c>
      <c r="D19" s="11"/>
      <c r="E19" s="11"/>
      <c r="F19" s="12">
        <f t="shared" si="1"/>
        <v>0</v>
      </c>
      <c r="G19" s="20"/>
      <c r="H19" s="20"/>
      <c r="I19" s="9"/>
      <c r="J19" s="9"/>
      <c r="K19" s="9"/>
    </row>
    <row r="20" spans="1:11" s="13" customFormat="1" ht="29.25" thickBot="1" x14ac:dyDescent="0.3">
      <c r="A20" s="19" t="s">
        <v>47</v>
      </c>
      <c r="B20" s="10" t="s">
        <v>1</v>
      </c>
      <c r="C20" s="14">
        <v>46329</v>
      </c>
      <c r="D20" s="11"/>
      <c r="E20" s="11"/>
      <c r="F20" s="12">
        <f t="shared" si="1"/>
        <v>0</v>
      </c>
      <c r="G20" s="20"/>
      <c r="H20" s="20"/>
      <c r="I20" s="9"/>
      <c r="J20" s="9"/>
      <c r="K20" s="9"/>
    </row>
    <row r="21" spans="1:11" s="13" customFormat="1" ht="29.25" thickBot="1" x14ac:dyDescent="0.3">
      <c r="A21" s="19" t="s">
        <v>47</v>
      </c>
      <c r="B21" s="10" t="s">
        <v>1</v>
      </c>
      <c r="C21" s="14">
        <v>46329</v>
      </c>
      <c r="D21" s="11"/>
      <c r="E21" s="11"/>
      <c r="F21" s="12">
        <f t="shared" si="1"/>
        <v>0</v>
      </c>
      <c r="G21" s="20"/>
      <c r="H21" s="20"/>
      <c r="I21" s="9"/>
      <c r="J21" s="9"/>
      <c r="K21" s="9"/>
    </row>
    <row r="22" spans="1:11" s="13" customFormat="1" ht="29.25" thickBot="1" x14ac:dyDescent="0.3">
      <c r="A22" s="19" t="s">
        <v>47</v>
      </c>
      <c r="B22" s="10" t="s">
        <v>1</v>
      </c>
      <c r="C22" s="14">
        <v>46329</v>
      </c>
      <c r="D22" s="11"/>
      <c r="E22" s="11"/>
      <c r="F22" s="12">
        <f t="shared" si="1"/>
        <v>0</v>
      </c>
      <c r="G22" s="20"/>
      <c r="H22" s="20"/>
      <c r="I22" s="9"/>
      <c r="J22" s="9"/>
      <c r="K22" s="9"/>
    </row>
    <row r="23" spans="1:11" s="13" customFormat="1" ht="29.25" thickBot="1" x14ac:dyDescent="0.3">
      <c r="A23" s="19" t="s">
        <v>47</v>
      </c>
      <c r="B23" s="10" t="s">
        <v>1</v>
      </c>
      <c r="C23" s="14">
        <v>46329</v>
      </c>
      <c r="D23" s="11"/>
      <c r="E23" s="11"/>
      <c r="F23" s="12">
        <f t="shared" si="1"/>
        <v>0</v>
      </c>
      <c r="G23" s="20"/>
      <c r="H23" s="20"/>
      <c r="I23" s="9"/>
      <c r="J23" s="9"/>
      <c r="K23" s="9"/>
    </row>
    <row r="24" spans="1:11" s="13" customFormat="1" ht="29.25" thickBot="1" x14ac:dyDescent="0.3">
      <c r="A24" s="19" t="s">
        <v>47</v>
      </c>
      <c r="B24" s="10" t="s">
        <v>1</v>
      </c>
      <c r="C24" s="14">
        <v>46329</v>
      </c>
      <c r="D24" s="11"/>
      <c r="E24" s="11"/>
      <c r="F24" s="12">
        <f t="shared" si="1"/>
        <v>0</v>
      </c>
      <c r="G24" s="20"/>
      <c r="H24" s="20"/>
      <c r="I24" s="9"/>
      <c r="J24" s="9"/>
      <c r="K24" s="9"/>
    </row>
    <row r="25" spans="1:11" s="13" customFormat="1" ht="29.25" thickBot="1" x14ac:dyDescent="0.3">
      <c r="A25" s="19" t="s">
        <v>47</v>
      </c>
      <c r="B25" s="10" t="s">
        <v>1</v>
      </c>
      <c r="C25" s="14">
        <v>46329</v>
      </c>
      <c r="D25" s="11"/>
      <c r="E25" s="11"/>
      <c r="F25" s="12">
        <f t="shared" si="1"/>
        <v>0</v>
      </c>
      <c r="G25" s="20"/>
      <c r="H25" s="20"/>
      <c r="I25" s="9"/>
      <c r="J25" s="9"/>
      <c r="K25" s="9"/>
    </row>
    <row r="26" spans="1:11" s="13" customFormat="1" ht="29.25" thickBot="1" x14ac:dyDescent="0.3">
      <c r="A26" s="19" t="s">
        <v>47</v>
      </c>
      <c r="B26" s="10" t="s">
        <v>1</v>
      </c>
      <c r="C26" s="14">
        <v>46329</v>
      </c>
      <c r="D26" s="11"/>
      <c r="E26" s="11"/>
      <c r="F26" s="12">
        <f t="shared" si="1"/>
        <v>0</v>
      </c>
      <c r="G26" s="20"/>
      <c r="H26" s="20"/>
      <c r="I26" s="9"/>
      <c r="J26" s="9"/>
      <c r="K26" s="9"/>
    </row>
    <row r="27" spans="1:11" s="13" customFormat="1" ht="29.25" thickBot="1" x14ac:dyDescent="0.3">
      <c r="A27" s="19" t="s">
        <v>47</v>
      </c>
      <c r="B27" s="10" t="s">
        <v>1</v>
      </c>
      <c r="C27" s="14">
        <v>46329</v>
      </c>
      <c r="D27" s="11"/>
      <c r="E27" s="11"/>
      <c r="F27" s="12">
        <f t="shared" si="1"/>
        <v>0</v>
      </c>
      <c r="G27" s="20"/>
      <c r="H27" s="20"/>
      <c r="I27" s="9"/>
      <c r="J27" s="9"/>
      <c r="K27" s="9"/>
    </row>
    <row r="28" spans="1:11" s="13" customFormat="1" ht="29.25" thickBot="1" x14ac:dyDescent="0.3">
      <c r="A28" s="19" t="s">
        <v>47</v>
      </c>
      <c r="B28" s="10" t="s">
        <v>1</v>
      </c>
      <c r="C28" s="14">
        <v>46329</v>
      </c>
      <c r="D28" s="11"/>
      <c r="E28" s="11"/>
      <c r="F28" s="12">
        <f t="shared" si="1"/>
        <v>0</v>
      </c>
      <c r="G28" s="20"/>
      <c r="H28" s="20"/>
      <c r="I28" s="9"/>
      <c r="J28" s="9"/>
      <c r="K28" s="9"/>
    </row>
    <row r="29" spans="1:11" s="13" customFormat="1" ht="29.25" thickBot="1" x14ac:dyDescent="0.3">
      <c r="A29" s="19" t="s">
        <v>47</v>
      </c>
      <c r="B29" s="10" t="s">
        <v>1</v>
      </c>
      <c r="C29" s="14">
        <v>46330</v>
      </c>
      <c r="D29" s="11"/>
      <c r="E29" s="11"/>
      <c r="F29" s="12">
        <f t="shared" si="1"/>
        <v>0</v>
      </c>
      <c r="G29" s="20"/>
      <c r="H29" s="20"/>
      <c r="I29" s="9"/>
      <c r="J29" s="9"/>
      <c r="K29" s="9"/>
    </row>
    <row r="30" spans="1:11" s="13" customFormat="1" ht="29.25" thickBot="1" x14ac:dyDescent="0.3">
      <c r="A30" s="19" t="s">
        <v>47</v>
      </c>
      <c r="B30" s="10" t="s">
        <v>1</v>
      </c>
      <c r="C30" s="14">
        <v>46330</v>
      </c>
      <c r="D30" s="11"/>
      <c r="E30" s="11"/>
      <c r="F30" s="12">
        <f t="shared" si="1"/>
        <v>0</v>
      </c>
      <c r="G30" s="20"/>
      <c r="H30" s="20"/>
      <c r="I30" s="9"/>
      <c r="J30" s="9"/>
      <c r="K30" s="9"/>
    </row>
    <row r="31" spans="1:11" s="13" customFormat="1" ht="29.25" thickBot="1" x14ac:dyDescent="0.3">
      <c r="A31" s="19" t="s">
        <v>47</v>
      </c>
      <c r="B31" s="10" t="s">
        <v>1</v>
      </c>
      <c r="C31" s="14">
        <v>46330</v>
      </c>
      <c r="D31" s="11"/>
      <c r="E31" s="11"/>
      <c r="F31" s="12">
        <f t="shared" si="1"/>
        <v>0</v>
      </c>
      <c r="G31" s="20"/>
      <c r="H31" s="20"/>
      <c r="I31" s="9"/>
      <c r="J31" s="9"/>
      <c r="K31" s="9"/>
    </row>
    <row r="32" spans="1:11" s="13" customFormat="1" ht="29.25" thickBot="1" x14ac:dyDescent="0.3">
      <c r="A32" s="19" t="s">
        <v>47</v>
      </c>
      <c r="B32" s="10" t="s">
        <v>1</v>
      </c>
      <c r="C32" s="14">
        <v>46330</v>
      </c>
      <c r="D32" s="11"/>
      <c r="E32" s="11"/>
      <c r="F32" s="12">
        <f t="shared" si="1"/>
        <v>0</v>
      </c>
      <c r="G32" s="20"/>
      <c r="H32" s="20"/>
      <c r="I32" s="9"/>
      <c r="J32" s="9"/>
      <c r="K32" s="9"/>
    </row>
    <row r="33" spans="1:11" s="13" customFormat="1" ht="29.25" thickBot="1" x14ac:dyDescent="0.3">
      <c r="A33" s="19" t="s">
        <v>47</v>
      </c>
      <c r="B33" s="10" t="s">
        <v>1</v>
      </c>
      <c r="C33" s="14">
        <v>46330</v>
      </c>
      <c r="D33" s="11"/>
      <c r="E33" s="11"/>
      <c r="F33" s="12">
        <f t="shared" si="1"/>
        <v>0</v>
      </c>
      <c r="G33" s="20"/>
      <c r="H33" s="20"/>
      <c r="I33" s="9"/>
      <c r="J33" s="9"/>
      <c r="K33" s="9"/>
    </row>
    <row r="34" spans="1:11" s="13" customFormat="1" ht="29.25" thickBot="1" x14ac:dyDescent="0.3">
      <c r="A34" s="19" t="s">
        <v>47</v>
      </c>
      <c r="B34" s="10" t="s">
        <v>1</v>
      </c>
      <c r="C34" s="14">
        <v>46330</v>
      </c>
      <c r="D34" s="11"/>
      <c r="E34" s="11"/>
      <c r="F34" s="12">
        <f t="shared" si="1"/>
        <v>0</v>
      </c>
      <c r="G34" s="20"/>
      <c r="H34" s="20"/>
      <c r="I34" s="9"/>
      <c r="J34" s="9"/>
      <c r="K34" s="9"/>
    </row>
    <row r="35" spans="1:11" s="13" customFormat="1" ht="29.25" thickBot="1" x14ac:dyDescent="0.3">
      <c r="A35" s="19" t="s">
        <v>47</v>
      </c>
      <c r="B35" s="10" t="s">
        <v>1</v>
      </c>
      <c r="C35" s="14">
        <v>46330</v>
      </c>
      <c r="D35" s="11"/>
      <c r="E35" s="11"/>
      <c r="F35" s="12">
        <f t="shared" si="1"/>
        <v>0</v>
      </c>
      <c r="G35" s="20"/>
      <c r="H35" s="20"/>
      <c r="I35" s="9"/>
      <c r="J35" s="9"/>
      <c r="K35" s="9"/>
    </row>
    <row r="36" spans="1:11" s="13" customFormat="1" ht="29.25" thickBot="1" x14ac:dyDescent="0.3">
      <c r="A36" s="19" t="s">
        <v>47</v>
      </c>
      <c r="B36" s="10" t="s">
        <v>1</v>
      </c>
      <c r="C36" s="14">
        <v>46330</v>
      </c>
      <c r="D36" s="11"/>
      <c r="E36" s="11"/>
      <c r="F36" s="12">
        <f t="shared" si="1"/>
        <v>0</v>
      </c>
      <c r="G36" s="20"/>
      <c r="H36" s="20"/>
      <c r="I36" s="9"/>
      <c r="J36" s="9"/>
      <c r="K36" s="9"/>
    </row>
    <row r="37" spans="1:11" s="13" customFormat="1" ht="29.25" thickBot="1" x14ac:dyDescent="0.3">
      <c r="A37" s="19" t="s">
        <v>47</v>
      </c>
      <c r="B37" s="10" t="s">
        <v>1</v>
      </c>
      <c r="C37" s="14">
        <v>46330</v>
      </c>
      <c r="D37" s="11"/>
      <c r="E37" s="11"/>
      <c r="F37" s="12">
        <f t="shared" si="1"/>
        <v>0</v>
      </c>
      <c r="G37" s="20"/>
      <c r="H37" s="20"/>
      <c r="I37" s="9"/>
      <c r="J37" s="9"/>
      <c r="K37" s="9"/>
    </row>
    <row r="38" spans="1:11" s="13" customFormat="1" ht="29.25" thickBot="1" x14ac:dyDescent="0.3">
      <c r="A38" s="19" t="s">
        <v>47</v>
      </c>
      <c r="B38" s="10" t="s">
        <v>1</v>
      </c>
      <c r="C38" s="14">
        <v>46331</v>
      </c>
      <c r="D38" s="11"/>
      <c r="E38" s="11"/>
      <c r="F38" s="12">
        <f t="shared" si="1"/>
        <v>0</v>
      </c>
      <c r="G38" s="20"/>
      <c r="H38" s="20"/>
      <c r="I38" s="9"/>
      <c r="J38" s="9"/>
      <c r="K38" s="9"/>
    </row>
    <row r="39" spans="1:11" s="13" customFormat="1" ht="29.25" thickBot="1" x14ac:dyDescent="0.3">
      <c r="A39" s="19" t="s">
        <v>47</v>
      </c>
      <c r="B39" s="10" t="s">
        <v>1</v>
      </c>
      <c r="C39" s="14">
        <v>46331</v>
      </c>
      <c r="D39" s="11"/>
      <c r="E39" s="11"/>
      <c r="F39" s="12">
        <f t="shared" si="1"/>
        <v>0</v>
      </c>
      <c r="G39" s="20"/>
      <c r="H39" s="20"/>
      <c r="I39" s="9"/>
      <c r="J39" s="9"/>
      <c r="K39" s="9"/>
    </row>
    <row r="40" spans="1:11" s="13" customFormat="1" ht="29.25" thickBot="1" x14ac:dyDescent="0.3">
      <c r="A40" s="19" t="s">
        <v>47</v>
      </c>
      <c r="B40" s="10" t="s">
        <v>1</v>
      </c>
      <c r="C40" s="14">
        <v>46331</v>
      </c>
      <c r="D40" s="11"/>
      <c r="E40" s="11"/>
      <c r="F40" s="12">
        <f t="shared" si="1"/>
        <v>0</v>
      </c>
      <c r="G40" s="20"/>
      <c r="H40" s="20"/>
      <c r="I40" s="9"/>
      <c r="J40" s="9"/>
      <c r="K40" s="9"/>
    </row>
    <row r="41" spans="1:11" s="13" customFormat="1" ht="29.25" thickBot="1" x14ac:dyDescent="0.3">
      <c r="A41" s="19" t="s">
        <v>47</v>
      </c>
      <c r="B41" s="10" t="s">
        <v>1</v>
      </c>
      <c r="C41" s="14">
        <v>46331</v>
      </c>
      <c r="D41" s="11"/>
      <c r="E41" s="11"/>
      <c r="F41" s="12">
        <f t="shared" si="1"/>
        <v>0</v>
      </c>
      <c r="G41" s="20"/>
      <c r="H41" s="20"/>
      <c r="I41" s="9"/>
      <c r="J41" s="9"/>
      <c r="K41" s="9"/>
    </row>
    <row r="42" spans="1:11" s="13" customFormat="1" ht="29.25" thickBot="1" x14ac:dyDescent="0.3">
      <c r="A42" s="19" t="s">
        <v>47</v>
      </c>
      <c r="B42" s="10" t="s">
        <v>1</v>
      </c>
      <c r="C42" s="14">
        <v>46331</v>
      </c>
      <c r="D42" s="11"/>
      <c r="E42" s="11"/>
      <c r="F42" s="12">
        <f t="shared" si="1"/>
        <v>0</v>
      </c>
      <c r="G42" s="20"/>
      <c r="H42" s="20"/>
      <c r="I42" s="9"/>
      <c r="J42" s="9"/>
      <c r="K42" s="9"/>
    </row>
    <row r="43" spans="1:11" s="13" customFormat="1" ht="29.25" thickBot="1" x14ac:dyDescent="0.3">
      <c r="A43" s="19" t="s">
        <v>47</v>
      </c>
      <c r="B43" s="10" t="s">
        <v>1</v>
      </c>
      <c r="C43" s="14">
        <v>46331</v>
      </c>
      <c r="D43" s="11"/>
      <c r="E43" s="11"/>
      <c r="F43" s="12">
        <f t="shared" si="1"/>
        <v>0</v>
      </c>
      <c r="G43" s="20"/>
      <c r="H43" s="20"/>
      <c r="I43" s="9"/>
      <c r="J43" s="9"/>
      <c r="K43" s="9"/>
    </row>
    <row r="44" spans="1:11" s="13" customFormat="1" ht="29.25" thickBot="1" x14ac:dyDescent="0.3">
      <c r="A44" s="19" t="s">
        <v>47</v>
      </c>
      <c r="B44" s="10" t="s">
        <v>1</v>
      </c>
      <c r="C44" s="14">
        <v>46331</v>
      </c>
      <c r="D44" s="11"/>
      <c r="E44" s="11"/>
      <c r="F44" s="12">
        <f t="shared" si="1"/>
        <v>0</v>
      </c>
      <c r="G44" s="20"/>
      <c r="H44" s="20"/>
      <c r="I44" s="9"/>
      <c r="J44" s="9"/>
      <c r="K44" s="9"/>
    </row>
    <row r="45" spans="1:11" s="13" customFormat="1" ht="29.25" thickBot="1" x14ac:dyDescent="0.3">
      <c r="A45" s="19" t="s">
        <v>47</v>
      </c>
      <c r="B45" s="10" t="s">
        <v>1</v>
      </c>
      <c r="C45" s="14">
        <v>46331</v>
      </c>
      <c r="D45" s="11"/>
      <c r="E45" s="11"/>
      <c r="F45" s="12">
        <f t="shared" si="1"/>
        <v>0</v>
      </c>
      <c r="G45" s="20"/>
      <c r="H45" s="20"/>
      <c r="I45" s="9"/>
      <c r="J45" s="9"/>
      <c r="K45" s="9"/>
    </row>
    <row r="46" spans="1:11" s="13" customFormat="1" ht="29.25" thickBot="1" x14ac:dyDescent="0.3">
      <c r="A46" s="19" t="s">
        <v>47</v>
      </c>
      <c r="B46" s="10" t="s">
        <v>1</v>
      </c>
      <c r="C46" s="14">
        <v>46331</v>
      </c>
      <c r="D46" s="11"/>
      <c r="E46" s="11"/>
      <c r="F46" s="12">
        <f t="shared" si="1"/>
        <v>0</v>
      </c>
      <c r="G46" s="20"/>
      <c r="H46" s="20"/>
      <c r="I46" s="9"/>
      <c r="J46" s="9"/>
      <c r="K46" s="9"/>
    </row>
    <row r="47" spans="1:11" s="13" customFormat="1" ht="29.25" thickBot="1" x14ac:dyDescent="0.3">
      <c r="A47" s="19" t="s">
        <v>47</v>
      </c>
      <c r="B47" s="10" t="s">
        <v>1</v>
      </c>
      <c r="C47" s="14">
        <v>46332</v>
      </c>
      <c r="D47" s="11"/>
      <c r="E47" s="11"/>
      <c r="F47" s="12">
        <f t="shared" si="1"/>
        <v>0</v>
      </c>
      <c r="G47" s="20"/>
      <c r="H47" s="20"/>
      <c r="I47" s="9"/>
      <c r="J47" s="9"/>
      <c r="K47" s="9"/>
    </row>
    <row r="48" spans="1:11" s="13" customFormat="1" ht="29.25" thickBot="1" x14ac:dyDescent="0.3">
      <c r="A48" s="19" t="s">
        <v>47</v>
      </c>
      <c r="B48" s="10" t="s">
        <v>1</v>
      </c>
      <c r="C48" s="14">
        <v>46332</v>
      </c>
      <c r="D48" s="11"/>
      <c r="E48" s="11"/>
      <c r="F48" s="12">
        <f t="shared" si="1"/>
        <v>0</v>
      </c>
      <c r="G48" s="20"/>
      <c r="H48" s="20"/>
      <c r="I48" s="9"/>
      <c r="J48" s="9"/>
      <c r="K48" s="9"/>
    </row>
    <row r="49" spans="1:11" s="13" customFormat="1" ht="13.9" customHeight="1" thickBot="1" x14ac:dyDescent="0.3">
      <c r="A49" s="19" t="s">
        <v>47</v>
      </c>
      <c r="B49" s="10" t="s">
        <v>1</v>
      </c>
      <c r="C49" s="14">
        <v>46332</v>
      </c>
      <c r="D49" s="11"/>
      <c r="E49" s="11"/>
      <c r="F49" s="12">
        <f t="shared" si="1"/>
        <v>0</v>
      </c>
      <c r="G49" s="20"/>
      <c r="H49" s="20"/>
      <c r="I49" s="9"/>
      <c r="J49" s="9"/>
      <c r="K49" s="9"/>
    </row>
    <row r="50" spans="1:11" s="13" customFormat="1" ht="29.25" thickBot="1" x14ac:dyDescent="0.3">
      <c r="A50" s="19" t="s">
        <v>47</v>
      </c>
      <c r="B50" s="10" t="s">
        <v>1</v>
      </c>
      <c r="C50" s="14">
        <v>46332</v>
      </c>
      <c r="D50" s="11"/>
      <c r="E50" s="11"/>
      <c r="F50" s="12">
        <f t="shared" si="1"/>
        <v>0</v>
      </c>
      <c r="G50" s="20"/>
      <c r="H50" s="20"/>
      <c r="I50" s="9"/>
      <c r="J50" s="9"/>
      <c r="K50" s="9"/>
    </row>
    <row r="51" spans="1:11" s="13" customFormat="1" ht="29.25" thickBot="1" x14ac:dyDescent="0.3">
      <c r="A51" s="19" t="s">
        <v>47</v>
      </c>
      <c r="B51" s="10" t="s">
        <v>1</v>
      </c>
      <c r="C51" s="14">
        <v>46332</v>
      </c>
      <c r="D51" s="11"/>
      <c r="E51" s="11"/>
      <c r="F51" s="12">
        <f t="shared" si="1"/>
        <v>0</v>
      </c>
      <c r="G51" s="20"/>
      <c r="H51" s="20"/>
      <c r="I51" s="9"/>
      <c r="J51" s="9"/>
      <c r="K51" s="9"/>
    </row>
    <row r="52" spans="1:11" s="13" customFormat="1" ht="29.25" thickBot="1" x14ac:dyDescent="0.3">
      <c r="A52" s="19" t="s">
        <v>47</v>
      </c>
      <c r="B52" s="10" t="s">
        <v>1</v>
      </c>
      <c r="C52" s="14">
        <v>46332</v>
      </c>
      <c r="D52" s="11"/>
      <c r="E52" s="11"/>
      <c r="F52" s="12">
        <f t="shared" si="1"/>
        <v>0</v>
      </c>
      <c r="G52" s="20"/>
      <c r="H52" s="20"/>
      <c r="I52" s="9"/>
      <c r="J52" s="9"/>
      <c r="K52" s="9"/>
    </row>
    <row r="53" spans="1:11" s="13" customFormat="1" ht="29.25" thickBot="1" x14ac:dyDescent="0.3">
      <c r="A53" s="19" t="s">
        <v>47</v>
      </c>
      <c r="B53" s="10"/>
      <c r="C53" s="14">
        <v>46332</v>
      </c>
      <c r="D53" s="11"/>
      <c r="E53" s="11"/>
      <c r="F53" s="12">
        <f t="shared" si="1"/>
        <v>0</v>
      </c>
      <c r="G53" s="20"/>
      <c r="H53" s="20"/>
      <c r="I53" s="9"/>
      <c r="J53" s="9"/>
      <c r="K53" s="9"/>
    </row>
    <row r="54" spans="1:11" s="13" customFormat="1" ht="29.25" thickBot="1" x14ac:dyDescent="0.3">
      <c r="A54" s="19" t="s">
        <v>47</v>
      </c>
      <c r="B54" s="10"/>
      <c r="C54" s="14">
        <v>46332</v>
      </c>
      <c r="D54" s="11"/>
      <c r="E54" s="11"/>
      <c r="F54" s="12">
        <f t="shared" si="1"/>
        <v>0</v>
      </c>
      <c r="G54" s="20"/>
      <c r="H54" s="20"/>
      <c r="I54" s="9"/>
      <c r="J54" s="9"/>
      <c r="K54" s="9"/>
    </row>
    <row r="55" spans="1:11" s="13" customFormat="1" ht="29.25" thickBot="1" x14ac:dyDescent="0.3">
      <c r="A55" s="19" t="s">
        <v>47</v>
      </c>
      <c r="B55" s="10"/>
      <c r="C55" s="14">
        <v>46332</v>
      </c>
      <c r="D55" s="11"/>
      <c r="E55" s="11"/>
      <c r="F55" s="12">
        <f t="shared" si="1"/>
        <v>0</v>
      </c>
      <c r="G55" s="20"/>
      <c r="H55" s="20"/>
      <c r="I55" s="9"/>
      <c r="J55" s="9"/>
      <c r="K55" s="9"/>
    </row>
    <row r="56" spans="1:11" s="13" customFormat="1" ht="29.25" thickBot="1" x14ac:dyDescent="0.3">
      <c r="A56" s="19" t="s">
        <v>47</v>
      </c>
      <c r="B56" s="10"/>
      <c r="C56" s="14">
        <v>46333</v>
      </c>
      <c r="D56" s="11">
        <v>0.35416666666666669</v>
      </c>
      <c r="E56" s="11">
        <v>0.6875</v>
      </c>
      <c r="F56" s="12">
        <f>+(E56-D56)*24</f>
        <v>8</v>
      </c>
      <c r="G56" s="20" t="s">
        <v>21</v>
      </c>
      <c r="H56" s="20" t="s">
        <v>30</v>
      </c>
      <c r="I56" s="9"/>
      <c r="J56" s="9" t="s">
        <v>71</v>
      </c>
      <c r="K56" s="9"/>
    </row>
    <row r="57" spans="1:11" s="13" customFormat="1" ht="29.25" thickBot="1" x14ac:dyDescent="0.3">
      <c r="A57" s="19" t="s">
        <v>47</v>
      </c>
      <c r="B57" s="10"/>
      <c r="C57" s="14">
        <v>46333</v>
      </c>
      <c r="D57" s="11"/>
      <c r="E57" s="11"/>
      <c r="F57" s="12"/>
      <c r="G57" s="20"/>
      <c r="H57" s="20"/>
      <c r="I57" s="9"/>
      <c r="J57" s="9"/>
      <c r="K57" s="9"/>
    </row>
    <row r="58" spans="1:11" s="13" customFormat="1" ht="29.25" thickBot="1" x14ac:dyDescent="0.3">
      <c r="A58" s="19" t="s">
        <v>47</v>
      </c>
      <c r="B58" s="10"/>
      <c r="C58" s="14">
        <v>46333</v>
      </c>
      <c r="D58" s="11"/>
      <c r="E58" s="11"/>
      <c r="F58" s="12">
        <f t="shared" ref="F58:F64" si="2">+(E58-D58)*24</f>
        <v>0</v>
      </c>
      <c r="G58" s="20"/>
      <c r="H58" s="20"/>
      <c r="I58" s="9"/>
      <c r="J58" s="9"/>
      <c r="K58" s="9"/>
    </row>
    <row r="59" spans="1:11" s="13" customFormat="1" ht="29.25" thickBot="1" x14ac:dyDescent="0.3">
      <c r="A59" s="19" t="s">
        <v>47</v>
      </c>
      <c r="B59" s="10"/>
      <c r="C59" s="14">
        <v>46333</v>
      </c>
      <c r="D59" s="11"/>
      <c r="E59" s="11"/>
      <c r="F59" s="12">
        <f t="shared" si="2"/>
        <v>0</v>
      </c>
      <c r="G59" s="20"/>
      <c r="H59" s="20"/>
      <c r="I59" s="9"/>
      <c r="J59" s="9"/>
      <c r="K59" s="9"/>
    </row>
    <row r="60" spans="1:11" s="13" customFormat="1" ht="29.25" thickBot="1" x14ac:dyDescent="0.3">
      <c r="A60" s="19" t="s">
        <v>47</v>
      </c>
      <c r="B60" s="10"/>
      <c r="C60" s="14">
        <v>46333</v>
      </c>
      <c r="D60" s="11"/>
      <c r="E60" s="11"/>
      <c r="F60" s="12">
        <f t="shared" si="2"/>
        <v>0</v>
      </c>
      <c r="G60" s="20"/>
      <c r="H60" s="20"/>
      <c r="I60" s="9"/>
      <c r="J60" s="9"/>
      <c r="K60" s="9"/>
    </row>
    <row r="61" spans="1:11" s="13" customFormat="1" ht="29.25" thickBot="1" x14ac:dyDescent="0.3">
      <c r="A61" s="19" t="s">
        <v>47</v>
      </c>
      <c r="B61" s="10"/>
      <c r="C61" s="14">
        <v>46333</v>
      </c>
      <c r="D61" s="11"/>
      <c r="E61" s="11"/>
      <c r="F61" s="12">
        <f t="shared" si="2"/>
        <v>0</v>
      </c>
      <c r="G61" s="20"/>
      <c r="H61" s="20"/>
      <c r="I61" s="9"/>
      <c r="J61" s="9"/>
      <c r="K61" s="9"/>
    </row>
    <row r="62" spans="1:11" s="13" customFormat="1" ht="29.25" thickBot="1" x14ac:dyDescent="0.3">
      <c r="A62" s="19" t="s">
        <v>47</v>
      </c>
      <c r="B62" s="10"/>
      <c r="C62" s="14">
        <v>46333</v>
      </c>
      <c r="D62" s="11"/>
      <c r="E62" s="11"/>
      <c r="F62" s="12">
        <f t="shared" si="2"/>
        <v>0</v>
      </c>
      <c r="G62" s="20"/>
      <c r="H62" s="20"/>
      <c r="I62" s="9"/>
      <c r="J62" s="9"/>
      <c r="K62" s="9"/>
    </row>
    <row r="63" spans="1:11" s="13" customFormat="1" ht="29.25" thickBot="1" x14ac:dyDescent="0.3">
      <c r="A63" s="19" t="s">
        <v>47</v>
      </c>
      <c r="B63" s="10"/>
      <c r="C63" s="14">
        <v>46333</v>
      </c>
      <c r="D63" s="11"/>
      <c r="E63" s="11"/>
      <c r="F63" s="12">
        <f t="shared" si="2"/>
        <v>0</v>
      </c>
      <c r="G63" s="20"/>
      <c r="H63" s="20"/>
      <c r="I63" s="9"/>
      <c r="J63" s="9"/>
      <c r="K63" s="9"/>
    </row>
    <row r="64" spans="1:11" s="13" customFormat="1" ht="29.25" thickBot="1" x14ac:dyDescent="0.3">
      <c r="A64" s="19" t="s">
        <v>47</v>
      </c>
      <c r="B64" s="10"/>
      <c r="C64" s="14">
        <v>46333</v>
      </c>
      <c r="D64" s="11"/>
      <c r="E64" s="11"/>
      <c r="F64" s="12">
        <f t="shared" si="2"/>
        <v>0</v>
      </c>
      <c r="G64" s="20"/>
      <c r="H64" s="20"/>
      <c r="I64" s="9"/>
      <c r="J64" s="9"/>
      <c r="K64" s="9"/>
    </row>
    <row r="65" spans="1:11" s="13" customFormat="1" ht="29.25" thickBot="1" x14ac:dyDescent="0.3">
      <c r="A65" s="19" t="s">
        <v>47</v>
      </c>
      <c r="B65" s="10"/>
      <c r="C65" s="14">
        <v>46334</v>
      </c>
      <c r="D65" s="11">
        <v>0.35416666666666669</v>
      </c>
      <c r="E65" s="11">
        <v>0.6875</v>
      </c>
      <c r="F65" s="12">
        <f>+(E65-D65)*24</f>
        <v>8</v>
      </c>
      <c r="G65" s="20" t="s">
        <v>21</v>
      </c>
      <c r="H65" s="20" t="s">
        <v>30</v>
      </c>
      <c r="I65" s="9"/>
      <c r="J65" s="9" t="s">
        <v>71</v>
      </c>
      <c r="K65" s="9"/>
    </row>
    <row r="66" spans="1:11" s="13" customFormat="1" ht="29.25" thickBot="1" x14ac:dyDescent="0.3">
      <c r="A66" s="19" t="s">
        <v>47</v>
      </c>
      <c r="B66" s="10"/>
      <c r="C66" s="14">
        <v>46334</v>
      </c>
      <c r="D66" s="11"/>
      <c r="E66" s="11"/>
      <c r="F66" s="12">
        <f t="shared" si="1"/>
        <v>0</v>
      </c>
      <c r="G66" s="20"/>
      <c r="H66" s="20"/>
      <c r="I66" s="9"/>
      <c r="J66" s="9"/>
      <c r="K66" s="9"/>
    </row>
    <row r="67" spans="1:11" s="13" customFormat="1" ht="29.25" thickBot="1" x14ac:dyDescent="0.3">
      <c r="A67" s="19" t="s">
        <v>47</v>
      </c>
      <c r="B67" s="10"/>
      <c r="C67" s="14">
        <v>46334</v>
      </c>
      <c r="D67" s="11"/>
      <c r="E67" s="11"/>
      <c r="F67" s="12">
        <f t="shared" si="1"/>
        <v>0</v>
      </c>
      <c r="G67" s="20"/>
      <c r="H67" s="20"/>
      <c r="I67" s="9"/>
      <c r="J67" s="9"/>
      <c r="K67" s="9"/>
    </row>
    <row r="68" spans="1:11" s="13" customFormat="1" ht="29.25" thickBot="1" x14ac:dyDescent="0.3">
      <c r="A68" s="19" t="s">
        <v>47</v>
      </c>
      <c r="B68" s="10"/>
      <c r="C68" s="14">
        <v>46334</v>
      </c>
      <c r="D68" s="11"/>
      <c r="E68" s="11"/>
      <c r="F68" s="12">
        <f t="shared" si="1"/>
        <v>0</v>
      </c>
      <c r="G68" s="20"/>
      <c r="H68" s="20"/>
      <c r="I68" s="9"/>
      <c r="J68" s="9"/>
      <c r="K68" s="9"/>
    </row>
    <row r="69" spans="1:11" s="13" customFormat="1" ht="29.25" thickBot="1" x14ac:dyDescent="0.3">
      <c r="A69" s="19" t="s">
        <v>47</v>
      </c>
      <c r="B69" s="10"/>
      <c r="C69" s="14">
        <v>46334</v>
      </c>
      <c r="D69" s="11"/>
      <c r="E69" s="11"/>
      <c r="F69" s="12">
        <f t="shared" si="1"/>
        <v>0</v>
      </c>
      <c r="G69" s="20"/>
      <c r="H69" s="20"/>
      <c r="I69" s="9"/>
      <c r="J69" s="9"/>
      <c r="K69" s="9"/>
    </row>
    <row r="70" spans="1:11" s="13" customFormat="1" ht="29.25" thickBot="1" x14ac:dyDescent="0.3">
      <c r="A70" s="19" t="s">
        <v>47</v>
      </c>
      <c r="B70" s="10"/>
      <c r="C70" s="14">
        <v>46334</v>
      </c>
      <c r="D70" s="11"/>
      <c r="E70" s="11"/>
      <c r="F70" s="12">
        <f t="shared" ref="F70:F133" si="3">+(E70-D70)*24</f>
        <v>0</v>
      </c>
      <c r="G70" s="20"/>
      <c r="H70" s="20"/>
      <c r="I70" s="9"/>
      <c r="J70" s="9"/>
      <c r="K70" s="9"/>
    </row>
    <row r="71" spans="1:11" s="13" customFormat="1" ht="29.25" thickBot="1" x14ac:dyDescent="0.3">
      <c r="A71" s="19" t="s">
        <v>47</v>
      </c>
      <c r="B71" s="10"/>
      <c r="C71" s="14">
        <v>46334</v>
      </c>
      <c r="D71" s="11"/>
      <c r="E71" s="11"/>
      <c r="F71" s="12">
        <f t="shared" si="3"/>
        <v>0</v>
      </c>
      <c r="G71" s="20"/>
      <c r="H71" s="20"/>
      <c r="I71" s="9"/>
      <c r="J71" s="9"/>
      <c r="K71" s="9"/>
    </row>
    <row r="72" spans="1:11" s="13" customFormat="1" ht="29.25" thickBot="1" x14ac:dyDescent="0.3">
      <c r="A72" s="19" t="s">
        <v>47</v>
      </c>
      <c r="B72" s="10"/>
      <c r="C72" s="14">
        <v>46334</v>
      </c>
      <c r="D72" s="11"/>
      <c r="E72" s="11"/>
      <c r="F72" s="12">
        <f t="shared" si="3"/>
        <v>0</v>
      </c>
      <c r="G72" s="20"/>
      <c r="H72" s="20"/>
      <c r="I72" s="9"/>
      <c r="J72" s="9"/>
      <c r="K72" s="9"/>
    </row>
    <row r="73" spans="1:11" s="13" customFormat="1" ht="29.25" thickBot="1" x14ac:dyDescent="0.3">
      <c r="A73" s="19" t="s">
        <v>47</v>
      </c>
      <c r="B73" s="10"/>
      <c r="C73" s="14">
        <v>46334</v>
      </c>
      <c r="D73" s="11"/>
      <c r="E73" s="11"/>
      <c r="F73" s="12">
        <f t="shared" si="3"/>
        <v>0</v>
      </c>
      <c r="G73" s="20"/>
      <c r="H73" s="20"/>
      <c r="I73" s="9"/>
      <c r="J73" s="9"/>
      <c r="K73" s="9"/>
    </row>
    <row r="74" spans="1:11" s="13" customFormat="1" ht="29.25" thickBot="1" x14ac:dyDescent="0.3">
      <c r="A74" s="19" t="s">
        <v>47</v>
      </c>
      <c r="B74" s="10"/>
      <c r="C74" s="14">
        <v>46335</v>
      </c>
      <c r="D74" s="11"/>
      <c r="E74" s="11"/>
      <c r="F74" s="12">
        <f t="shared" si="3"/>
        <v>0</v>
      </c>
      <c r="G74" s="20"/>
      <c r="H74" s="20"/>
      <c r="I74" s="9"/>
      <c r="J74" s="9"/>
      <c r="K74" s="9"/>
    </row>
    <row r="75" spans="1:11" s="13" customFormat="1" ht="29.25" thickBot="1" x14ac:dyDescent="0.3">
      <c r="A75" s="19" t="s">
        <v>47</v>
      </c>
      <c r="B75" s="10"/>
      <c r="C75" s="14">
        <v>46335</v>
      </c>
      <c r="D75" s="11"/>
      <c r="E75" s="11"/>
      <c r="F75" s="12">
        <f t="shared" si="3"/>
        <v>0</v>
      </c>
      <c r="G75" s="20"/>
      <c r="H75" s="20"/>
      <c r="I75" s="9"/>
      <c r="J75" s="9"/>
      <c r="K75" s="9"/>
    </row>
    <row r="76" spans="1:11" s="13" customFormat="1" ht="29.25" thickBot="1" x14ac:dyDescent="0.3">
      <c r="A76" s="19" t="s">
        <v>47</v>
      </c>
      <c r="B76" s="10"/>
      <c r="C76" s="14">
        <v>46335</v>
      </c>
      <c r="D76" s="11"/>
      <c r="E76" s="11"/>
      <c r="F76" s="12">
        <f t="shared" si="3"/>
        <v>0</v>
      </c>
      <c r="G76" s="20"/>
      <c r="H76" s="20"/>
      <c r="I76" s="9"/>
      <c r="J76" s="9"/>
      <c r="K76" s="9"/>
    </row>
    <row r="77" spans="1:11" s="13" customFormat="1" ht="29.25" thickBot="1" x14ac:dyDescent="0.3">
      <c r="A77" s="19" t="s">
        <v>47</v>
      </c>
      <c r="B77" s="10"/>
      <c r="C77" s="14">
        <v>46335</v>
      </c>
      <c r="D77" s="11"/>
      <c r="E77" s="11"/>
      <c r="F77" s="12">
        <f t="shared" si="3"/>
        <v>0</v>
      </c>
      <c r="G77" s="20"/>
      <c r="H77" s="20"/>
      <c r="I77" s="9"/>
      <c r="J77" s="9"/>
      <c r="K77" s="9"/>
    </row>
    <row r="78" spans="1:11" s="13" customFormat="1" ht="29.25" thickBot="1" x14ac:dyDescent="0.3">
      <c r="A78" s="19" t="s">
        <v>47</v>
      </c>
      <c r="B78" s="10"/>
      <c r="C78" s="14">
        <v>46335</v>
      </c>
      <c r="D78" s="11"/>
      <c r="E78" s="11"/>
      <c r="F78" s="12">
        <f t="shared" si="3"/>
        <v>0</v>
      </c>
      <c r="G78" s="20"/>
      <c r="H78" s="20"/>
      <c r="I78" s="9"/>
      <c r="J78" s="9"/>
      <c r="K78" s="9"/>
    </row>
    <row r="79" spans="1:11" s="13" customFormat="1" ht="29.25" thickBot="1" x14ac:dyDescent="0.3">
      <c r="A79" s="19" t="s">
        <v>47</v>
      </c>
      <c r="B79" s="10"/>
      <c r="C79" s="14">
        <v>46335</v>
      </c>
      <c r="D79" s="11"/>
      <c r="E79" s="11"/>
      <c r="F79" s="12">
        <f t="shared" si="3"/>
        <v>0</v>
      </c>
      <c r="G79" s="20"/>
      <c r="H79" s="20"/>
      <c r="I79" s="9"/>
      <c r="J79" s="9"/>
      <c r="K79" s="9"/>
    </row>
    <row r="80" spans="1:11" s="13" customFormat="1" ht="29.25" thickBot="1" x14ac:dyDescent="0.3">
      <c r="A80" s="19" t="s">
        <v>47</v>
      </c>
      <c r="B80" s="10"/>
      <c r="C80" s="14">
        <v>46335</v>
      </c>
      <c r="D80" s="11"/>
      <c r="E80" s="11"/>
      <c r="F80" s="12">
        <f t="shared" si="3"/>
        <v>0</v>
      </c>
      <c r="G80" s="20"/>
      <c r="H80" s="20"/>
      <c r="I80" s="9"/>
      <c r="J80" s="9"/>
      <c r="K80" s="9"/>
    </row>
    <row r="81" spans="1:11" s="13" customFormat="1" ht="29.25" thickBot="1" x14ac:dyDescent="0.3">
      <c r="A81" s="19" t="s">
        <v>47</v>
      </c>
      <c r="B81" s="10"/>
      <c r="C81" s="14">
        <v>46335</v>
      </c>
      <c r="D81" s="11"/>
      <c r="E81" s="11"/>
      <c r="F81" s="12">
        <f t="shared" si="3"/>
        <v>0</v>
      </c>
      <c r="G81" s="20"/>
      <c r="H81" s="20"/>
      <c r="I81" s="9"/>
      <c r="J81" s="9"/>
      <c r="K81" s="9"/>
    </row>
    <row r="82" spans="1:11" s="13" customFormat="1" ht="29.25" thickBot="1" x14ac:dyDescent="0.3">
      <c r="A82" s="19" t="s">
        <v>47</v>
      </c>
      <c r="B82" s="10"/>
      <c r="C82" s="14">
        <v>46335</v>
      </c>
      <c r="D82" s="11"/>
      <c r="E82" s="11"/>
      <c r="F82" s="12">
        <f t="shared" si="3"/>
        <v>0</v>
      </c>
      <c r="G82" s="20"/>
      <c r="H82" s="20"/>
      <c r="I82" s="9"/>
      <c r="J82" s="9"/>
      <c r="K82" s="9"/>
    </row>
    <row r="83" spans="1:11" s="13" customFormat="1" ht="29.25" thickBot="1" x14ac:dyDescent="0.3">
      <c r="A83" s="19" t="s">
        <v>47</v>
      </c>
      <c r="B83" s="10"/>
      <c r="C83" s="14">
        <v>46336</v>
      </c>
      <c r="D83" s="11"/>
      <c r="E83" s="11"/>
      <c r="F83" s="12">
        <f t="shared" si="3"/>
        <v>0</v>
      </c>
      <c r="G83" s="20"/>
      <c r="H83" s="20"/>
      <c r="I83" s="9"/>
      <c r="J83" s="9"/>
      <c r="K83" s="9"/>
    </row>
    <row r="84" spans="1:11" s="13" customFormat="1" ht="29.25" thickBot="1" x14ac:dyDescent="0.3">
      <c r="A84" s="19" t="s">
        <v>47</v>
      </c>
      <c r="B84" s="10"/>
      <c r="C84" s="14">
        <v>46336</v>
      </c>
      <c r="D84" s="11"/>
      <c r="E84" s="11"/>
      <c r="F84" s="12">
        <f t="shared" si="3"/>
        <v>0</v>
      </c>
      <c r="G84" s="20"/>
      <c r="H84" s="20"/>
      <c r="I84" s="9"/>
      <c r="J84" s="9"/>
      <c r="K84" s="9"/>
    </row>
    <row r="85" spans="1:11" s="13" customFormat="1" ht="29.25" thickBot="1" x14ac:dyDescent="0.3">
      <c r="A85" s="19" t="s">
        <v>47</v>
      </c>
      <c r="B85" s="10"/>
      <c r="C85" s="14">
        <v>46336</v>
      </c>
      <c r="D85" s="11"/>
      <c r="E85" s="11"/>
      <c r="F85" s="12">
        <f t="shared" si="3"/>
        <v>0</v>
      </c>
      <c r="G85" s="20"/>
      <c r="H85" s="20"/>
      <c r="I85" s="9"/>
      <c r="J85" s="9"/>
      <c r="K85" s="9"/>
    </row>
    <row r="86" spans="1:11" s="13" customFormat="1" ht="29.25" thickBot="1" x14ac:dyDescent="0.3">
      <c r="A86" s="19" t="s">
        <v>47</v>
      </c>
      <c r="B86" s="10"/>
      <c r="C86" s="14">
        <v>46336</v>
      </c>
      <c r="D86" s="11"/>
      <c r="E86" s="11"/>
      <c r="F86" s="12">
        <f t="shared" si="3"/>
        <v>0</v>
      </c>
      <c r="G86" s="20"/>
      <c r="H86" s="20"/>
      <c r="I86" s="9"/>
      <c r="J86" s="9"/>
      <c r="K86" s="9"/>
    </row>
    <row r="87" spans="1:11" s="13" customFormat="1" ht="29.25" thickBot="1" x14ac:dyDescent="0.3">
      <c r="A87" s="19" t="s">
        <v>47</v>
      </c>
      <c r="B87" s="10"/>
      <c r="C87" s="14">
        <v>46336</v>
      </c>
      <c r="D87" s="11"/>
      <c r="E87" s="11"/>
      <c r="F87" s="12">
        <f t="shared" si="3"/>
        <v>0</v>
      </c>
      <c r="G87" s="20"/>
      <c r="H87" s="20"/>
      <c r="I87" s="9"/>
      <c r="J87" s="9"/>
      <c r="K87" s="9"/>
    </row>
    <row r="88" spans="1:11" s="13" customFormat="1" ht="29.25" thickBot="1" x14ac:dyDescent="0.3">
      <c r="A88" s="19" t="s">
        <v>47</v>
      </c>
      <c r="B88" s="10"/>
      <c r="C88" s="14">
        <v>46336</v>
      </c>
      <c r="D88" s="11"/>
      <c r="E88" s="11"/>
      <c r="F88" s="12">
        <f t="shared" si="3"/>
        <v>0</v>
      </c>
      <c r="G88" s="20"/>
      <c r="H88" s="20"/>
      <c r="I88" s="9"/>
      <c r="J88" s="9"/>
      <c r="K88" s="9"/>
    </row>
    <row r="89" spans="1:11" s="13" customFormat="1" ht="29.25" thickBot="1" x14ac:dyDescent="0.3">
      <c r="A89" s="19" t="s">
        <v>47</v>
      </c>
      <c r="B89" s="10"/>
      <c r="C89" s="14">
        <v>46336</v>
      </c>
      <c r="D89" s="11"/>
      <c r="E89" s="11"/>
      <c r="F89" s="12">
        <f t="shared" si="3"/>
        <v>0</v>
      </c>
      <c r="G89" s="20"/>
      <c r="H89" s="20"/>
      <c r="I89" s="9"/>
      <c r="J89" s="9"/>
      <c r="K89" s="9"/>
    </row>
    <row r="90" spans="1:11" s="13" customFormat="1" ht="29.25" thickBot="1" x14ac:dyDescent="0.3">
      <c r="A90" s="19" t="s">
        <v>47</v>
      </c>
      <c r="B90" s="10"/>
      <c r="C90" s="14">
        <v>46336</v>
      </c>
      <c r="D90" s="11"/>
      <c r="E90" s="11"/>
      <c r="F90" s="12">
        <f t="shared" si="3"/>
        <v>0</v>
      </c>
      <c r="G90" s="20"/>
      <c r="H90" s="20"/>
      <c r="I90" s="9"/>
      <c r="J90" s="9"/>
      <c r="K90" s="9"/>
    </row>
    <row r="91" spans="1:11" s="13" customFormat="1" ht="29.25" thickBot="1" x14ac:dyDescent="0.3">
      <c r="A91" s="19" t="s">
        <v>47</v>
      </c>
      <c r="B91" s="10"/>
      <c r="C91" s="14">
        <v>46336</v>
      </c>
      <c r="D91" s="11"/>
      <c r="E91" s="11"/>
      <c r="F91" s="12">
        <f t="shared" si="3"/>
        <v>0</v>
      </c>
      <c r="G91" s="20"/>
      <c r="H91" s="20"/>
      <c r="I91" s="9"/>
      <c r="J91" s="9"/>
      <c r="K91" s="9"/>
    </row>
    <row r="92" spans="1:11" s="13" customFormat="1" ht="29.25" thickBot="1" x14ac:dyDescent="0.3">
      <c r="A92" s="19" t="s">
        <v>47</v>
      </c>
      <c r="B92" s="10"/>
      <c r="C92" s="14">
        <v>46337</v>
      </c>
      <c r="D92" s="11"/>
      <c r="E92" s="11"/>
      <c r="F92" s="12">
        <f t="shared" si="3"/>
        <v>0</v>
      </c>
      <c r="G92" s="20"/>
      <c r="H92" s="20"/>
      <c r="I92" s="9"/>
      <c r="J92" s="9"/>
      <c r="K92" s="9"/>
    </row>
    <row r="93" spans="1:11" s="13" customFormat="1" ht="29.25" thickBot="1" x14ac:dyDescent="0.3">
      <c r="A93" s="19" t="s">
        <v>47</v>
      </c>
      <c r="B93" s="10"/>
      <c r="C93" s="14">
        <v>46337</v>
      </c>
      <c r="D93" s="11"/>
      <c r="E93" s="11"/>
      <c r="F93" s="12">
        <f t="shared" si="3"/>
        <v>0</v>
      </c>
      <c r="G93" s="20"/>
      <c r="H93" s="20"/>
      <c r="I93" s="9"/>
      <c r="J93" s="9"/>
      <c r="K93" s="9"/>
    </row>
    <row r="94" spans="1:11" s="13" customFormat="1" ht="29.25" thickBot="1" x14ac:dyDescent="0.3">
      <c r="A94" s="19" t="s">
        <v>47</v>
      </c>
      <c r="B94" s="10"/>
      <c r="C94" s="14">
        <v>46337</v>
      </c>
      <c r="D94" s="11"/>
      <c r="E94" s="11"/>
      <c r="F94" s="12">
        <f t="shared" si="3"/>
        <v>0</v>
      </c>
      <c r="G94" s="20"/>
      <c r="H94" s="20"/>
      <c r="I94" s="9"/>
      <c r="J94" s="9"/>
      <c r="K94" s="9"/>
    </row>
    <row r="95" spans="1:11" s="13" customFormat="1" ht="29.25" thickBot="1" x14ac:dyDescent="0.3">
      <c r="A95" s="19" t="s">
        <v>47</v>
      </c>
      <c r="B95" s="10"/>
      <c r="C95" s="14">
        <v>46337</v>
      </c>
      <c r="D95" s="11"/>
      <c r="E95" s="11"/>
      <c r="F95" s="12">
        <f t="shared" si="3"/>
        <v>0</v>
      </c>
      <c r="G95" s="20"/>
      <c r="H95" s="20"/>
      <c r="I95" s="9"/>
      <c r="J95" s="9"/>
      <c r="K95" s="9"/>
    </row>
    <row r="96" spans="1:11" s="13" customFormat="1" ht="29.25" thickBot="1" x14ac:dyDescent="0.3">
      <c r="A96" s="19" t="s">
        <v>47</v>
      </c>
      <c r="B96" s="10"/>
      <c r="C96" s="14">
        <v>46337</v>
      </c>
      <c r="D96" s="11"/>
      <c r="E96" s="11"/>
      <c r="F96" s="12">
        <f t="shared" si="3"/>
        <v>0</v>
      </c>
      <c r="G96" s="20"/>
      <c r="H96" s="20"/>
      <c r="I96" s="9"/>
      <c r="J96" s="9"/>
      <c r="K96" s="9"/>
    </row>
    <row r="97" spans="1:11" s="13" customFormat="1" ht="29.25" thickBot="1" x14ac:dyDescent="0.3">
      <c r="A97" s="19" t="s">
        <v>47</v>
      </c>
      <c r="B97" s="10"/>
      <c r="C97" s="14">
        <v>46337</v>
      </c>
      <c r="D97" s="11"/>
      <c r="E97" s="11"/>
      <c r="F97" s="12">
        <f t="shared" si="3"/>
        <v>0</v>
      </c>
      <c r="G97" s="20"/>
      <c r="H97" s="20"/>
      <c r="I97" s="9"/>
      <c r="J97" s="9"/>
      <c r="K97" s="9"/>
    </row>
    <row r="98" spans="1:11" s="13" customFormat="1" ht="29.25" thickBot="1" x14ac:dyDescent="0.3">
      <c r="A98" s="19" t="s">
        <v>47</v>
      </c>
      <c r="B98" s="10"/>
      <c r="C98" s="14">
        <v>46337</v>
      </c>
      <c r="D98" s="11"/>
      <c r="E98" s="11"/>
      <c r="F98" s="12">
        <f t="shared" si="3"/>
        <v>0</v>
      </c>
      <c r="G98" s="20"/>
      <c r="H98" s="20"/>
      <c r="I98" s="9"/>
      <c r="J98" s="9"/>
      <c r="K98" s="9"/>
    </row>
    <row r="99" spans="1:11" s="13" customFormat="1" ht="29.25" thickBot="1" x14ac:dyDescent="0.3">
      <c r="A99" s="19" t="s">
        <v>47</v>
      </c>
      <c r="B99" s="10"/>
      <c r="C99" s="14">
        <v>46337</v>
      </c>
      <c r="D99" s="11"/>
      <c r="E99" s="11"/>
      <c r="F99" s="12">
        <f t="shared" si="3"/>
        <v>0</v>
      </c>
      <c r="G99" s="20"/>
      <c r="H99" s="20"/>
      <c r="I99" s="9"/>
      <c r="J99" s="9"/>
      <c r="K99" s="9"/>
    </row>
    <row r="100" spans="1:11" s="13" customFormat="1" ht="29.25" thickBot="1" x14ac:dyDescent="0.3">
      <c r="A100" s="19" t="s">
        <v>47</v>
      </c>
      <c r="B100" s="10"/>
      <c r="C100" s="14">
        <v>46337</v>
      </c>
      <c r="D100" s="11"/>
      <c r="E100" s="11"/>
      <c r="F100" s="12">
        <f t="shared" si="3"/>
        <v>0</v>
      </c>
      <c r="G100" s="20"/>
      <c r="H100" s="20"/>
      <c r="I100" s="9"/>
      <c r="J100" s="9"/>
      <c r="K100" s="9"/>
    </row>
    <row r="101" spans="1:11" s="13" customFormat="1" ht="29.25" thickBot="1" x14ac:dyDescent="0.3">
      <c r="A101" s="19" t="s">
        <v>47</v>
      </c>
      <c r="B101" s="10"/>
      <c r="C101" s="14">
        <v>46338</v>
      </c>
      <c r="D101" s="11"/>
      <c r="E101" s="11"/>
      <c r="F101" s="12">
        <f t="shared" si="3"/>
        <v>0</v>
      </c>
      <c r="G101" s="20"/>
      <c r="H101" s="20"/>
      <c r="I101" s="9"/>
      <c r="J101" s="9"/>
      <c r="K101" s="9"/>
    </row>
    <row r="102" spans="1:11" s="13" customFormat="1" ht="29.25" thickBot="1" x14ac:dyDescent="0.3">
      <c r="A102" s="19" t="s">
        <v>47</v>
      </c>
      <c r="B102" s="10"/>
      <c r="C102" s="14">
        <v>46338</v>
      </c>
      <c r="D102" s="11"/>
      <c r="E102" s="11"/>
      <c r="F102" s="12">
        <f t="shared" si="3"/>
        <v>0</v>
      </c>
      <c r="G102" s="20"/>
      <c r="H102" s="20"/>
      <c r="I102" s="9"/>
      <c r="J102" s="9"/>
      <c r="K102" s="9"/>
    </row>
    <row r="103" spans="1:11" s="13" customFormat="1" ht="29.25" thickBot="1" x14ac:dyDescent="0.3">
      <c r="A103" s="19" t="s">
        <v>47</v>
      </c>
      <c r="B103" s="10"/>
      <c r="C103" s="14">
        <v>46338</v>
      </c>
      <c r="D103" s="11"/>
      <c r="E103" s="11"/>
      <c r="F103" s="12">
        <f t="shared" si="3"/>
        <v>0</v>
      </c>
      <c r="G103" s="20"/>
      <c r="H103" s="20"/>
      <c r="I103" s="9"/>
      <c r="J103" s="9"/>
      <c r="K103" s="9"/>
    </row>
    <row r="104" spans="1:11" s="13" customFormat="1" ht="29.25" thickBot="1" x14ac:dyDescent="0.3">
      <c r="A104" s="19" t="s">
        <v>47</v>
      </c>
      <c r="B104" s="10"/>
      <c r="C104" s="14">
        <v>46338</v>
      </c>
      <c r="D104" s="11"/>
      <c r="E104" s="11"/>
      <c r="F104" s="12">
        <f t="shared" si="3"/>
        <v>0</v>
      </c>
      <c r="G104" s="20"/>
      <c r="H104" s="20"/>
      <c r="I104" s="9"/>
      <c r="J104" s="9"/>
      <c r="K104" s="9"/>
    </row>
    <row r="105" spans="1:11" s="13" customFormat="1" ht="29.25" thickBot="1" x14ac:dyDescent="0.3">
      <c r="A105" s="19" t="s">
        <v>47</v>
      </c>
      <c r="B105" s="10"/>
      <c r="C105" s="14">
        <v>46338</v>
      </c>
      <c r="D105" s="11"/>
      <c r="E105" s="11"/>
      <c r="F105" s="12">
        <f t="shared" si="3"/>
        <v>0</v>
      </c>
      <c r="G105" s="20"/>
      <c r="H105" s="20"/>
      <c r="I105" s="9"/>
      <c r="J105" s="9"/>
      <c r="K105" s="9"/>
    </row>
    <row r="106" spans="1:11" s="13" customFormat="1" ht="29.25" thickBot="1" x14ac:dyDescent="0.3">
      <c r="A106" s="19" t="s">
        <v>47</v>
      </c>
      <c r="B106" s="10"/>
      <c r="C106" s="14">
        <v>46338</v>
      </c>
      <c r="D106" s="11"/>
      <c r="E106" s="11"/>
      <c r="F106" s="12">
        <f t="shared" si="3"/>
        <v>0</v>
      </c>
      <c r="G106" s="20"/>
      <c r="H106" s="20"/>
      <c r="I106" s="9"/>
      <c r="J106" s="9"/>
      <c r="K106" s="9"/>
    </row>
    <row r="107" spans="1:11" s="13" customFormat="1" ht="29.25" thickBot="1" x14ac:dyDescent="0.3">
      <c r="A107" s="19" t="s">
        <v>47</v>
      </c>
      <c r="B107" s="10"/>
      <c r="C107" s="14">
        <v>46338</v>
      </c>
      <c r="D107" s="11"/>
      <c r="E107" s="11"/>
      <c r="F107" s="12">
        <f t="shared" si="3"/>
        <v>0</v>
      </c>
      <c r="G107" s="20"/>
      <c r="H107" s="20"/>
      <c r="I107" s="9"/>
      <c r="J107" s="9"/>
      <c r="K107" s="9"/>
    </row>
    <row r="108" spans="1:11" s="13" customFormat="1" ht="29.25" thickBot="1" x14ac:dyDescent="0.3">
      <c r="A108" s="19" t="s">
        <v>47</v>
      </c>
      <c r="B108" s="10"/>
      <c r="C108" s="14">
        <v>46338</v>
      </c>
      <c r="D108" s="11"/>
      <c r="E108" s="11"/>
      <c r="F108" s="12">
        <f t="shared" si="3"/>
        <v>0</v>
      </c>
      <c r="G108" s="20"/>
      <c r="H108" s="20"/>
      <c r="I108" s="9"/>
      <c r="J108" s="9"/>
      <c r="K108" s="9"/>
    </row>
    <row r="109" spans="1:11" s="13" customFormat="1" ht="29.25" thickBot="1" x14ac:dyDescent="0.3">
      <c r="A109" s="19" t="s">
        <v>47</v>
      </c>
      <c r="B109" s="10"/>
      <c r="C109" s="14">
        <v>46338</v>
      </c>
      <c r="D109" s="11"/>
      <c r="E109" s="11"/>
      <c r="F109" s="12">
        <f t="shared" si="3"/>
        <v>0</v>
      </c>
      <c r="G109" s="20"/>
      <c r="H109" s="20"/>
      <c r="I109" s="9"/>
      <c r="J109" s="9"/>
      <c r="K109" s="9"/>
    </row>
    <row r="110" spans="1:11" s="13" customFormat="1" ht="29.25" thickBot="1" x14ac:dyDescent="0.3">
      <c r="A110" s="19" t="s">
        <v>47</v>
      </c>
      <c r="B110" s="10"/>
      <c r="C110" s="14">
        <v>46339</v>
      </c>
      <c r="D110" s="11"/>
      <c r="E110" s="11"/>
      <c r="F110" s="12">
        <f t="shared" si="3"/>
        <v>0</v>
      </c>
      <c r="G110" s="20"/>
      <c r="H110" s="20"/>
      <c r="I110" s="9"/>
      <c r="J110" s="9"/>
      <c r="K110" s="9"/>
    </row>
    <row r="111" spans="1:11" s="13" customFormat="1" ht="29.25" thickBot="1" x14ac:dyDescent="0.3">
      <c r="A111" s="19" t="s">
        <v>47</v>
      </c>
      <c r="B111" s="10"/>
      <c r="C111" s="14">
        <v>46339</v>
      </c>
      <c r="D111" s="11"/>
      <c r="E111" s="11"/>
      <c r="F111" s="12">
        <f t="shared" si="3"/>
        <v>0</v>
      </c>
      <c r="G111" s="20"/>
      <c r="H111" s="20"/>
      <c r="I111" s="9"/>
      <c r="J111" s="9"/>
      <c r="K111" s="9"/>
    </row>
    <row r="112" spans="1:11" s="13" customFormat="1" ht="29.25" thickBot="1" x14ac:dyDescent="0.3">
      <c r="A112" s="19" t="s">
        <v>47</v>
      </c>
      <c r="B112" s="10"/>
      <c r="C112" s="14">
        <v>46339</v>
      </c>
      <c r="D112" s="11"/>
      <c r="E112" s="11"/>
      <c r="F112" s="12">
        <f t="shared" si="3"/>
        <v>0</v>
      </c>
      <c r="G112" s="20"/>
      <c r="H112" s="20"/>
      <c r="I112" s="9"/>
      <c r="J112" s="9"/>
      <c r="K112" s="9"/>
    </row>
    <row r="113" spans="1:11" s="13" customFormat="1" ht="29.25" thickBot="1" x14ac:dyDescent="0.3">
      <c r="A113" s="19" t="s">
        <v>47</v>
      </c>
      <c r="B113" s="10"/>
      <c r="C113" s="14">
        <v>46339</v>
      </c>
      <c r="D113" s="11"/>
      <c r="E113" s="11"/>
      <c r="F113" s="12">
        <f t="shared" si="3"/>
        <v>0</v>
      </c>
      <c r="G113" s="20"/>
      <c r="H113" s="20"/>
      <c r="I113" s="9"/>
      <c r="J113" s="9"/>
      <c r="K113" s="9"/>
    </row>
    <row r="114" spans="1:11" s="13" customFormat="1" ht="29.25" thickBot="1" x14ac:dyDescent="0.3">
      <c r="A114" s="19" t="s">
        <v>47</v>
      </c>
      <c r="B114" s="10"/>
      <c r="C114" s="14">
        <v>46339</v>
      </c>
      <c r="D114" s="11"/>
      <c r="E114" s="11"/>
      <c r="F114" s="12">
        <f t="shared" si="3"/>
        <v>0</v>
      </c>
      <c r="G114" s="20"/>
      <c r="H114" s="20"/>
      <c r="I114" s="9"/>
      <c r="J114" s="9"/>
      <c r="K114" s="9"/>
    </row>
    <row r="115" spans="1:11" s="13" customFormat="1" ht="29.25" thickBot="1" x14ac:dyDescent="0.3">
      <c r="A115" s="19" t="s">
        <v>47</v>
      </c>
      <c r="B115" s="10"/>
      <c r="C115" s="14">
        <v>46339</v>
      </c>
      <c r="D115" s="11"/>
      <c r="E115" s="11"/>
      <c r="F115" s="12">
        <f t="shared" si="3"/>
        <v>0</v>
      </c>
      <c r="G115" s="20"/>
      <c r="H115" s="20"/>
      <c r="I115" s="9"/>
      <c r="J115" s="9"/>
      <c r="K115" s="9"/>
    </row>
    <row r="116" spans="1:11" s="13" customFormat="1" ht="29.25" thickBot="1" x14ac:dyDescent="0.3">
      <c r="A116" s="19" t="s">
        <v>47</v>
      </c>
      <c r="B116" s="10"/>
      <c r="C116" s="14">
        <v>46339</v>
      </c>
      <c r="D116" s="11"/>
      <c r="E116" s="11"/>
      <c r="F116" s="12">
        <f t="shared" si="3"/>
        <v>0</v>
      </c>
      <c r="G116" s="20"/>
      <c r="H116" s="20"/>
      <c r="I116" s="9"/>
      <c r="J116" s="9"/>
      <c r="K116" s="9"/>
    </row>
    <row r="117" spans="1:11" s="13" customFormat="1" ht="29.25" thickBot="1" x14ac:dyDescent="0.3">
      <c r="A117" s="19" t="s">
        <v>47</v>
      </c>
      <c r="B117" s="10"/>
      <c r="C117" s="14">
        <v>46339</v>
      </c>
      <c r="D117" s="11"/>
      <c r="E117" s="11"/>
      <c r="F117" s="12">
        <f t="shared" si="3"/>
        <v>0</v>
      </c>
      <c r="G117" s="20"/>
      <c r="H117" s="20"/>
      <c r="I117" s="9"/>
      <c r="J117" s="9"/>
      <c r="K117" s="9"/>
    </row>
    <row r="118" spans="1:11" s="13" customFormat="1" ht="29.25" thickBot="1" x14ac:dyDescent="0.3">
      <c r="A118" s="19" t="s">
        <v>47</v>
      </c>
      <c r="B118" s="10"/>
      <c r="C118" s="14">
        <v>46339</v>
      </c>
      <c r="D118" s="11"/>
      <c r="E118" s="11"/>
      <c r="F118" s="12">
        <f t="shared" si="3"/>
        <v>0</v>
      </c>
      <c r="G118" s="20"/>
      <c r="H118" s="20"/>
      <c r="I118" s="9"/>
      <c r="J118" s="9"/>
      <c r="K118" s="9"/>
    </row>
    <row r="119" spans="1:11" s="13" customFormat="1" ht="29.25" thickBot="1" x14ac:dyDescent="0.3">
      <c r="A119" s="19" t="s">
        <v>47</v>
      </c>
      <c r="B119" s="10"/>
      <c r="C119" s="14">
        <v>46340</v>
      </c>
      <c r="D119" s="11">
        <v>0.35416666666666669</v>
      </c>
      <c r="E119" s="11">
        <v>0.6875</v>
      </c>
      <c r="F119" s="12">
        <f>+(E119-D119)*24</f>
        <v>8</v>
      </c>
      <c r="G119" s="20" t="s">
        <v>21</v>
      </c>
      <c r="H119" s="20" t="s">
        <v>30</v>
      </c>
      <c r="I119" s="9"/>
      <c r="J119" s="9" t="s">
        <v>71</v>
      </c>
      <c r="K119" s="9"/>
    </row>
    <row r="120" spans="1:11" s="13" customFormat="1" ht="29.25" thickBot="1" x14ac:dyDescent="0.3">
      <c r="A120" s="19" t="s">
        <v>47</v>
      </c>
      <c r="B120" s="10"/>
      <c r="C120" s="14">
        <v>46340</v>
      </c>
      <c r="D120" s="11"/>
      <c r="E120" s="11"/>
      <c r="F120" s="12"/>
      <c r="G120" s="20"/>
      <c r="H120" s="20"/>
      <c r="I120" s="9"/>
      <c r="J120" s="9"/>
      <c r="K120" s="9"/>
    </row>
    <row r="121" spans="1:11" s="13" customFormat="1" ht="29.25" thickBot="1" x14ac:dyDescent="0.3">
      <c r="A121" s="19" t="s">
        <v>47</v>
      </c>
      <c r="B121" s="10"/>
      <c r="C121" s="14">
        <v>46340</v>
      </c>
      <c r="D121" s="11"/>
      <c r="E121" s="11"/>
      <c r="F121" s="12">
        <f t="shared" ref="F121:F127" si="4">+(E121-D121)*24</f>
        <v>0</v>
      </c>
      <c r="G121" s="20"/>
      <c r="H121" s="20"/>
      <c r="I121" s="9"/>
      <c r="J121" s="9"/>
      <c r="K121" s="9"/>
    </row>
    <row r="122" spans="1:11" s="13" customFormat="1" ht="29.25" thickBot="1" x14ac:dyDescent="0.3">
      <c r="A122" s="19" t="s">
        <v>47</v>
      </c>
      <c r="B122" s="10"/>
      <c r="C122" s="14">
        <v>46340</v>
      </c>
      <c r="D122" s="11"/>
      <c r="E122" s="11"/>
      <c r="F122" s="12">
        <f t="shared" si="4"/>
        <v>0</v>
      </c>
      <c r="G122" s="20"/>
      <c r="H122" s="20"/>
      <c r="I122" s="9"/>
      <c r="J122" s="9"/>
      <c r="K122" s="9"/>
    </row>
    <row r="123" spans="1:11" s="13" customFormat="1" ht="29.25" thickBot="1" x14ac:dyDescent="0.3">
      <c r="A123" s="19" t="s">
        <v>47</v>
      </c>
      <c r="B123" s="10"/>
      <c r="C123" s="14">
        <v>46340</v>
      </c>
      <c r="D123" s="11"/>
      <c r="E123" s="11"/>
      <c r="F123" s="12">
        <f t="shared" si="4"/>
        <v>0</v>
      </c>
      <c r="G123" s="20"/>
      <c r="H123" s="20"/>
      <c r="I123" s="9"/>
      <c r="J123" s="9"/>
      <c r="K123" s="9"/>
    </row>
    <row r="124" spans="1:11" s="13" customFormat="1" ht="29.25" thickBot="1" x14ac:dyDescent="0.3">
      <c r="A124" s="19" t="s">
        <v>47</v>
      </c>
      <c r="B124" s="10"/>
      <c r="C124" s="14">
        <v>46340</v>
      </c>
      <c r="D124" s="11"/>
      <c r="E124" s="11"/>
      <c r="F124" s="12">
        <f t="shared" si="4"/>
        <v>0</v>
      </c>
      <c r="G124" s="20"/>
      <c r="H124" s="20"/>
      <c r="I124" s="9"/>
      <c r="J124" s="9"/>
      <c r="K124" s="9"/>
    </row>
    <row r="125" spans="1:11" s="13" customFormat="1" ht="29.25" thickBot="1" x14ac:dyDescent="0.3">
      <c r="A125" s="19" t="s">
        <v>47</v>
      </c>
      <c r="B125" s="10"/>
      <c r="C125" s="14">
        <v>46340</v>
      </c>
      <c r="D125" s="11"/>
      <c r="E125" s="11"/>
      <c r="F125" s="12">
        <f t="shared" si="4"/>
        <v>0</v>
      </c>
      <c r="G125" s="20"/>
      <c r="H125" s="20"/>
      <c r="I125" s="9"/>
      <c r="J125" s="9"/>
      <c r="K125" s="9"/>
    </row>
    <row r="126" spans="1:11" s="13" customFormat="1" ht="29.25" thickBot="1" x14ac:dyDescent="0.3">
      <c r="A126" s="19" t="s">
        <v>47</v>
      </c>
      <c r="B126" s="10"/>
      <c r="C126" s="14">
        <v>46340</v>
      </c>
      <c r="D126" s="11"/>
      <c r="E126" s="11"/>
      <c r="F126" s="12">
        <f t="shared" si="4"/>
        <v>0</v>
      </c>
      <c r="G126" s="20"/>
      <c r="H126" s="20"/>
      <c r="I126" s="9"/>
      <c r="J126" s="9"/>
      <c r="K126" s="9"/>
    </row>
    <row r="127" spans="1:11" s="13" customFormat="1" ht="29.25" thickBot="1" x14ac:dyDescent="0.3">
      <c r="A127" s="19" t="s">
        <v>47</v>
      </c>
      <c r="B127" s="10"/>
      <c r="C127" s="14">
        <v>46340</v>
      </c>
      <c r="D127" s="11"/>
      <c r="E127" s="11"/>
      <c r="F127" s="12">
        <f t="shared" si="4"/>
        <v>0</v>
      </c>
      <c r="G127" s="20"/>
      <c r="H127" s="20"/>
      <c r="I127" s="9"/>
      <c r="J127" s="9"/>
      <c r="K127" s="9"/>
    </row>
    <row r="128" spans="1:11" s="13" customFormat="1" ht="29.25" thickBot="1" x14ac:dyDescent="0.3">
      <c r="A128" s="19" t="s">
        <v>47</v>
      </c>
      <c r="B128" s="10"/>
      <c r="C128" s="14">
        <v>46341</v>
      </c>
      <c r="D128" s="11">
        <v>0.35416666666666669</v>
      </c>
      <c r="E128" s="11">
        <v>0.6875</v>
      </c>
      <c r="F128" s="12">
        <f>+(E128-D128)*24</f>
        <v>8</v>
      </c>
      <c r="G128" s="20" t="s">
        <v>21</v>
      </c>
      <c r="H128" s="20" t="s">
        <v>30</v>
      </c>
      <c r="I128" s="9"/>
      <c r="J128" s="9" t="s">
        <v>71</v>
      </c>
      <c r="K128" s="9"/>
    </row>
    <row r="129" spans="1:11" s="13" customFormat="1" ht="29.25" thickBot="1" x14ac:dyDescent="0.3">
      <c r="A129" s="19" t="s">
        <v>47</v>
      </c>
      <c r="B129" s="10"/>
      <c r="C129" s="14">
        <v>46341</v>
      </c>
      <c r="D129" s="11"/>
      <c r="E129" s="11"/>
      <c r="F129" s="12">
        <f t="shared" si="3"/>
        <v>0</v>
      </c>
      <c r="G129" s="20"/>
      <c r="H129" s="20"/>
      <c r="I129" s="9"/>
      <c r="J129" s="9"/>
      <c r="K129" s="9"/>
    </row>
    <row r="130" spans="1:11" s="13" customFormat="1" ht="29.25" thickBot="1" x14ac:dyDescent="0.3">
      <c r="A130" s="19" t="s">
        <v>47</v>
      </c>
      <c r="B130" s="10"/>
      <c r="C130" s="14">
        <v>46341</v>
      </c>
      <c r="D130" s="11"/>
      <c r="E130" s="11"/>
      <c r="F130" s="12">
        <f t="shared" si="3"/>
        <v>0</v>
      </c>
      <c r="G130" s="20"/>
      <c r="H130" s="20"/>
      <c r="I130" s="9"/>
      <c r="J130" s="9"/>
      <c r="K130" s="9"/>
    </row>
    <row r="131" spans="1:11" s="13" customFormat="1" ht="29.25" thickBot="1" x14ac:dyDescent="0.3">
      <c r="A131" s="19" t="s">
        <v>47</v>
      </c>
      <c r="B131" s="10"/>
      <c r="C131" s="14">
        <v>46341</v>
      </c>
      <c r="D131" s="11"/>
      <c r="E131" s="11"/>
      <c r="F131" s="12">
        <f t="shared" si="3"/>
        <v>0</v>
      </c>
      <c r="G131" s="20"/>
      <c r="H131" s="20"/>
      <c r="I131" s="9"/>
      <c r="J131" s="9"/>
      <c r="K131" s="9"/>
    </row>
    <row r="132" spans="1:11" s="13" customFormat="1" ht="29.25" thickBot="1" x14ac:dyDescent="0.3">
      <c r="A132" s="19" t="s">
        <v>47</v>
      </c>
      <c r="B132" s="10"/>
      <c r="C132" s="14">
        <v>46341</v>
      </c>
      <c r="D132" s="11"/>
      <c r="E132" s="11"/>
      <c r="F132" s="12">
        <f t="shared" si="3"/>
        <v>0</v>
      </c>
      <c r="G132" s="20"/>
      <c r="H132" s="20"/>
      <c r="I132" s="9"/>
      <c r="J132" s="9"/>
      <c r="K132" s="9"/>
    </row>
    <row r="133" spans="1:11" s="13" customFormat="1" ht="29.25" thickBot="1" x14ac:dyDescent="0.3">
      <c r="A133" s="19" t="s">
        <v>47</v>
      </c>
      <c r="B133" s="10"/>
      <c r="C133" s="14">
        <v>46341</v>
      </c>
      <c r="D133" s="11"/>
      <c r="E133" s="11"/>
      <c r="F133" s="12">
        <f t="shared" si="3"/>
        <v>0</v>
      </c>
      <c r="G133" s="20"/>
      <c r="H133" s="20"/>
      <c r="I133" s="9"/>
      <c r="J133" s="9"/>
      <c r="K133" s="9"/>
    </row>
    <row r="134" spans="1:11" s="13" customFormat="1" ht="29.25" thickBot="1" x14ac:dyDescent="0.3">
      <c r="A134" s="19" t="s">
        <v>47</v>
      </c>
      <c r="B134" s="10"/>
      <c r="C134" s="14">
        <v>46341</v>
      </c>
      <c r="D134" s="11"/>
      <c r="E134" s="11"/>
      <c r="F134" s="12">
        <f t="shared" ref="F134:F197" si="5">+(E134-D134)*24</f>
        <v>0</v>
      </c>
      <c r="G134" s="20"/>
      <c r="H134" s="20"/>
      <c r="I134" s="9"/>
      <c r="J134" s="9"/>
      <c r="K134" s="9"/>
    </row>
    <row r="135" spans="1:11" s="13" customFormat="1" ht="29.25" thickBot="1" x14ac:dyDescent="0.3">
      <c r="A135" s="19" t="s">
        <v>47</v>
      </c>
      <c r="B135" s="10"/>
      <c r="C135" s="14">
        <v>46341</v>
      </c>
      <c r="D135" s="11"/>
      <c r="E135" s="11"/>
      <c r="F135" s="12">
        <f t="shared" si="5"/>
        <v>0</v>
      </c>
      <c r="G135" s="20"/>
      <c r="H135" s="20"/>
      <c r="I135" s="9"/>
      <c r="J135" s="9"/>
      <c r="K135" s="9"/>
    </row>
    <row r="136" spans="1:11" s="13" customFormat="1" ht="29.25" thickBot="1" x14ac:dyDescent="0.3">
      <c r="A136" s="19" t="s">
        <v>47</v>
      </c>
      <c r="B136" s="10"/>
      <c r="C136" s="14">
        <v>46341</v>
      </c>
      <c r="D136" s="11"/>
      <c r="E136" s="11"/>
      <c r="F136" s="12">
        <f t="shared" si="5"/>
        <v>0</v>
      </c>
      <c r="G136" s="20"/>
      <c r="H136" s="20"/>
      <c r="I136" s="9"/>
      <c r="J136" s="9"/>
      <c r="K136" s="9"/>
    </row>
    <row r="137" spans="1:11" s="13" customFormat="1" ht="29.25" thickBot="1" x14ac:dyDescent="0.3">
      <c r="A137" s="19" t="s">
        <v>47</v>
      </c>
      <c r="B137" s="10"/>
      <c r="C137" s="14">
        <v>46342</v>
      </c>
      <c r="D137" s="11"/>
      <c r="E137" s="11"/>
      <c r="F137" s="12">
        <f t="shared" si="5"/>
        <v>0</v>
      </c>
      <c r="G137" s="20"/>
      <c r="H137" s="20"/>
      <c r="I137" s="9"/>
      <c r="J137" s="9"/>
      <c r="K137" s="9"/>
    </row>
    <row r="138" spans="1:11" s="13" customFormat="1" ht="29.25" thickBot="1" x14ac:dyDescent="0.3">
      <c r="A138" s="19" t="s">
        <v>47</v>
      </c>
      <c r="B138" s="10"/>
      <c r="C138" s="14">
        <v>46342</v>
      </c>
      <c r="D138" s="11"/>
      <c r="E138" s="11"/>
      <c r="F138" s="12">
        <f t="shared" si="5"/>
        <v>0</v>
      </c>
      <c r="G138" s="20"/>
      <c r="H138" s="20"/>
      <c r="I138" s="9"/>
      <c r="J138" s="9"/>
      <c r="K138" s="9"/>
    </row>
    <row r="139" spans="1:11" s="13" customFormat="1" ht="29.25" thickBot="1" x14ac:dyDescent="0.3">
      <c r="A139" s="19" t="s">
        <v>47</v>
      </c>
      <c r="B139" s="10"/>
      <c r="C139" s="14">
        <v>46342</v>
      </c>
      <c r="D139" s="11"/>
      <c r="E139" s="11"/>
      <c r="F139" s="12">
        <f t="shared" si="5"/>
        <v>0</v>
      </c>
      <c r="G139" s="20"/>
      <c r="H139" s="20"/>
      <c r="I139" s="9"/>
      <c r="J139" s="9"/>
      <c r="K139" s="9"/>
    </row>
    <row r="140" spans="1:11" s="13" customFormat="1" ht="29.25" thickBot="1" x14ac:dyDescent="0.3">
      <c r="A140" s="19" t="s">
        <v>47</v>
      </c>
      <c r="B140" s="10"/>
      <c r="C140" s="14">
        <v>46342</v>
      </c>
      <c r="D140" s="11"/>
      <c r="E140" s="11"/>
      <c r="F140" s="12">
        <f t="shared" si="5"/>
        <v>0</v>
      </c>
      <c r="G140" s="20"/>
      <c r="H140" s="20"/>
      <c r="I140" s="9"/>
      <c r="J140" s="9"/>
      <c r="K140" s="9"/>
    </row>
    <row r="141" spans="1:11" s="13" customFormat="1" ht="29.25" thickBot="1" x14ac:dyDescent="0.3">
      <c r="A141" s="19" t="s">
        <v>47</v>
      </c>
      <c r="B141" s="10"/>
      <c r="C141" s="14">
        <v>46342</v>
      </c>
      <c r="D141" s="11"/>
      <c r="E141" s="11"/>
      <c r="F141" s="12">
        <f t="shared" si="5"/>
        <v>0</v>
      </c>
      <c r="G141" s="20"/>
      <c r="H141" s="20"/>
      <c r="I141" s="9"/>
      <c r="J141" s="9"/>
      <c r="K141" s="9"/>
    </row>
    <row r="142" spans="1:11" s="13" customFormat="1" ht="29.25" thickBot="1" x14ac:dyDescent="0.3">
      <c r="A142" s="19" t="s">
        <v>47</v>
      </c>
      <c r="B142" s="10"/>
      <c r="C142" s="14">
        <v>46342</v>
      </c>
      <c r="D142" s="11"/>
      <c r="E142" s="11"/>
      <c r="F142" s="12">
        <f t="shared" si="5"/>
        <v>0</v>
      </c>
      <c r="G142" s="20"/>
      <c r="H142" s="20"/>
      <c r="I142" s="9"/>
      <c r="J142" s="9"/>
      <c r="K142" s="9"/>
    </row>
    <row r="143" spans="1:11" s="13" customFormat="1" ht="29.25" thickBot="1" x14ac:dyDescent="0.3">
      <c r="A143" s="19" t="s">
        <v>47</v>
      </c>
      <c r="B143" s="10"/>
      <c r="C143" s="14">
        <v>46342</v>
      </c>
      <c r="D143" s="11"/>
      <c r="E143" s="11"/>
      <c r="F143" s="12">
        <f t="shared" si="5"/>
        <v>0</v>
      </c>
      <c r="G143" s="20"/>
      <c r="H143" s="20"/>
      <c r="I143" s="9"/>
      <c r="J143" s="9"/>
      <c r="K143" s="9"/>
    </row>
    <row r="144" spans="1:11" s="13" customFormat="1" ht="29.25" thickBot="1" x14ac:dyDescent="0.3">
      <c r="A144" s="19" t="s">
        <v>47</v>
      </c>
      <c r="B144" s="10"/>
      <c r="C144" s="14">
        <v>46342</v>
      </c>
      <c r="D144" s="11"/>
      <c r="E144" s="11"/>
      <c r="F144" s="12">
        <f t="shared" si="5"/>
        <v>0</v>
      </c>
      <c r="G144" s="20"/>
      <c r="H144" s="20"/>
      <c r="I144" s="9"/>
      <c r="J144" s="9"/>
      <c r="K144" s="9"/>
    </row>
    <row r="145" spans="1:11" s="13" customFormat="1" ht="29.25" thickBot="1" x14ac:dyDescent="0.3">
      <c r="A145" s="19" t="s">
        <v>47</v>
      </c>
      <c r="B145" s="10"/>
      <c r="C145" s="14">
        <v>46342</v>
      </c>
      <c r="D145" s="11"/>
      <c r="E145" s="11"/>
      <c r="F145" s="12">
        <f t="shared" si="5"/>
        <v>0</v>
      </c>
      <c r="G145" s="20"/>
      <c r="H145" s="20"/>
      <c r="I145" s="9"/>
      <c r="J145" s="9"/>
      <c r="K145" s="9"/>
    </row>
    <row r="146" spans="1:11" s="13" customFormat="1" ht="29.25" thickBot="1" x14ac:dyDescent="0.3">
      <c r="A146" s="19" t="s">
        <v>47</v>
      </c>
      <c r="B146" s="10"/>
      <c r="C146" s="14">
        <v>46343</v>
      </c>
      <c r="D146" s="11"/>
      <c r="E146" s="11"/>
      <c r="F146" s="12">
        <f t="shared" si="5"/>
        <v>0</v>
      </c>
      <c r="G146" s="20"/>
      <c r="H146" s="20"/>
      <c r="I146" s="9"/>
      <c r="J146" s="9"/>
      <c r="K146" s="9"/>
    </row>
    <row r="147" spans="1:11" s="13" customFormat="1" ht="29.25" thickBot="1" x14ac:dyDescent="0.3">
      <c r="A147" s="19" t="s">
        <v>47</v>
      </c>
      <c r="B147" s="10"/>
      <c r="C147" s="14">
        <v>46343</v>
      </c>
      <c r="D147" s="11"/>
      <c r="E147" s="11"/>
      <c r="F147" s="12">
        <f t="shared" si="5"/>
        <v>0</v>
      </c>
      <c r="G147" s="20"/>
      <c r="H147" s="20"/>
      <c r="I147" s="9"/>
      <c r="J147" s="9"/>
      <c r="K147" s="9"/>
    </row>
    <row r="148" spans="1:11" s="13" customFormat="1" ht="29.25" thickBot="1" x14ac:dyDescent="0.3">
      <c r="A148" s="19" t="s">
        <v>47</v>
      </c>
      <c r="B148" s="10"/>
      <c r="C148" s="14">
        <v>46343</v>
      </c>
      <c r="D148" s="11"/>
      <c r="E148" s="11"/>
      <c r="F148" s="12">
        <f t="shared" si="5"/>
        <v>0</v>
      </c>
      <c r="G148" s="20"/>
      <c r="H148" s="20"/>
      <c r="I148" s="9"/>
      <c r="J148" s="9"/>
      <c r="K148" s="9"/>
    </row>
    <row r="149" spans="1:11" s="13" customFormat="1" ht="29.25" thickBot="1" x14ac:dyDescent="0.3">
      <c r="A149" s="19" t="s">
        <v>47</v>
      </c>
      <c r="B149" s="10"/>
      <c r="C149" s="14">
        <v>46343</v>
      </c>
      <c r="D149" s="11"/>
      <c r="E149" s="11"/>
      <c r="F149" s="12">
        <f t="shared" si="5"/>
        <v>0</v>
      </c>
      <c r="G149" s="20"/>
      <c r="H149" s="20"/>
      <c r="I149" s="9"/>
      <c r="J149" s="9"/>
      <c r="K149" s="9"/>
    </row>
    <row r="150" spans="1:11" s="13" customFormat="1" ht="29.25" thickBot="1" x14ac:dyDescent="0.3">
      <c r="A150" s="19" t="s">
        <v>47</v>
      </c>
      <c r="B150" s="10"/>
      <c r="C150" s="14">
        <v>46343</v>
      </c>
      <c r="D150" s="11"/>
      <c r="E150" s="11"/>
      <c r="F150" s="12">
        <f t="shared" si="5"/>
        <v>0</v>
      </c>
      <c r="G150" s="20"/>
      <c r="H150" s="20"/>
      <c r="I150" s="9"/>
      <c r="J150" s="9"/>
      <c r="K150" s="9"/>
    </row>
    <row r="151" spans="1:11" s="13" customFormat="1" ht="29.25" thickBot="1" x14ac:dyDescent="0.3">
      <c r="A151" s="19" t="s">
        <v>47</v>
      </c>
      <c r="B151" s="10"/>
      <c r="C151" s="14">
        <v>46343</v>
      </c>
      <c r="D151" s="11"/>
      <c r="E151" s="11"/>
      <c r="F151" s="12">
        <f t="shared" si="5"/>
        <v>0</v>
      </c>
      <c r="G151" s="20"/>
      <c r="H151" s="20"/>
      <c r="I151" s="9"/>
      <c r="J151" s="9"/>
      <c r="K151" s="9"/>
    </row>
    <row r="152" spans="1:11" s="13" customFormat="1" ht="29.25" thickBot="1" x14ac:dyDescent="0.3">
      <c r="A152" s="19" t="s">
        <v>47</v>
      </c>
      <c r="B152" s="10"/>
      <c r="C152" s="14">
        <v>46343</v>
      </c>
      <c r="D152" s="11"/>
      <c r="E152" s="11"/>
      <c r="F152" s="12">
        <f t="shared" si="5"/>
        <v>0</v>
      </c>
      <c r="G152" s="20"/>
      <c r="H152" s="20"/>
      <c r="I152" s="9"/>
      <c r="J152" s="9"/>
      <c r="K152" s="9"/>
    </row>
    <row r="153" spans="1:11" s="13" customFormat="1" ht="29.25" thickBot="1" x14ac:dyDescent="0.3">
      <c r="A153" s="19" t="s">
        <v>47</v>
      </c>
      <c r="B153" s="10"/>
      <c r="C153" s="14">
        <v>46343</v>
      </c>
      <c r="D153" s="11"/>
      <c r="E153" s="11"/>
      <c r="F153" s="12">
        <f t="shared" si="5"/>
        <v>0</v>
      </c>
      <c r="G153" s="20"/>
      <c r="H153" s="20"/>
      <c r="I153" s="9"/>
      <c r="J153" s="9"/>
      <c r="K153" s="9"/>
    </row>
    <row r="154" spans="1:11" s="13" customFormat="1" ht="29.25" thickBot="1" x14ac:dyDescent="0.3">
      <c r="A154" s="19" t="s">
        <v>47</v>
      </c>
      <c r="B154" s="10"/>
      <c r="C154" s="14">
        <v>46343</v>
      </c>
      <c r="D154" s="11"/>
      <c r="E154" s="11"/>
      <c r="F154" s="12">
        <f t="shared" si="5"/>
        <v>0</v>
      </c>
      <c r="G154" s="20"/>
      <c r="H154" s="20"/>
      <c r="I154" s="9"/>
      <c r="J154" s="9"/>
      <c r="K154" s="9"/>
    </row>
    <row r="155" spans="1:11" s="13" customFormat="1" ht="29.25" thickBot="1" x14ac:dyDescent="0.3">
      <c r="A155" s="19" t="s">
        <v>47</v>
      </c>
      <c r="B155" s="10"/>
      <c r="C155" s="14">
        <v>46344</v>
      </c>
      <c r="D155" s="11"/>
      <c r="E155" s="11"/>
      <c r="F155" s="12">
        <f t="shared" si="5"/>
        <v>0</v>
      </c>
      <c r="G155" s="20"/>
      <c r="H155" s="20"/>
      <c r="I155" s="9"/>
      <c r="J155" s="9"/>
      <c r="K155" s="9"/>
    </row>
    <row r="156" spans="1:11" s="13" customFormat="1" ht="29.25" thickBot="1" x14ac:dyDescent="0.3">
      <c r="A156" s="19" t="s">
        <v>47</v>
      </c>
      <c r="B156" s="10"/>
      <c r="C156" s="14">
        <v>46344</v>
      </c>
      <c r="D156" s="11"/>
      <c r="E156" s="11"/>
      <c r="F156" s="12">
        <f t="shared" si="5"/>
        <v>0</v>
      </c>
      <c r="G156" s="20"/>
      <c r="H156" s="20"/>
      <c r="I156" s="9"/>
      <c r="J156" s="9"/>
      <c r="K156" s="9"/>
    </row>
    <row r="157" spans="1:11" s="13" customFormat="1" ht="29.25" thickBot="1" x14ac:dyDescent="0.3">
      <c r="A157" s="19" t="s">
        <v>47</v>
      </c>
      <c r="B157" s="10"/>
      <c r="C157" s="14">
        <v>46344</v>
      </c>
      <c r="D157" s="11"/>
      <c r="E157" s="11"/>
      <c r="F157" s="12">
        <f t="shared" si="5"/>
        <v>0</v>
      </c>
      <c r="G157" s="20"/>
      <c r="H157" s="20"/>
      <c r="I157" s="9"/>
      <c r="J157" s="9"/>
      <c r="K157" s="9"/>
    </row>
    <row r="158" spans="1:11" s="13" customFormat="1" ht="29.25" thickBot="1" x14ac:dyDescent="0.3">
      <c r="A158" s="19" t="s">
        <v>47</v>
      </c>
      <c r="B158" s="10"/>
      <c r="C158" s="14">
        <v>46344</v>
      </c>
      <c r="D158" s="11"/>
      <c r="E158" s="11"/>
      <c r="F158" s="12">
        <f t="shared" si="5"/>
        <v>0</v>
      </c>
      <c r="G158" s="20"/>
      <c r="H158" s="20"/>
      <c r="I158" s="9"/>
      <c r="J158" s="9"/>
      <c r="K158" s="9"/>
    </row>
    <row r="159" spans="1:11" s="13" customFormat="1" ht="29.25" thickBot="1" x14ac:dyDescent="0.3">
      <c r="A159" s="19" t="s">
        <v>47</v>
      </c>
      <c r="B159" s="10"/>
      <c r="C159" s="14">
        <v>46344</v>
      </c>
      <c r="D159" s="11"/>
      <c r="E159" s="11"/>
      <c r="F159" s="12">
        <f t="shared" si="5"/>
        <v>0</v>
      </c>
      <c r="G159" s="20"/>
      <c r="H159" s="20"/>
      <c r="I159" s="9"/>
      <c r="J159" s="9"/>
      <c r="K159" s="9"/>
    </row>
    <row r="160" spans="1:11" s="13" customFormat="1" ht="29.25" thickBot="1" x14ac:dyDescent="0.3">
      <c r="A160" s="19" t="s">
        <v>47</v>
      </c>
      <c r="B160" s="10"/>
      <c r="C160" s="14">
        <v>46344</v>
      </c>
      <c r="D160" s="11"/>
      <c r="E160" s="11"/>
      <c r="F160" s="12">
        <f t="shared" si="5"/>
        <v>0</v>
      </c>
      <c r="G160" s="20"/>
      <c r="H160" s="20"/>
      <c r="I160" s="9"/>
      <c r="J160" s="9"/>
      <c r="K160" s="9"/>
    </row>
    <row r="161" spans="1:11" s="13" customFormat="1" ht="29.25" thickBot="1" x14ac:dyDescent="0.3">
      <c r="A161" s="19" t="s">
        <v>47</v>
      </c>
      <c r="B161" s="10"/>
      <c r="C161" s="14">
        <v>46344</v>
      </c>
      <c r="D161" s="11"/>
      <c r="E161" s="11"/>
      <c r="F161" s="12">
        <f t="shared" si="5"/>
        <v>0</v>
      </c>
      <c r="G161" s="20"/>
      <c r="H161" s="20"/>
      <c r="I161" s="9"/>
      <c r="J161" s="9"/>
      <c r="K161" s="9"/>
    </row>
    <row r="162" spans="1:11" s="13" customFormat="1" ht="29.25" thickBot="1" x14ac:dyDescent="0.3">
      <c r="A162" s="19" t="s">
        <v>47</v>
      </c>
      <c r="B162" s="10"/>
      <c r="C162" s="14">
        <v>46344</v>
      </c>
      <c r="D162" s="11"/>
      <c r="E162" s="11"/>
      <c r="F162" s="12">
        <f t="shared" si="5"/>
        <v>0</v>
      </c>
      <c r="G162" s="20"/>
      <c r="H162" s="20"/>
      <c r="I162" s="9"/>
      <c r="J162" s="9"/>
      <c r="K162" s="9"/>
    </row>
    <row r="163" spans="1:11" s="13" customFormat="1" ht="29.25" thickBot="1" x14ac:dyDescent="0.3">
      <c r="A163" s="19" t="s">
        <v>47</v>
      </c>
      <c r="B163" s="10"/>
      <c r="C163" s="14">
        <v>46344</v>
      </c>
      <c r="D163" s="11"/>
      <c r="E163" s="11"/>
      <c r="F163" s="12">
        <f t="shared" si="5"/>
        <v>0</v>
      </c>
      <c r="G163" s="20"/>
      <c r="H163" s="20"/>
      <c r="I163" s="9"/>
      <c r="J163" s="9"/>
      <c r="K163" s="9"/>
    </row>
    <row r="164" spans="1:11" s="13" customFormat="1" ht="29.25" thickBot="1" x14ac:dyDescent="0.3">
      <c r="A164" s="19" t="s">
        <v>47</v>
      </c>
      <c r="B164" s="10"/>
      <c r="C164" s="14">
        <v>46345</v>
      </c>
      <c r="D164" s="11"/>
      <c r="E164" s="11"/>
      <c r="F164" s="12">
        <f t="shared" si="5"/>
        <v>0</v>
      </c>
      <c r="G164" s="20"/>
      <c r="H164" s="20"/>
      <c r="I164" s="9"/>
      <c r="J164" s="9"/>
      <c r="K164" s="9"/>
    </row>
    <row r="165" spans="1:11" s="13" customFormat="1" ht="29.25" thickBot="1" x14ac:dyDescent="0.3">
      <c r="A165" s="19" t="s">
        <v>47</v>
      </c>
      <c r="B165" s="10"/>
      <c r="C165" s="14">
        <v>46345</v>
      </c>
      <c r="D165" s="11"/>
      <c r="E165" s="11"/>
      <c r="F165" s="12">
        <f t="shared" si="5"/>
        <v>0</v>
      </c>
      <c r="G165" s="20"/>
      <c r="H165" s="20"/>
      <c r="I165" s="9"/>
      <c r="J165" s="9"/>
      <c r="K165" s="9"/>
    </row>
    <row r="166" spans="1:11" s="13" customFormat="1" ht="29.25" thickBot="1" x14ac:dyDescent="0.3">
      <c r="A166" s="19" t="s">
        <v>47</v>
      </c>
      <c r="B166" s="10"/>
      <c r="C166" s="14">
        <v>46345</v>
      </c>
      <c r="D166" s="11"/>
      <c r="E166" s="11"/>
      <c r="F166" s="12">
        <f t="shared" si="5"/>
        <v>0</v>
      </c>
      <c r="G166" s="20"/>
      <c r="H166" s="20"/>
      <c r="I166" s="9"/>
      <c r="J166" s="9"/>
      <c r="K166" s="9"/>
    </row>
    <row r="167" spans="1:11" s="13" customFormat="1" ht="29.25" thickBot="1" x14ac:dyDescent="0.3">
      <c r="A167" s="19" t="s">
        <v>47</v>
      </c>
      <c r="B167" s="10"/>
      <c r="C167" s="14">
        <v>46345</v>
      </c>
      <c r="D167" s="11"/>
      <c r="E167" s="11"/>
      <c r="F167" s="12">
        <f t="shared" si="5"/>
        <v>0</v>
      </c>
      <c r="G167" s="20"/>
      <c r="H167" s="20"/>
      <c r="I167" s="9"/>
      <c r="J167" s="9"/>
      <c r="K167" s="9"/>
    </row>
    <row r="168" spans="1:11" s="13" customFormat="1" ht="29.25" thickBot="1" x14ac:dyDescent="0.3">
      <c r="A168" s="19" t="s">
        <v>47</v>
      </c>
      <c r="B168" s="10"/>
      <c r="C168" s="14">
        <v>46345</v>
      </c>
      <c r="D168" s="11"/>
      <c r="E168" s="11"/>
      <c r="F168" s="12">
        <f t="shared" si="5"/>
        <v>0</v>
      </c>
      <c r="G168" s="20"/>
      <c r="H168" s="20"/>
      <c r="I168" s="9"/>
      <c r="J168" s="9"/>
      <c r="K168" s="9"/>
    </row>
    <row r="169" spans="1:11" s="13" customFormat="1" ht="29.25" thickBot="1" x14ac:dyDescent="0.3">
      <c r="A169" s="19" t="s">
        <v>47</v>
      </c>
      <c r="B169" s="10"/>
      <c r="C169" s="14">
        <v>46345</v>
      </c>
      <c r="D169" s="11"/>
      <c r="E169" s="11"/>
      <c r="F169" s="12">
        <f t="shared" si="5"/>
        <v>0</v>
      </c>
      <c r="G169" s="20"/>
      <c r="H169" s="20"/>
      <c r="I169" s="9"/>
      <c r="J169" s="9"/>
      <c r="K169" s="9"/>
    </row>
    <row r="170" spans="1:11" s="13" customFormat="1" ht="29.25" thickBot="1" x14ac:dyDescent="0.3">
      <c r="A170" s="19" t="s">
        <v>47</v>
      </c>
      <c r="B170" s="10"/>
      <c r="C170" s="14">
        <v>46345</v>
      </c>
      <c r="D170" s="11"/>
      <c r="E170" s="11"/>
      <c r="F170" s="12">
        <f t="shared" si="5"/>
        <v>0</v>
      </c>
      <c r="G170" s="20"/>
      <c r="H170" s="20"/>
      <c r="I170" s="9"/>
      <c r="J170" s="9"/>
      <c r="K170" s="9"/>
    </row>
    <row r="171" spans="1:11" s="13" customFormat="1" ht="29.25" thickBot="1" x14ac:dyDescent="0.3">
      <c r="A171" s="19" t="s">
        <v>47</v>
      </c>
      <c r="B171" s="10"/>
      <c r="C171" s="14">
        <v>46345</v>
      </c>
      <c r="D171" s="11"/>
      <c r="E171" s="11"/>
      <c r="F171" s="12">
        <f t="shared" si="5"/>
        <v>0</v>
      </c>
      <c r="G171" s="20"/>
      <c r="H171" s="20"/>
      <c r="I171" s="9"/>
      <c r="J171" s="9"/>
      <c r="K171" s="9"/>
    </row>
    <row r="172" spans="1:11" s="13" customFormat="1" ht="29.25" thickBot="1" x14ac:dyDescent="0.3">
      <c r="A172" s="19" t="s">
        <v>47</v>
      </c>
      <c r="B172" s="10"/>
      <c r="C172" s="14">
        <v>46345</v>
      </c>
      <c r="D172" s="11"/>
      <c r="E172" s="11"/>
      <c r="F172" s="12">
        <f t="shared" si="5"/>
        <v>0</v>
      </c>
      <c r="G172" s="20"/>
      <c r="H172" s="20"/>
      <c r="I172" s="9"/>
      <c r="J172" s="9"/>
      <c r="K172" s="9"/>
    </row>
    <row r="173" spans="1:11" s="13" customFormat="1" ht="29.25" thickBot="1" x14ac:dyDescent="0.3">
      <c r="A173" s="19" t="s">
        <v>47</v>
      </c>
      <c r="B173" s="10"/>
      <c r="C173" s="14">
        <v>46346</v>
      </c>
      <c r="D173" s="11"/>
      <c r="E173" s="11"/>
      <c r="F173" s="12">
        <f t="shared" si="5"/>
        <v>0</v>
      </c>
      <c r="G173" s="20"/>
      <c r="H173" s="20"/>
      <c r="I173" s="9"/>
      <c r="J173" s="9"/>
      <c r="K173" s="9"/>
    </row>
    <row r="174" spans="1:11" s="13" customFormat="1" ht="29.25" thickBot="1" x14ac:dyDescent="0.3">
      <c r="A174" s="19" t="s">
        <v>47</v>
      </c>
      <c r="B174" s="10"/>
      <c r="C174" s="14">
        <v>46346</v>
      </c>
      <c r="D174" s="11"/>
      <c r="E174" s="11"/>
      <c r="F174" s="12">
        <f t="shared" si="5"/>
        <v>0</v>
      </c>
      <c r="G174" s="20"/>
      <c r="H174" s="20"/>
      <c r="I174" s="9"/>
      <c r="J174" s="9"/>
      <c r="K174" s="9"/>
    </row>
    <row r="175" spans="1:11" s="13" customFormat="1" ht="29.25" thickBot="1" x14ac:dyDescent="0.3">
      <c r="A175" s="19" t="s">
        <v>47</v>
      </c>
      <c r="B175" s="10"/>
      <c r="C175" s="14">
        <v>46346</v>
      </c>
      <c r="D175" s="11"/>
      <c r="E175" s="11"/>
      <c r="F175" s="12">
        <f t="shared" si="5"/>
        <v>0</v>
      </c>
      <c r="G175" s="20"/>
      <c r="H175" s="20"/>
      <c r="I175" s="9"/>
      <c r="J175" s="9"/>
      <c r="K175" s="9"/>
    </row>
    <row r="176" spans="1:11" s="13" customFormat="1" ht="29.25" thickBot="1" x14ac:dyDescent="0.3">
      <c r="A176" s="19" t="s">
        <v>47</v>
      </c>
      <c r="B176" s="10"/>
      <c r="C176" s="14">
        <v>46346</v>
      </c>
      <c r="D176" s="11"/>
      <c r="E176" s="11"/>
      <c r="F176" s="12">
        <f t="shared" si="5"/>
        <v>0</v>
      </c>
      <c r="G176" s="20"/>
      <c r="H176" s="20"/>
      <c r="I176" s="9"/>
      <c r="J176" s="9"/>
      <c r="K176" s="9"/>
    </row>
    <row r="177" spans="1:11" s="13" customFormat="1" ht="29.25" thickBot="1" x14ac:dyDescent="0.3">
      <c r="A177" s="19" t="s">
        <v>47</v>
      </c>
      <c r="B177" s="10"/>
      <c r="C177" s="14">
        <v>46346</v>
      </c>
      <c r="D177" s="11"/>
      <c r="E177" s="11"/>
      <c r="F177" s="12">
        <f t="shared" si="5"/>
        <v>0</v>
      </c>
      <c r="G177" s="20"/>
      <c r="H177" s="20"/>
      <c r="I177" s="9"/>
      <c r="J177" s="9"/>
      <c r="K177" s="9"/>
    </row>
    <row r="178" spans="1:11" s="13" customFormat="1" ht="29.25" thickBot="1" x14ac:dyDescent="0.3">
      <c r="A178" s="19" t="s">
        <v>47</v>
      </c>
      <c r="B178" s="10"/>
      <c r="C178" s="14">
        <v>46346</v>
      </c>
      <c r="D178" s="11"/>
      <c r="E178" s="11"/>
      <c r="F178" s="12">
        <f t="shared" si="5"/>
        <v>0</v>
      </c>
      <c r="G178" s="20"/>
      <c r="H178" s="20"/>
      <c r="I178" s="9"/>
      <c r="J178" s="9"/>
      <c r="K178" s="9"/>
    </row>
    <row r="179" spans="1:11" s="13" customFormat="1" ht="29.25" thickBot="1" x14ac:dyDescent="0.3">
      <c r="A179" s="19" t="s">
        <v>47</v>
      </c>
      <c r="B179" s="10"/>
      <c r="C179" s="14">
        <v>46346</v>
      </c>
      <c r="D179" s="11"/>
      <c r="E179" s="11"/>
      <c r="F179" s="12">
        <f t="shared" si="5"/>
        <v>0</v>
      </c>
      <c r="G179" s="20"/>
      <c r="H179" s="20"/>
      <c r="I179" s="9"/>
      <c r="J179" s="9"/>
      <c r="K179" s="9"/>
    </row>
    <row r="180" spans="1:11" s="13" customFormat="1" ht="29.25" thickBot="1" x14ac:dyDescent="0.3">
      <c r="A180" s="19" t="s">
        <v>47</v>
      </c>
      <c r="B180" s="10"/>
      <c r="C180" s="14">
        <v>46346</v>
      </c>
      <c r="D180" s="11"/>
      <c r="E180" s="11"/>
      <c r="F180" s="12">
        <f t="shared" si="5"/>
        <v>0</v>
      </c>
      <c r="G180" s="20"/>
      <c r="H180" s="20"/>
      <c r="I180" s="9"/>
      <c r="J180" s="9"/>
      <c r="K180" s="9"/>
    </row>
    <row r="181" spans="1:11" s="13" customFormat="1" ht="29.25" thickBot="1" x14ac:dyDescent="0.3">
      <c r="A181" s="19" t="s">
        <v>47</v>
      </c>
      <c r="B181" s="10"/>
      <c r="C181" s="14">
        <v>46346</v>
      </c>
      <c r="D181" s="11"/>
      <c r="E181" s="11"/>
      <c r="F181" s="12">
        <f t="shared" si="5"/>
        <v>0</v>
      </c>
      <c r="G181" s="20"/>
      <c r="H181" s="20"/>
      <c r="I181" s="9"/>
      <c r="J181" s="9"/>
      <c r="K181" s="9"/>
    </row>
    <row r="182" spans="1:11" s="13" customFormat="1" ht="29.25" thickBot="1" x14ac:dyDescent="0.3">
      <c r="A182" s="19" t="s">
        <v>47</v>
      </c>
      <c r="B182" s="10"/>
      <c r="C182" s="14">
        <v>46347</v>
      </c>
      <c r="D182" s="11">
        <v>0.35416666666666669</v>
      </c>
      <c r="E182" s="11">
        <v>0.6875</v>
      </c>
      <c r="F182" s="12">
        <f>+(E182-D182)*24</f>
        <v>8</v>
      </c>
      <c r="G182" s="20" t="s">
        <v>21</v>
      </c>
      <c r="H182" s="20" t="s">
        <v>30</v>
      </c>
      <c r="I182" s="9"/>
      <c r="J182" s="9" t="s">
        <v>71</v>
      </c>
      <c r="K182" s="9"/>
    </row>
    <row r="183" spans="1:11" s="13" customFormat="1" ht="29.25" thickBot="1" x14ac:dyDescent="0.3">
      <c r="A183" s="19" t="s">
        <v>47</v>
      </c>
      <c r="B183" s="10"/>
      <c r="C183" s="14">
        <v>46347</v>
      </c>
      <c r="D183" s="11"/>
      <c r="E183" s="11"/>
      <c r="F183" s="12"/>
      <c r="G183" s="20"/>
      <c r="H183" s="20"/>
      <c r="I183" s="9"/>
      <c r="J183" s="9"/>
      <c r="K183" s="9"/>
    </row>
    <row r="184" spans="1:11" s="13" customFormat="1" ht="29.25" thickBot="1" x14ac:dyDescent="0.3">
      <c r="A184" s="19" t="s">
        <v>47</v>
      </c>
      <c r="B184" s="10"/>
      <c r="C184" s="14">
        <v>46347</v>
      </c>
      <c r="D184" s="11"/>
      <c r="E184" s="11"/>
      <c r="F184" s="12">
        <f t="shared" ref="F184:F190" si="6">+(E184-D184)*24</f>
        <v>0</v>
      </c>
      <c r="G184" s="20"/>
      <c r="H184" s="20"/>
      <c r="I184" s="9"/>
      <c r="J184" s="9"/>
      <c r="K184" s="9"/>
    </row>
    <row r="185" spans="1:11" s="13" customFormat="1" ht="29.25" thickBot="1" x14ac:dyDescent="0.3">
      <c r="A185" s="19" t="s">
        <v>47</v>
      </c>
      <c r="B185" s="10"/>
      <c r="C185" s="14">
        <v>46347</v>
      </c>
      <c r="D185" s="11"/>
      <c r="E185" s="11"/>
      <c r="F185" s="12">
        <f t="shared" si="6"/>
        <v>0</v>
      </c>
      <c r="G185" s="20"/>
      <c r="H185" s="20"/>
      <c r="I185" s="9"/>
      <c r="J185" s="9"/>
      <c r="K185" s="9"/>
    </row>
    <row r="186" spans="1:11" s="13" customFormat="1" ht="29.25" thickBot="1" x14ac:dyDescent="0.3">
      <c r="A186" s="19" t="s">
        <v>47</v>
      </c>
      <c r="B186" s="10"/>
      <c r="C186" s="14">
        <v>46347</v>
      </c>
      <c r="D186" s="11"/>
      <c r="E186" s="11"/>
      <c r="F186" s="12">
        <f t="shared" si="6"/>
        <v>0</v>
      </c>
      <c r="G186" s="20"/>
      <c r="H186" s="20"/>
      <c r="I186" s="9"/>
      <c r="J186" s="9"/>
      <c r="K186" s="9"/>
    </row>
    <row r="187" spans="1:11" s="13" customFormat="1" ht="29.25" thickBot="1" x14ac:dyDescent="0.3">
      <c r="A187" s="19" t="s">
        <v>47</v>
      </c>
      <c r="B187" s="10"/>
      <c r="C187" s="14">
        <v>46347</v>
      </c>
      <c r="D187" s="11"/>
      <c r="E187" s="11"/>
      <c r="F187" s="12">
        <f t="shared" si="6"/>
        <v>0</v>
      </c>
      <c r="G187" s="20"/>
      <c r="H187" s="20"/>
      <c r="I187" s="9"/>
      <c r="J187" s="9"/>
      <c r="K187" s="9"/>
    </row>
    <row r="188" spans="1:11" s="13" customFormat="1" ht="29.25" thickBot="1" x14ac:dyDescent="0.3">
      <c r="A188" s="19" t="s">
        <v>47</v>
      </c>
      <c r="B188" s="10"/>
      <c r="C188" s="14">
        <v>46347</v>
      </c>
      <c r="D188" s="11"/>
      <c r="E188" s="11"/>
      <c r="F188" s="12">
        <f t="shared" si="6"/>
        <v>0</v>
      </c>
      <c r="G188" s="20"/>
      <c r="H188" s="20"/>
      <c r="I188" s="9"/>
      <c r="J188" s="9"/>
      <c r="K188" s="9"/>
    </row>
    <row r="189" spans="1:11" s="13" customFormat="1" ht="29.25" thickBot="1" x14ac:dyDescent="0.3">
      <c r="A189" s="19" t="s">
        <v>47</v>
      </c>
      <c r="B189" s="10"/>
      <c r="C189" s="14">
        <v>46347</v>
      </c>
      <c r="D189" s="11"/>
      <c r="E189" s="11"/>
      <c r="F189" s="12">
        <f t="shared" si="6"/>
        <v>0</v>
      </c>
      <c r="G189" s="20"/>
      <c r="H189" s="20"/>
      <c r="I189" s="9"/>
      <c r="J189" s="9"/>
      <c r="K189" s="9"/>
    </row>
    <row r="190" spans="1:11" s="13" customFormat="1" ht="29.25" thickBot="1" x14ac:dyDescent="0.3">
      <c r="A190" s="19" t="s">
        <v>47</v>
      </c>
      <c r="B190" s="10"/>
      <c r="C190" s="14">
        <v>46348</v>
      </c>
      <c r="D190" s="11"/>
      <c r="E190" s="11"/>
      <c r="F190" s="12">
        <f t="shared" si="6"/>
        <v>0</v>
      </c>
      <c r="G190" s="20"/>
      <c r="H190" s="20"/>
      <c r="I190" s="9"/>
      <c r="J190" s="9"/>
      <c r="K190" s="9"/>
    </row>
    <row r="191" spans="1:11" s="13" customFormat="1" ht="29.25" thickBot="1" x14ac:dyDescent="0.3">
      <c r="A191" s="19" t="s">
        <v>47</v>
      </c>
      <c r="B191" s="10"/>
      <c r="C191" s="14">
        <v>46348</v>
      </c>
      <c r="D191" s="11">
        <v>0.35416666666666669</v>
      </c>
      <c r="E191" s="11">
        <v>0.6875</v>
      </c>
      <c r="F191" s="12">
        <f>+(E191-D191)*24</f>
        <v>8</v>
      </c>
      <c r="G191" s="20" t="s">
        <v>21</v>
      </c>
      <c r="H191" s="20" t="s">
        <v>30</v>
      </c>
      <c r="I191" s="9"/>
      <c r="J191" s="9" t="s">
        <v>71</v>
      </c>
      <c r="K191" s="9"/>
    </row>
    <row r="192" spans="1:11" s="13" customFormat="1" ht="29.25" thickBot="1" x14ac:dyDescent="0.3">
      <c r="A192" s="19" t="s">
        <v>47</v>
      </c>
      <c r="B192" s="10"/>
      <c r="C192" s="14">
        <v>46348</v>
      </c>
      <c r="D192" s="11"/>
      <c r="E192" s="11"/>
      <c r="F192" s="12">
        <f t="shared" si="5"/>
        <v>0</v>
      </c>
      <c r="G192" s="20"/>
      <c r="H192" s="20"/>
      <c r="I192" s="9"/>
      <c r="J192" s="9"/>
      <c r="K192" s="9"/>
    </row>
    <row r="193" spans="1:11" s="13" customFormat="1" ht="29.25" thickBot="1" x14ac:dyDescent="0.3">
      <c r="A193" s="19" t="s">
        <v>47</v>
      </c>
      <c r="B193" s="10"/>
      <c r="C193" s="14">
        <v>46348</v>
      </c>
      <c r="D193" s="11"/>
      <c r="E193" s="11"/>
      <c r="F193" s="12">
        <f t="shared" si="5"/>
        <v>0</v>
      </c>
      <c r="G193" s="20"/>
      <c r="H193" s="20"/>
      <c r="I193" s="9"/>
      <c r="J193" s="9"/>
      <c r="K193" s="9"/>
    </row>
    <row r="194" spans="1:11" s="13" customFormat="1" ht="29.25" thickBot="1" x14ac:dyDescent="0.3">
      <c r="A194" s="19" t="s">
        <v>47</v>
      </c>
      <c r="B194" s="10"/>
      <c r="C194" s="14">
        <v>46348</v>
      </c>
      <c r="D194" s="11"/>
      <c r="E194" s="11"/>
      <c r="F194" s="12">
        <f t="shared" si="5"/>
        <v>0</v>
      </c>
      <c r="G194" s="20"/>
      <c r="H194" s="20"/>
      <c r="I194" s="9"/>
      <c r="J194" s="9"/>
      <c r="K194" s="9"/>
    </row>
    <row r="195" spans="1:11" s="13" customFormat="1" ht="29.25" thickBot="1" x14ac:dyDescent="0.3">
      <c r="A195" s="19" t="s">
        <v>47</v>
      </c>
      <c r="B195" s="10"/>
      <c r="C195" s="14">
        <v>46348</v>
      </c>
      <c r="D195" s="11"/>
      <c r="E195" s="11"/>
      <c r="F195" s="12">
        <f t="shared" si="5"/>
        <v>0</v>
      </c>
      <c r="G195" s="20"/>
      <c r="H195" s="20"/>
      <c r="I195" s="9"/>
      <c r="J195" s="9"/>
      <c r="K195" s="9"/>
    </row>
    <row r="196" spans="1:11" s="13" customFormat="1" ht="29.25" thickBot="1" x14ac:dyDescent="0.3">
      <c r="A196" s="19" t="s">
        <v>47</v>
      </c>
      <c r="B196" s="10"/>
      <c r="C196" s="14">
        <v>46348</v>
      </c>
      <c r="D196" s="11"/>
      <c r="E196" s="11"/>
      <c r="F196" s="12">
        <f t="shared" si="5"/>
        <v>0</v>
      </c>
      <c r="G196" s="20"/>
      <c r="H196" s="20"/>
      <c r="I196" s="9"/>
      <c r="J196" s="9"/>
      <c r="K196" s="9"/>
    </row>
    <row r="197" spans="1:11" s="13" customFormat="1" ht="29.25" thickBot="1" x14ac:dyDescent="0.3">
      <c r="A197" s="19" t="s">
        <v>47</v>
      </c>
      <c r="B197" s="10"/>
      <c r="C197" s="14">
        <v>46348</v>
      </c>
      <c r="D197" s="11"/>
      <c r="E197" s="11"/>
      <c r="F197" s="12">
        <f t="shared" si="5"/>
        <v>0</v>
      </c>
      <c r="G197" s="20"/>
      <c r="H197" s="20"/>
      <c r="I197" s="9"/>
      <c r="J197" s="9"/>
      <c r="K197" s="9"/>
    </row>
    <row r="198" spans="1:11" s="13" customFormat="1" ht="29.25" thickBot="1" x14ac:dyDescent="0.3">
      <c r="A198" s="19" t="s">
        <v>47</v>
      </c>
      <c r="B198" s="10"/>
      <c r="C198" s="14">
        <v>46348</v>
      </c>
      <c r="D198" s="11"/>
      <c r="E198" s="11"/>
      <c r="F198" s="12">
        <f t="shared" ref="F198:F261" si="7">+(E198-D198)*24</f>
        <v>0</v>
      </c>
      <c r="G198" s="20"/>
      <c r="H198" s="20"/>
      <c r="I198" s="9"/>
      <c r="J198" s="9"/>
      <c r="K198" s="9"/>
    </row>
    <row r="199" spans="1:11" s="13" customFormat="1" ht="29.25" thickBot="1" x14ac:dyDescent="0.3">
      <c r="A199" s="19" t="s">
        <v>47</v>
      </c>
      <c r="B199" s="10"/>
      <c r="C199" s="14">
        <v>46349</v>
      </c>
      <c r="D199" s="11"/>
      <c r="E199" s="11"/>
      <c r="F199" s="12">
        <f t="shared" si="7"/>
        <v>0</v>
      </c>
      <c r="G199" s="20"/>
      <c r="H199" s="20"/>
      <c r="I199" s="9"/>
      <c r="J199" s="9"/>
      <c r="K199" s="9"/>
    </row>
    <row r="200" spans="1:11" s="13" customFormat="1" ht="29.25" thickBot="1" x14ac:dyDescent="0.3">
      <c r="A200" s="19" t="s">
        <v>47</v>
      </c>
      <c r="B200" s="10"/>
      <c r="C200" s="14">
        <v>46349</v>
      </c>
      <c r="D200" s="11"/>
      <c r="E200" s="11"/>
      <c r="F200" s="12">
        <f t="shared" si="7"/>
        <v>0</v>
      </c>
      <c r="G200" s="20"/>
      <c r="H200" s="20"/>
      <c r="I200" s="9"/>
      <c r="J200" s="9"/>
      <c r="K200" s="9"/>
    </row>
    <row r="201" spans="1:11" s="13" customFormat="1" ht="29.25" thickBot="1" x14ac:dyDescent="0.3">
      <c r="A201" s="19" t="s">
        <v>47</v>
      </c>
      <c r="B201" s="10"/>
      <c r="C201" s="14">
        <v>46349</v>
      </c>
      <c r="D201" s="11"/>
      <c r="E201" s="11"/>
      <c r="F201" s="12">
        <f t="shared" si="7"/>
        <v>0</v>
      </c>
      <c r="G201" s="20"/>
      <c r="H201" s="20"/>
      <c r="I201" s="9"/>
      <c r="J201" s="9"/>
      <c r="K201" s="9"/>
    </row>
    <row r="202" spans="1:11" s="13" customFormat="1" ht="29.25" thickBot="1" x14ac:dyDescent="0.3">
      <c r="A202" s="19" t="s">
        <v>47</v>
      </c>
      <c r="B202" s="10"/>
      <c r="C202" s="14">
        <v>46349</v>
      </c>
      <c r="D202" s="11"/>
      <c r="E202" s="11"/>
      <c r="F202" s="12">
        <f t="shared" si="7"/>
        <v>0</v>
      </c>
      <c r="G202" s="20"/>
      <c r="H202" s="20"/>
      <c r="I202" s="9"/>
      <c r="J202" s="9"/>
      <c r="K202" s="9"/>
    </row>
    <row r="203" spans="1:11" s="13" customFormat="1" ht="29.25" thickBot="1" x14ac:dyDescent="0.3">
      <c r="A203" s="19" t="s">
        <v>47</v>
      </c>
      <c r="B203" s="10"/>
      <c r="C203" s="14">
        <v>46349</v>
      </c>
      <c r="D203" s="11"/>
      <c r="E203" s="11"/>
      <c r="F203" s="12">
        <f t="shared" si="7"/>
        <v>0</v>
      </c>
      <c r="G203" s="20"/>
      <c r="H203" s="20"/>
      <c r="I203" s="9"/>
      <c r="J203" s="9"/>
      <c r="K203" s="9"/>
    </row>
    <row r="204" spans="1:11" s="13" customFormat="1" ht="29.25" thickBot="1" x14ac:dyDescent="0.3">
      <c r="A204" s="19" t="s">
        <v>47</v>
      </c>
      <c r="B204" s="10"/>
      <c r="C204" s="14">
        <v>46349</v>
      </c>
      <c r="D204" s="11"/>
      <c r="E204" s="11"/>
      <c r="F204" s="12">
        <f t="shared" si="7"/>
        <v>0</v>
      </c>
      <c r="G204" s="20"/>
      <c r="H204" s="20"/>
      <c r="I204" s="9"/>
      <c r="J204" s="9"/>
      <c r="K204" s="9"/>
    </row>
    <row r="205" spans="1:11" s="13" customFormat="1" ht="29.25" thickBot="1" x14ac:dyDescent="0.3">
      <c r="A205" s="19" t="s">
        <v>47</v>
      </c>
      <c r="B205" s="10"/>
      <c r="C205" s="14">
        <v>46349</v>
      </c>
      <c r="D205" s="11"/>
      <c r="E205" s="11"/>
      <c r="F205" s="12">
        <f t="shared" si="7"/>
        <v>0</v>
      </c>
      <c r="G205" s="20"/>
      <c r="H205" s="20"/>
      <c r="I205" s="9"/>
      <c r="J205" s="9"/>
      <c r="K205" s="9"/>
    </row>
    <row r="206" spans="1:11" s="13" customFormat="1" ht="29.25" thickBot="1" x14ac:dyDescent="0.3">
      <c r="A206" s="19" t="s">
        <v>47</v>
      </c>
      <c r="B206" s="10"/>
      <c r="C206" s="14">
        <v>46349</v>
      </c>
      <c r="D206" s="11"/>
      <c r="E206" s="11"/>
      <c r="F206" s="12">
        <f t="shared" si="7"/>
        <v>0</v>
      </c>
      <c r="G206" s="20"/>
      <c r="H206" s="20"/>
      <c r="I206" s="9"/>
      <c r="J206" s="9"/>
      <c r="K206" s="9"/>
    </row>
    <row r="207" spans="1:11" s="13" customFormat="1" ht="29.25" thickBot="1" x14ac:dyDescent="0.3">
      <c r="A207" s="19" t="s">
        <v>47</v>
      </c>
      <c r="B207" s="10"/>
      <c r="C207" s="14">
        <v>46349</v>
      </c>
      <c r="D207" s="11"/>
      <c r="E207" s="11"/>
      <c r="F207" s="12">
        <f t="shared" si="7"/>
        <v>0</v>
      </c>
      <c r="G207" s="20"/>
      <c r="H207" s="20"/>
      <c r="I207" s="9"/>
      <c r="J207" s="9"/>
      <c r="K207" s="9"/>
    </row>
    <row r="208" spans="1:11" s="13" customFormat="1" ht="29.25" thickBot="1" x14ac:dyDescent="0.3">
      <c r="A208" s="19" t="s">
        <v>47</v>
      </c>
      <c r="B208" s="10"/>
      <c r="C208" s="14">
        <v>46350</v>
      </c>
      <c r="D208" s="11"/>
      <c r="E208" s="11"/>
      <c r="F208" s="12">
        <f t="shared" si="7"/>
        <v>0</v>
      </c>
      <c r="G208" s="20"/>
      <c r="H208" s="20"/>
      <c r="I208" s="9"/>
      <c r="J208" s="9"/>
      <c r="K208" s="9"/>
    </row>
    <row r="209" spans="1:11" s="13" customFormat="1" ht="29.25" thickBot="1" x14ac:dyDescent="0.3">
      <c r="A209" s="19" t="s">
        <v>47</v>
      </c>
      <c r="B209" s="10"/>
      <c r="C209" s="14">
        <v>46350</v>
      </c>
      <c r="D209" s="11"/>
      <c r="E209" s="11"/>
      <c r="F209" s="12">
        <f t="shared" si="7"/>
        <v>0</v>
      </c>
      <c r="G209" s="20"/>
      <c r="H209" s="20"/>
      <c r="I209" s="9"/>
      <c r="J209" s="9"/>
      <c r="K209" s="9"/>
    </row>
    <row r="210" spans="1:11" s="13" customFormat="1" ht="29.25" thickBot="1" x14ac:dyDescent="0.3">
      <c r="A210" s="19" t="s">
        <v>47</v>
      </c>
      <c r="B210" s="10"/>
      <c r="C210" s="14">
        <v>46350</v>
      </c>
      <c r="D210" s="11"/>
      <c r="E210" s="11"/>
      <c r="F210" s="12">
        <f t="shared" si="7"/>
        <v>0</v>
      </c>
      <c r="G210" s="20"/>
      <c r="H210" s="20"/>
      <c r="I210" s="9"/>
      <c r="J210" s="9"/>
      <c r="K210" s="9"/>
    </row>
    <row r="211" spans="1:11" s="13" customFormat="1" ht="29.25" thickBot="1" x14ac:dyDescent="0.3">
      <c r="A211" s="19" t="s">
        <v>47</v>
      </c>
      <c r="B211" s="10"/>
      <c r="C211" s="14">
        <v>46350</v>
      </c>
      <c r="D211" s="11"/>
      <c r="E211" s="11"/>
      <c r="F211" s="12">
        <f t="shared" si="7"/>
        <v>0</v>
      </c>
      <c r="G211" s="20"/>
      <c r="H211" s="20"/>
      <c r="I211" s="9"/>
      <c r="J211" s="9"/>
      <c r="K211" s="9"/>
    </row>
    <row r="212" spans="1:11" s="13" customFormat="1" ht="29.25" thickBot="1" x14ac:dyDescent="0.3">
      <c r="A212" s="19" t="s">
        <v>47</v>
      </c>
      <c r="B212" s="10"/>
      <c r="C212" s="14">
        <v>46350</v>
      </c>
      <c r="D212" s="11"/>
      <c r="E212" s="11"/>
      <c r="F212" s="12">
        <f t="shared" si="7"/>
        <v>0</v>
      </c>
      <c r="G212" s="20"/>
      <c r="H212" s="20"/>
      <c r="I212" s="9"/>
      <c r="J212" s="9"/>
      <c r="K212" s="9"/>
    </row>
    <row r="213" spans="1:11" s="13" customFormat="1" ht="29.25" thickBot="1" x14ac:dyDescent="0.3">
      <c r="A213" s="19" t="s">
        <v>47</v>
      </c>
      <c r="B213" s="10"/>
      <c r="C213" s="14">
        <v>46350</v>
      </c>
      <c r="D213" s="11"/>
      <c r="E213" s="11"/>
      <c r="F213" s="12">
        <f t="shared" si="7"/>
        <v>0</v>
      </c>
      <c r="G213" s="20"/>
      <c r="H213" s="20"/>
      <c r="I213" s="9"/>
      <c r="J213" s="9"/>
      <c r="K213" s="9"/>
    </row>
    <row r="214" spans="1:11" s="13" customFormat="1" ht="29.25" thickBot="1" x14ac:dyDescent="0.3">
      <c r="A214" s="19" t="s">
        <v>47</v>
      </c>
      <c r="B214" s="10"/>
      <c r="C214" s="14">
        <v>46350</v>
      </c>
      <c r="D214" s="11"/>
      <c r="E214" s="11"/>
      <c r="F214" s="12">
        <f t="shared" si="7"/>
        <v>0</v>
      </c>
      <c r="G214" s="20"/>
      <c r="H214" s="20"/>
      <c r="I214" s="9"/>
      <c r="J214" s="9"/>
      <c r="K214" s="9"/>
    </row>
    <row r="215" spans="1:11" s="13" customFormat="1" ht="29.25" thickBot="1" x14ac:dyDescent="0.3">
      <c r="A215" s="19" t="s">
        <v>47</v>
      </c>
      <c r="B215" s="10"/>
      <c r="C215" s="14">
        <v>46350</v>
      </c>
      <c r="D215" s="11"/>
      <c r="E215" s="11"/>
      <c r="F215" s="12">
        <f t="shared" si="7"/>
        <v>0</v>
      </c>
      <c r="G215" s="20"/>
      <c r="H215" s="20"/>
      <c r="I215" s="9"/>
      <c r="J215" s="9"/>
      <c r="K215" s="9"/>
    </row>
    <row r="216" spans="1:11" s="13" customFormat="1" ht="29.25" thickBot="1" x14ac:dyDescent="0.3">
      <c r="A216" s="19" t="s">
        <v>47</v>
      </c>
      <c r="B216" s="10"/>
      <c r="C216" s="14">
        <v>46350</v>
      </c>
      <c r="D216" s="11"/>
      <c r="E216" s="11"/>
      <c r="F216" s="12">
        <f t="shared" si="7"/>
        <v>0</v>
      </c>
      <c r="G216" s="20"/>
      <c r="H216" s="20"/>
      <c r="I216" s="9"/>
      <c r="J216" s="9"/>
      <c r="K216" s="9"/>
    </row>
    <row r="217" spans="1:11" s="13" customFormat="1" ht="29.25" thickBot="1" x14ac:dyDescent="0.3">
      <c r="A217" s="19" t="s">
        <v>47</v>
      </c>
      <c r="B217" s="10"/>
      <c r="C217" s="14">
        <v>46351</v>
      </c>
      <c r="D217" s="11"/>
      <c r="E217" s="11"/>
      <c r="F217" s="12">
        <f t="shared" si="7"/>
        <v>0</v>
      </c>
      <c r="G217" s="20"/>
      <c r="H217" s="20"/>
      <c r="I217" s="9"/>
      <c r="J217" s="9"/>
      <c r="K217" s="9"/>
    </row>
    <row r="218" spans="1:11" s="13" customFormat="1" ht="29.25" thickBot="1" x14ac:dyDescent="0.3">
      <c r="A218" s="19" t="s">
        <v>47</v>
      </c>
      <c r="B218" s="10"/>
      <c r="C218" s="14">
        <v>46351</v>
      </c>
      <c r="D218" s="11"/>
      <c r="E218" s="11"/>
      <c r="F218" s="12">
        <f t="shared" si="7"/>
        <v>0</v>
      </c>
      <c r="G218" s="20"/>
      <c r="H218" s="20"/>
      <c r="I218" s="9"/>
      <c r="J218" s="9"/>
      <c r="K218" s="9"/>
    </row>
    <row r="219" spans="1:11" ht="29.25" thickBot="1" x14ac:dyDescent="0.25">
      <c r="A219" s="19" t="s">
        <v>47</v>
      </c>
      <c r="B219" s="10"/>
      <c r="C219" s="14">
        <v>46351</v>
      </c>
      <c r="D219" s="11"/>
      <c r="E219" s="11"/>
      <c r="F219" s="12">
        <f t="shared" si="7"/>
        <v>0</v>
      </c>
      <c r="G219" s="20"/>
      <c r="H219" s="20"/>
      <c r="I219" s="9"/>
      <c r="J219" s="9"/>
      <c r="K219" s="9"/>
    </row>
    <row r="220" spans="1:11" ht="29.25" thickBot="1" x14ac:dyDescent="0.25">
      <c r="A220" s="19" t="s">
        <v>47</v>
      </c>
      <c r="B220" s="10"/>
      <c r="C220" s="14">
        <v>46351</v>
      </c>
      <c r="D220" s="11"/>
      <c r="E220" s="11"/>
      <c r="F220" s="12">
        <f t="shared" si="7"/>
        <v>0</v>
      </c>
      <c r="G220" s="20"/>
      <c r="H220" s="20"/>
      <c r="I220" s="9"/>
      <c r="J220" s="9"/>
      <c r="K220" s="9"/>
    </row>
    <row r="221" spans="1:11" ht="29.25" thickBot="1" x14ac:dyDescent="0.25">
      <c r="A221" s="19" t="s">
        <v>47</v>
      </c>
      <c r="B221" s="10"/>
      <c r="C221" s="14">
        <v>46351</v>
      </c>
      <c r="D221" s="11"/>
      <c r="E221" s="11"/>
      <c r="F221" s="12">
        <f t="shared" si="7"/>
        <v>0</v>
      </c>
      <c r="G221" s="20"/>
      <c r="H221" s="20"/>
      <c r="I221" s="9"/>
      <c r="J221" s="9"/>
      <c r="K221" s="9"/>
    </row>
    <row r="222" spans="1:11" ht="29.25" thickBot="1" x14ac:dyDescent="0.25">
      <c r="A222" s="19" t="s">
        <v>47</v>
      </c>
      <c r="B222" s="10"/>
      <c r="C222" s="14">
        <v>46351</v>
      </c>
      <c r="D222" s="11"/>
      <c r="E222" s="11"/>
      <c r="F222" s="12">
        <f t="shared" si="7"/>
        <v>0</v>
      </c>
      <c r="G222" s="20"/>
      <c r="H222" s="20"/>
      <c r="I222" s="9"/>
      <c r="J222" s="9"/>
      <c r="K222" s="9"/>
    </row>
    <row r="223" spans="1:11" ht="29.25" thickBot="1" x14ac:dyDescent="0.25">
      <c r="A223" s="19" t="s">
        <v>47</v>
      </c>
      <c r="B223" s="10"/>
      <c r="C223" s="14">
        <v>46351</v>
      </c>
      <c r="D223" s="11"/>
      <c r="E223" s="11"/>
      <c r="F223" s="12">
        <f t="shared" si="7"/>
        <v>0</v>
      </c>
      <c r="G223" s="20"/>
      <c r="H223" s="20"/>
      <c r="I223" s="9"/>
      <c r="J223" s="9"/>
      <c r="K223" s="9"/>
    </row>
    <row r="224" spans="1:11" ht="29.25" thickBot="1" x14ac:dyDescent="0.25">
      <c r="A224" s="19" t="s">
        <v>47</v>
      </c>
      <c r="B224" s="10"/>
      <c r="C224" s="14">
        <v>46351</v>
      </c>
      <c r="D224" s="11"/>
      <c r="E224" s="11"/>
      <c r="F224" s="12">
        <f t="shared" si="7"/>
        <v>0</v>
      </c>
      <c r="G224" s="20"/>
      <c r="H224" s="20"/>
      <c r="I224" s="9"/>
      <c r="J224" s="9"/>
      <c r="K224" s="9"/>
    </row>
    <row r="225" spans="1:11" ht="29.25" thickBot="1" x14ac:dyDescent="0.25">
      <c r="A225" s="19" t="s">
        <v>47</v>
      </c>
      <c r="B225" s="10"/>
      <c r="C225" s="14">
        <v>46351</v>
      </c>
      <c r="D225" s="11"/>
      <c r="E225" s="11"/>
      <c r="F225" s="12">
        <f t="shared" si="7"/>
        <v>0</v>
      </c>
      <c r="G225" s="20"/>
      <c r="H225" s="20"/>
      <c r="I225" s="9"/>
      <c r="J225" s="9"/>
      <c r="K225" s="9"/>
    </row>
    <row r="226" spans="1:11" ht="29.25" thickBot="1" x14ac:dyDescent="0.25">
      <c r="A226" s="19" t="s">
        <v>47</v>
      </c>
      <c r="B226" s="10"/>
      <c r="C226" s="14">
        <v>46352</v>
      </c>
      <c r="D226" s="11"/>
      <c r="E226" s="11"/>
      <c r="F226" s="12">
        <f t="shared" si="7"/>
        <v>0</v>
      </c>
      <c r="G226" s="20"/>
      <c r="H226" s="20"/>
      <c r="I226" s="9"/>
      <c r="J226" s="9"/>
      <c r="K226" s="9"/>
    </row>
    <row r="227" spans="1:11" ht="29.25" thickBot="1" x14ac:dyDescent="0.25">
      <c r="A227" s="19" t="s">
        <v>47</v>
      </c>
      <c r="B227" s="10"/>
      <c r="C227" s="14">
        <v>46352</v>
      </c>
      <c r="D227" s="11"/>
      <c r="E227" s="11"/>
      <c r="F227" s="12">
        <f t="shared" si="7"/>
        <v>0</v>
      </c>
      <c r="G227" s="20"/>
      <c r="H227" s="20"/>
      <c r="I227" s="9"/>
      <c r="J227" s="9"/>
      <c r="K227" s="9"/>
    </row>
    <row r="228" spans="1:11" ht="29.25" thickBot="1" x14ac:dyDescent="0.25">
      <c r="A228" s="19" t="s">
        <v>47</v>
      </c>
      <c r="B228" s="10"/>
      <c r="C228" s="14">
        <v>46352</v>
      </c>
      <c r="D228" s="11"/>
      <c r="E228" s="11"/>
      <c r="F228" s="12">
        <f t="shared" si="7"/>
        <v>0</v>
      </c>
      <c r="G228" s="20"/>
      <c r="H228" s="20"/>
      <c r="I228" s="9"/>
      <c r="J228" s="9"/>
      <c r="K228" s="9"/>
    </row>
    <row r="229" spans="1:11" ht="29.25" thickBot="1" x14ac:dyDescent="0.25">
      <c r="A229" s="19" t="s">
        <v>47</v>
      </c>
      <c r="B229" s="10"/>
      <c r="C229" s="14">
        <v>46352</v>
      </c>
      <c r="D229" s="11"/>
      <c r="E229" s="11"/>
      <c r="F229" s="12">
        <f t="shared" si="7"/>
        <v>0</v>
      </c>
      <c r="G229" s="20"/>
      <c r="H229" s="20"/>
      <c r="I229" s="9"/>
      <c r="J229" s="9"/>
      <c r="K229" s="9"/>
    </row>
    <row r="230" spans="1:11" ht="29.25" thickBot="1" x14ac:dyDescent="0.25">
      <c r="A230" s="19" t="s">
        <v>47</v>
      </c>
      <c r="B230" s="10"/>
      <c r="C230" s="14">
        <v>46352</v>
      </c>
      <c r="D230" s="11"/>
      <c r="E230" s="11"/>
      <c r="F230" s="12">
        <f t="shared" si="7"/>
        <v>0</v>
      </c>
      <c r="G230" s="20"/>
      <c r="H230" s="20"/>
      <c r="I230" s="9"/>
      <c r="J230" s="9"/>
      <c r="K230" s="9"/>
    </row>
    <row r="231" spans="1:11" ht="29.25" thickBot="1" x14ac:dyDescent="0.25">
      <c r="A231" s="19" t="s">
        <v>47</v>
      </c>
      <c r="B231" s="10"/>
      <c r="C231" s="14">
        <v>46352</v>
      </c>
      <c r="D231" s="11"/>
      <c r="E231" s="11"/>
      <c r="F231" s="12">
        <f t="shared" si="7"/>
        <v>0</v>
      </c>
      <c r="G231" s="20"/>
      <c r="H231" s="20"/>
      <c r="I231" s="9"/>
      <c r="J231" s="9"/>
      <c r="K231" s="9"/>
    </row>
    <row r="232" spans="1:11" ht="29.25" thickBot="1" x14ac:dyDescent="0.25">
      <c r="A232" s="19" t="s">
        <v>47</v>
      </c>
      <c r="B232" s="10"/>
      <c r="C232" s="14">
        <v>46352</v>
      </c>
      <c r="D232" s="11"/>
      <c r="E232" s="11"/>
      <c r="F232" s="12">
        <f t="shared" si="7"/>
        <v>0</v>
      </c>
      <c r="G232" s="20"/>
      <c r="H232" s="20"/>
      <c r="I232" s="9"/>
      <c r="J232" s="9"/>
      <c r="K232" s="9"/>
    </row>
    <row r="233" spans="1:11" ht="29.25" thickBot="1" x14ac:dyDescent="0.25">
      <c r="A233" s="19" t="s">
        <v>47</v>
      </c>
      <c r="B233" s="10"/>
      <c r="C233" s="14">
        <v>46352</v>
      </c>
      <c r="D233" s="11"/>
      <c r="E233" s="11"/>
      <c r="F233" s="12">
        <f t="shared" si="7"/>
        <v>0</v>
      </c>
      <c r="G233" s="20"/>
      <c r="H233" s="20"/>
      <c r="I233" s="9"/>
      <c r="J233" s="9"/>
      <c r="K233" s="9"/>
    </row>
    <row r="234" spans="1:11" ht="29.25" thickBot="1" x14ac:dyDescent="0.25">
      <c r="A234" s="19" t="s">
        <v>47</v>
      </c>
      <c r="B234" s="10"/>
      <c r="C234" s="14">
        <v>46352</v>
      </c>
      <c r="D234" s="11"/>
      <c r="E234" s="11"/>
      <c r="F234" s="12">
        <f t="shared" si="7"/>
        <v>0</v>
      </c>
      <c r="G234" s="20"/>
      <c r="H234" s="20"/>
      <c r="I234" s="9"/>
      <c r="J234" s="9"/>
      <c r="K234" s="9"/>
    </row>
    <row r="235" spans="1:11" ht="29.25" thickBot="1" x14ac:dyDescent="0.25">
      <c r="A235" s="19" t="s">
        <v>47</v>
      </c>
      <c r="B235" s="10"/>
      <c r="C235" s="14">
        <v>46353</v>
      </c>
      <c r="D235" s="11"/>
      <c r="E235" s="11"/>
      <c r="F235" s="12">
        <f t="shared" si="7"/>
        <v>0</v>
      </c>
      <c r="G235" s="20"/>
      <c r="H235" s="20"/>
      <c r="I235" s="9"/>
      <c r="J235" s="9"/>
      <c r="K235" s="9"/>
    </row>
    <row r="236" spans="1:11" ht="29.25" thickBot="1" x14ac:dyDescent="0.25">
      <c r="A236" s="19" t="s">
        <v>47</v>
      </c>
      <c r="B236" s="10"/>
      <c r="C236" s="14">
        <v>46353</v>
      </c>
      <c r="D236" s="11"/>
      <c r="E236" s="11"/>
      <c r="F236" s="12">
        <f t="shared" si="7"/>
        <v>0</v>
      </c>
      <c r="G236" s="20"/>
      <c r="H236" s="20"/>
      <c r="I236" s="9"/>
      <c r="J236" s="9"/>
      <c r="K236" s="9"/>
    </row>
    <row r="237" spans="1:11" ht="29.25" thickBot="1" x14ac:dyDescent="0.25">
      <c r="A237" s="19" t="s">
        <v>47</v>
      </c>
      <c r="B237" s="10"/>
      <c r="C237" s="14">
        <v>46353</v>
      </c>
      <c r="D237" s="11"/>
      <c r="E237" s="11"/>
      <c r="F237" s="12">
        <f t="shared" si="7"/>
        <v>0</v>
      </c>
      <c r="G237" s="20"/>
      <c r="H237" s="20"/>
      <c r="I237" s="9"/>
      <c r="J237" s="9"/>
      <c r="K237" s="9"/>
    </row>
    <row r="238" spans="1:11" ht="29.25" thickBot="1" x14ac:dyDescent="0.25">
      <c r="A238" s="19" t="s">
        <v>47</v>
      </c>
      <c r="B238" s="10"/>
      <c r="C238" s="14">
        <v>46353</v>
      </c>
      <c r="D238" s="11"/>
      <c r="E238" s="11"/>
      <c r="F238" s="12">
        <f t="shared" si="7"/>
        <v>0</v>
      </c>
      <c r="G238" s="20"/>
      <c r="H238" s="20"/>
      <c r="I238" s="9"/>
      <c r="J238" s="9"/>
      <c r="K238" s="9"/>
    </row>
    <row r="239" spans="1:11" ht="29.25" thickBot="1" x14ac:dyDescent="0.25">
      <c r="A239" s="19" t="s">
        <v>47</v>
      </c>
      <c r="B239" s="10"/>
      <c r="C239" s="14">
        <v>46353</v>
      </c>
      <c r="D239" s="11"/>
      <c r="E239" s="11"/>
      <c r="F239" s="12">
        <f t="shared" si="7"/>
        <v>0</v>
      </c>
      <c r="G239" s="20"/>
      <c r="H239" s="20"/>
      <c r="I239" s="9"/>
      <c r="J239" s="9"/>
      <c r="K239" s="9"/>
    </row>
    <row r="240" spans="1:11" ht="29.25" thickBot="1" x14ac:dyDescent="0.25">
      <c r="A240" s="19" t="s">
        <v>47</v>
      </c>
      <c r="B240" s="10"/>
      <c r="C240" s="14">
        <v>46353</v>
      </c>
      <c r="D240" s="11"/>
      <c r="E240" s="11"/>
      <c r="F240" s="12">
        <f t="shared" si="7"/>
        <v>0</v>
      </c>
      <c r="G240" s="20"/>
      <c r="H240" s="20"/>
      <c r="I240" s="9"/>
      <c r="J240" s="9"/>
      <c r="K240" s="9"/>
    </row>
    <row r="241" spans="1:11" ht="29.25" thickBot="1" x14ac:dyDescent="0.25">
      <c r="A241" s="19" t="s">
        <v>47</v>
      </c>
      <c r="B241" s="10"/>
      <c r="C241" s="14">
        <v>46353</v>
      </c>
      <c r="D241" s="11"/>
      <c r="E241" s="11"/>
      <c r="F241" s="12">
        <f t="shared" si="7"/>
        <v>0</v>
      </c>
      <c r="G241" s="20"/>
      <c r="H241" s="20"/>
      <c r="I241" s="9"/>
      <c r="J241" s="9"/>
      <c r="K241" s="9"/>
    </row>
    <row r="242" spans="1:11" ht="29.25" thickBot="1" x14ac:dyDescent="0.25">
      <c r="A242" s="19" t="s">
        <v>47</v>
      </c>
      <c r="B242" s="10"/>
      <c r="C242" s="14">
        <v>46353</v>
      </c>
      <c r="D242" s="11"/>
      <c r="E242" s="11"/>
      <c r="F242" s="12">
        <f t="shared" si="7"/>
        <v>0</v>
      </c>
      <c r="G242" s="20"/>
      <c r="H242" s="20"/>
      <c r="I242" s="9"/>
      <c r="J242" s="9"/>
      <c r="K242" s="9"/>
    </row>
    <row r="243" spans="1:11" ht="29.25" thickBot="1" x14ac:dyDescent="0.25">
      <c r="A243" s="19" t="s">
        <v>47</v>
      </c>
      <c r="B243" s="10"/>
      <c r="C243" s="14">
        <v>46353</v>
      </c>
      <c r="D243" s="11"/>
      <c r="E243" s="11"/>
      <c r="F243" s="12">
        <f t="shared" si="7"/>
        <v>0</v>
      </c>
      <c r="G243" s="20"/>
      <c r="H243" s="20"/>
      <c r="I243" s="9"/>
      <c r="J243" s="9"/>
      <c r="K243" s="9"/>
    </row>
    <row r="244" spans="1:11" ht="29.25" thickBot="1" x14ac:dyDescent="0.25">
      <c r="A244" s="19" t="s">
        <v>47</v>
      </c>
      <c r="B244" s="10"/>
      <c r="C244" s="14">
        <v>46354</v>
      </c>
      <c r="D244" s="11">
        <v>0.35416666666666669</v>
      </c>
      <c r="E244" s="11">
        <v>0.6875</v>
      </c>
      <c r="F244" s="12">
        <f>+(E244-D244)*24</f>
        <v>8</v>
      </c>
      <c r="G244" s="20" t="s">
        <v>21</v>
      </c>
      <c r="H244" s="20" t="s">
        <v>30</v>
      </c>
      <c r="I244" s="9"/>
      <c r="J244" s="9" t="s">
        <v>71</v>
      </c>
      <c r="K244" s="9"/>
    </row>
    <row r="245" spans="1:11" ht="29.25" thickBot="1" x14ac:dyDescent="0.25">
      <c r="A245" s="19" t="s">
        <v>47</v>
      </c>
      <c r="B245" s="10"/>
      <c r="C245" s="14">
        <v>46354</v>
      </c>
      <c r="D245" s="11"/>
      <c r="E245" s="11"/>
      <c r="F245" s="12"/>
      <c r="G245" s="20"/>
      <c r="H245" s="20"/>
      <c r="I245" s="9"/>
      <c r="J245" s="9"/>
      <c r="K245" s="9"/>
    </row>
    <row r="246" spans="1:11" ht="29.25" thickBot="1" x14ac:dyDescent="0.25">
      <c r="A246" s="19" t="s">
        <v>47</v>
      </c>
      <c r="B246" s="10"/>
      <c r="C246" s="14">
        <v>46354</v>
      </c>
      <c r="D246" s="11"/>
      <c r="E246" s="11"/>
      <c r="F246" s="12">
        <f t="shared" ref="F246:F252" si="8">+(E246-D246)*24</f>
        <v>0</v>
      </c>
      <c r="G246" s="20"/>
      <c r="H246" s="20"/>
      <c r="I246" s="9"/>
      <c r="J246" s="9"/>
      <c r="K246" s="9"/>
    </row>
    <row r="247" spans="1:11" ht="29.25" thickBot="1" x14ac:dyDescent="0.25">
      <c r="A247" s="19" t="s">
        <v>47</v>
      </c>
      <c r="B247" s="10"/>
      <c r="C247" s="14">
        <v>46354</v>
      </c>
      <c r="D247" s="11"/>
      <c r="E247" s="11"/>
      <c r="F247" s="12">
        <f t="shared" si="8"/>
        <v>0</v>
      </c>
      <c r="G247" s="20"/>
      <c r="H247" s="20"/>
      <c r="I247" s="9"/>
      <c r="J247" s="9"/>
      <c r="K247" s="9"/>
    </row>
    <row r="248" spans="1:11" ht="29.25" thickBot="1" x14ac:dyDescent="0.25">
      <c r="A248" s="19" t="s">
        <v>47</v>
      </c>
      <c r="B248" s="10"/>
      <c r="C248" s="14">
        <v>46354</v>
      </c>
      <c r="D248" s="11"/>
      <c r="E248" s="11"/>
      <c r="F248" s="12">
        <f t="shared" si="8"/>
        <v>0</v>
      </c>
      <c r="G248" s="20"/>
      <c r="H248" s="20"/>
      <c r="I248" s="9"/>
      <c r="J248" s="9"/>
      <c r="K248" s="9"/>
    </row>
    <row r="249" spans="1:11" ht="29.25" thickBot="1" x14ac:dyDescent="0.25">
      <c r="A249" s="19" t="s">
        <v>47</v>
      </c>
      <c r="B249" s="10"/>
      <c r="C249" s="14">
        <v>46354</v>
      </c>
      <c r="D249" s="11"/>
      <c r="E249" s="11"/>
      <c r="F249" s="12">
        <f t="shared" si="8"/>
        <v>0</v>
      </c>
      <c r="G249" s="20"/>
      <c r="H249" s="20"/>
      <c r="I249" s="9"/>
      <c r="J249" s="9"/>
      <c r="K249" s="9"/>
    </row>
    <row r="250" spans="1:11" ht="29.25" thickBot="1" x14ac:dyDescent="0.25">
      <c r="A250" s="19" t="s">
        <v>47</v>
      </c>
      <c r="B250" s="10"/>
      <c r="C250" s="14">
        <v>46354</v>
      </c>
      <c r="D250" s="11"/>
      <c r="E250" s="11"/>
      <c r="F250" s="12">
        <f t="shared" si="8"/>
        <v>0</v>
      </c>
      <c r="G250" s="20"/>
      <c r="H250" s="20"/>
      <c r="I250" s="9"/>
      <c r="J250" s="9"/>
      <c r="K250" s="9"/>
    </row>
    <row r="251" spans="1:11" ht="29.25" thickBot="1" x14ac:dyDescent="0.25">
      <c r="A251" s="19" t="s">
        <v>47</v>
      </c>
      <c r="B251" s="10"/>
      <c r="C251" s="14">
        <v>46354</v>
      </c>
      <c r="D251" s="11"/>
      <c r="E251" s="11"/>
      <c r="F251" s="12">
        <f t="shared" si="8"/>
        <v>0</v>
      </c>
      <c r="G251" s="20"/>
      <c r="H251" s="20"/>
      <c r="I251" s="9"/>
      <c r="J251" s="9"/>
      <c r="K251" s="9"/>
    </row>
    <row r="252" spans="1:11" ht="29.25" thickBot="1" x14ac:dyDescent="0.25">
      <c r="A252" s="19" t="s">
        <v>47</v>
      </c>
      <c r="B252" s="10"/>
      <c r="C252" s="14">
        <v>46354</v>
      </c>
      <c r="D252" s="11"/>
      <c r="E252" s="11"/>
      <c r="F252" s="12">
        <f t="shared" si="8"/>
        <v>0</v>
      </c>
      <c r="G252" s="20"/>
      <c r="H252" s="20"/>
      <c r="I252" s="9"/>
      <c r="J252" s="9"/>
      <c r="K252" s="9"/>
    </row>
    <row r="253" spans="1:11" ht="29.25" thickBot="1" x14ac:dyDescent="0.25">
      <c r="A253" s="19" t="s">
        <v>47</v>
      </c>
      <c r="B253" s="10"/>
      <c r="C253" s="14">
        <v>46355</v>
      </c>
      <c r="D253" s="11">
        <v>0.35416666666666669</v>
      </c>
      <c r="E253" s="11">
        <v>0.6875</v>
      </c>
      <c r="F253" s="12">
        <f>+(E253-D253)*24</f>
        <v>8</v>
      </c>
      <c r="G253" s="20" t="s">
        <v>21</v>
      </c>
      <c r="H253" s="20" t="s">
        <v>30</v>
      </c>
      <c r="I253" s="9"/>
      <c r="J253" s="9" t="s">
        <v>71</v>
      </c>
      <c r="K253" s="9"/>
    </row>
    <row r="254" spans="1:11" ht="29.25" thickBot="1" x14ac:dyDescent="0.25">
      <c r="A254" s="19" t="s">
        <v>47</v>
      </c>
      <c r="B254" s="10"/>
      <c r="C254" s="14">
        <v>46355</v>
      </c>
      <c r="D254" s="11"/>
      <c r="E254" s="11"/>
      <c r="F254" s="12">
        <f t="shared" si="7"/>
        <v>0</v>
      </c>
      <c r="G254" s="20"/>
      <c r="H254" s="20"/>
      <c r="I254" s="9"/>
      <c r="J254" s="9"/>
      <c r="K254" s="9"/>
    </row>
    <row r="255" spans="1:11" ht="29.25" thickBot="1" x14ac:dyDescent="0.25">
      <c r="A255" s="19" t="s">
        <v>47</v>
      </c>
      <c r="B255" s="10"/>
      <c r="C255" s="14">
        <v>46355</v>
      </c>
      <c r="D255" s="11"/>
      <c r="E255" s="11"/>
      <c r="F255" s="12">
        <f t="shared" si="7"/>
        <v>0</v>
      </c>
      <c r="G255" s="20"/>
      <c r="H255" s="20"/>
      <c r="I255" s="9"/>
      <c r="J255" s="9"/>
      <c r="K255" s="9"/>
    </row>
    <row r="256" spans="1:11" ht="29.25" thickBot="1" x14ac:dyDescent="0.25">
      <c r="A256" s="19" t="s">
        <v>47</v>
      </c>
      <c r="B256" s="10"/>
      <c r="C256" s="14">
        <v>46355</v>
      </c>
      <c r="D256" s="11"/>
      <c r="E256" s="11"/>
      <c r="F256" s="12">
        <f t="shared" si="7"/>
        <v>0</v>
      </c>
      <c r="G256" s="20"/>
      <c r="H256" s="20"/>
      <c r="I256" s="9"/>
      <c r="J256" s="9"/>
      <c r="K256" s="9"/>
    </row>
    <row r="257" spans="1:11" ht="29.25" thickBot="1" x14ac:dyDescent="0.25">
      <c r="A257" s="19" t="s">
        <v>47</v>
      </c>
      <c r="B257" s="10"/>
      <c r="C257" s="14">
        <v>46355</v>
      </c>
      <c r="D257" s="11"/>
      <c r="E257" s="11"/>
      <c r="F257" s="12">
        <f t="shared" si="7"/>
        <v>0</v>
      </c>
      <c r="G257" s="20"/>
      <c r="H257" s="20"/>
      <c r="I257" s="9"/>
      <c r="J257" s="9"/>
      <c r="K257" s="9"/>
    </row>
    <row r="258" spans="1:11" s="7" customFormat="1" ht="29.25" thickBot="1" x14ac:dyDescent="0.25">
      <c r="A258" s="19" t="s">
        <v>47</v>
      </c>
      <c r="B258" s="10"/>
      <c r="C258" s="14">
        <v>46355</v>
      </c>
      <c r="D258" s="11"/>
      <c r="E258" s="11"/>
      <c r="F258" s="12">
        <f t="shared" si="7"/>
        <v>0</v>
      </c>
      <c r="G258" s="20"/>
      <c r="H258" s="20"/>
      <c r="I258" s="9"/>
      <c r="J258" s="9"/>
      <c r="K258" s="9"/>
    </row>
    <row r="259" spans="1:11" s="7" customFormat="1" ht="29.25" thickBot="1" x14ac:dyDescent="0.25">
      <c r="A259" s="19" t="s">
        <v>47</v>
      </c>
      <c r="B259" s="10"/>
      <c r="C259" s="14">
        <v>46355</v>
      </c>
      <c r="D259" s="11"/>
      <c r="E259" s="11"/>
      <c r="F259" s="12">
        <f t="shared" si="7"/>
        <v>0</v>
      </c>
      <c r="G259" s="20"/>
      <c r="H259" s="20"/>
      <c r="I259" s="9"/>
      <c r="J259" s="9"/>
      <c r="K259" s="9"/>
    </row>
    <row r="260" spans="1:11" s="7" customFormat="1" ht="29.25" thickBot="1" x14ac:dyDescent="0.25">
      <c r="A260" s="19" t="s">
        <v>47</v>
      </c>
      <c r="B260" s="10"/>
      <c r="C260" s="14">
        <v>46355</v>
      </c>
      <c r="D260" s="11"/>
      <c r="E260" s="11"/>
      <c r="F260" s="12">
        <f t="shared" si="7"/>
        <v>0</v>
      </c>
      <c r="G260" s="20"/>
      <c r="H260" s="20"/>
      <c r="I260" s="9"/>
      <c r="J260" s="9"/>
      <c r="K260" s="9"/>
    </row>
    <row r="261" spans="1:11" s="7" customFormat="1" ht="29.25" thickBot="1" x14ac:dyDescent="0.25">
      <c r="A261" s="19" t="s">
        <v>47</v>
      </c>
      <c r="B261" s="10"/>
      <c r="C261" s="14">
        <v>46355</v>
      </c>
      <c r="D261" s="11"/>
      <c r="E261" s="11"/>
      <c r="F261" s="12">
        <f t="shared" si="7"/>
        <v>0</v>
      </c>
      <c r="G261" s="20"/>
      <c r="H261" s="20"/>
      <c r="I261" s="9"/>
      <c r="J261" s="9"/>
      <c r="K261" s="9"/>
    </row>
    <row r="262" spans="1:11" s="7" customFormat="1" ht="29.25" thickBot="1" x14ac:dyDescent="0.25">
      <c r="A262" s="19" t="s">
        <v>47</v>
      </c>
      <c r="B262" s="10"/>
      <c r="C262" s="14">
        <v>46356</v>
      </c>
      <c r="D262" s="11"/>
      <c r="E262" s="11"/>
      <c r="F262" s="12">
        <f t="shared" ref="F262:F298" si="9">+(E262-D262)*24</f>
        <v>0</v>
      </c>
      <c r="G262" s="20"/>
      <c r="H262" s="20"/>
      <c r="I262" s="9"/>
      <c r="J262" s="9"/>
      <c r="K262" s="9"/>
    </row>
    <row r="263" spans="1:11" s="7" customFormat="1" ht="29.25" thickBot="1" x14ac:dyDescent="0.25">
      <c r="A263" s="19" t="s">
        <v>47</v>
      </c>
      <c r="B263" s="10"/>
      <c r="C263" s="14">
        <v>46356</v>
      </c>
      <c r="D263" s="11"/>
      <c r="E263" s="11"/>
      <c r="F263" s="12">
        <f t="shared" si="9"/>
        <v>0</v>
      </c>
      <c r="G263" s="20"/>
      <c r="H263" s="20"/>
      <c r="I263" s="9"/>
      <c r="J263" s="9"/>
      <c r="K263" s="9"/>
    </row>
    <row r="264" spans="1:11" s="7" customFormat="1" ht="29.25" thickBot="1" x14ac:dyDescent="0.25">
      <c r="A264" s="19" t="s">
        <v>47</v>
      </c>
      <c r="B264" s="10"/>
      <c r="C264" s="14">
        <v>46356</v>
      </c>
      <c r="D264" s="11"/>
      <c r="E264" s="11"/>
      <c r="F264" s="12">
        <f t="shared" si="9"/>
        <v>0</v>
      </c>
      <c r="G264" s="20"/>
      <c r="H264" s="20"/>
      <c r="I264" s="9"/>
      <c r="J264" s="9"/>
      <c r="K264" s="9"/>
    </row>
    <row r="265" spans="1:11" s="7" customFormat="1" ht="29.25" thickBot="1" x14ac:dyDescent="0.25">
      <c r="A265" s="19" t="s">
        <v>47</v>
      </c>
      <c r="B265" s="10"/>
      <c r="C265" s="14">
        <v>46356</v>
      </c>
      <c r="D265" s="11"/>
      <c r="E265" s="11"/>
      <c r="F265" s="12">
        <f t="shared" si="9"/>
        <v>0</v>
      </c>
      <c r="G265" s="20"/>
      <c r="H265" s="20"/>
      <c r="I265" s="9"/>
      <c r="J265" s="9"/>
      <c r="K265" s="9"/>
    </row>
    <row r="266" spans="1:11" s="7" customFormat="1" ht="29.25" thickBot="1" x14ac:dyDescent="0.25">
      <c r="A266" s="19" t="s">
        <v>47</v>
      </c>
      <c r="B266" s="10"/>
      <c r="C266" s="14">
        <v>46356</v>
      </c>
      <c r="D266" s="11"/>
      <c r="E266" s="11"/>
      <c r="F266" s="12">
        <f t="shared" si="9"/>
        <v>0</v>
      </c>
      <c r="G266" s="20"/>
      <c r="H266" s="20"/>
      <c r="I266" s="9"/>
      <c r="J266" s="9"/>
      <c r="K266" s="9"/>
    </row>
    <row r="267" spans="1:11" s="7" customFormat="1" ht="29.25" thickBot="1" x14ac:dyDescent="0.25">
      <c r="A267" s="19" t="s">
        <v>47</v>
      </c>
      <c r="B267" s="10"/>
      <c r="C267" s="14">
        <v>46356</v>
      </c>
      <c r="D267" s="11"/>
      <c r="E267" s="11"/>
      <c r="F267" s="12">
        <f t="shared" si="9"/>
        <v>0</v>
      </c>
      <c r="G267" s="20"/>
      <c r="H267" s="20"/>
      <c r="I267" s="9"/>
      <c r="J267" s="9"/>
      <c r="K267" s="9"/>
    </row>
    <row r="268" spans="1:11" s="7" customFormat="1" ht="29.25" thickBot="1" x14ac:dyDescent="0.25">
      <c r="A268" s="19" t="s">
        <v>47</v>
      </c>
      <c r="B268" s="10"/>
      <c r="C268" s="14">
        <v>46356</v>
      </c>
      <c r="D268" s="11"/>
      <c r="E268" s="11"/>
      <c r="F268" s="12">
        <f t="shared" si="9"/>
        <v>0</v>
      </c>
      <c r="G268" s="20"/>
      <c r="H268" s="20"/>
      <c r="I268" s="9"/>
      <c r="J268" s="9"/>
      <c r="K268" s="9"/>
    </row>
    <row r="269" spans="1:11" s="7" customFormat="1" ht="29.25" thickBot="1" x14ac:dyDescent="0.25">
      <c r="A269" s="19" t="s">
        <v>47</v>
      </c>
      <c r="B269" s="10"/>
      <c r="C269" s="14">
        <v>46356</v>
      </c>
      <c r="D269" s="11"/>
      <c r="E269" s="11"/>
      <c r="F269" s="12">
        <f t="shared" si="9"/>
        <v>0</v>
      </c>
      <c r="G269" s="20"/>
      <c r="H269" s="20"/>
      <c r="I269" s="9"/>
      <c r="J269" s="9"/>
      <c r="K269" s="9"/>
    </row>
    <row r="270" spans="1:11" s="7" customFormat="1" ht="29.25" thickBot="1" x14ac:dyDescent="0.25">
      <c r="A270" s="19" t="s">
        <v>47</v>
      </c>
      <c r="B270" s="10"/>
      <c r="C270" s="14">
        <v>46356</v>
      </c>
      <c r="D270" s="11"/>
      <c r="E270" s="11"/>
      <c r="F270" s="12">
        <f t="shared" si="9"/>
        <v>0</v>
      </c>
      <c r="G270" s="20"/>
      <c r="H270" s="20"/>
      <c r="I270" s="9"/>
      <c r="J270" s="9"/>
      <c r="K270" s="9"/>
    </row>
    <row r="271" spans="1:11" s="7" customFormat="1" ht="29.25" thickBot="1" x14ac:dyDescent="0.25">
      <c r="A271" s="19" t="s">
        <v>47</v>
      </c>
      <c r="B271" s="10"/>
      <c r="C271" s="14"/>
      <c r="D271" s="11"/>
      <c r="E271" s="11"/>
      <c r="F271" s="12">
        <f t="shared" si="9"/>
        <v>0</v>
      </c>
      <c r="G271" s="20"/>
      <c r="H271" s="20"/>
      <c r="I271" s="9"/>
      <c r="J271" s="9"/>
      <c r="K271" s="9"/>
    </row>
    <row r="272" spans="1:11" s="7" customFormat="1" ht="29.25" thickBot="1" x14ac:dyDescent="0.25">
      <c r="A272" s="19" t="s">
        <v>47</v>
      </c>
      <c r="B272" s="10"/>
      <c r="C272" s="14"/>
      <c r="D272" s="11"/>
      <c r="E272" s="11"/>
      <c r="F272" s="12">
        <f t="shared" si="9"/>
        <v>0</v>
      </c>
      <c r="G272" s="20"/>
      <c r="H272" s="20"/>
      <c r="I272" s="9"/>
      <c r="J272" s="9"/>
      <c r="K272" s="9"/>
    </row>
    <row r="273" spans="1:11" s="7" customFormat="1" ht="29.25" thickBot="1" x14ac:dyDescent="0.25">
      <c r="A273" s="19" t="s">
        <v>47</v>
      </c>
      <c r="B273" s="10"/>
      <c r="C273" s="14"/>
      <c r="D273" s="11"/>
      <c r="E273" s="11"/>
      <c r="F273" s="12">
        <f t="shared" si="9"/>
        <v>0</v>
      </c>
      <c r="G273" s="20"/>
      <c r="H273" s="20"/>
      <c r="I273" s="9"/>
      <c r="J273" s="9"/>
      <c r="K273" s="9"/>
    </row>
    <row r="274" spans="1:11" s="7" customFormat="1" ht="29.25" thickBot="1" x14ac:dyDescent="0.25">
      <c r="A274" s="19" t="s">
        <v>47</v>
      </c>
      <c r="B274" s="10"/>
      <c r="C274" s="14"/>
      <c r="D274" s="11"/>
      <c r="E274" s="11"/>
      <c r="F274" s="12">
        <f t="shared" si="9"/>
        <v>0</v>
      </c>
      <c r="G274" s="20"/>
      <c r="H274" s="20"/>
      <c r="I274" s="9"/>
      <c r="J274" s="9"/>
      <c r="K274" s="9"/>
    </row>
    <row r="275" spans="1:11" s="7" customFormat="1" ht="29.25" thickBot="1" x14ac:dyDescent="0.25">
      <c r="A275" s="19" t="s">
        <v>47</v>
      </c>
      <c r="B275" s="10"/>
      <c r="C275" s="14"/>
      <c r="D275" s="11"/>
      <c r="E275" s="11"/>
      <c r="F275" s="12">
        <f t="shared" si="9"/>
        <v>0</v>
      </c>
      <c r="G275" s="20"/>
      <c r="H275" s="20"/>
      <c r="I275" s="9"/>
      <c r="J275" s="9"/>
      <c r="K275" s="9"/>
    </row>
    <row r="276" spans="1:11" s="7" customFormat="1" ht="29.25" thickBot="1" x14ac:dyDescent="0.25">
      <c r="A276" s="19" t="s">
        <v>47</v>
      </c>
      <c r="B276" s="10"/>
      <c r="C276" s="14"/>
      <c r="D276" s="11"/>
      <c r="E276" s="11"/>
      <c r="F276" s="12">
        <f t="shared" si="9"/>
        <v>0</v>
      </c>
      <c r="G276" s="20"/>
      <c r="H276" s="20"/>
      <c r="I276" s="9"/>
      <c r="J276" s="9"/>
      <c r="K276" s="9"/>
    </row>
    <row r="277" spans="1:11" s="7" customFormat="1" ht="29.25" thickBot="1" x14ac:dyDescent="0.25">
      <c r="A277" s="19" t="s">
        <v>47</v>
      </c>
      <c r="B277" s="10"/>
      <c r="C277" s="14"/>
      <c r="D277" s="11"/>
      <c r="E277" s="11"/>
      <c r="F277" s="12">
        <f t="shared" si="9"/>
        <v>0</v>
      </c>
      <c r="G277" s="20"/>
      <c r="H277" s="20"/>
      <c r="I277" s="9"/>
      <c r="J277" s="9"/>
      <c r="K277" s="9"/>
    </row>
    <row r="278" spans="1:11" s="7" customFormat="1" ht="29.25" thickBot="1" x14ac:dyDescent="0.25">
      <c r="A278" s="19" t="s">
        <v>47</v>
      </c>
      <c r="B278" s="10"/>
      <c r="C278" s="14"/>
      <c r="D278" s="11"/>
      <c r="E278" s="11"/>
      <c r="F278" s="12">
        <f t="shared" si="9"/>
        <v>0</v>
      </c>
      <c r="G278" s="20"/>
      <c r="H278" s="20"/>
      <c r="I278" s="9"/>
      <c r="J278" s="9"/>
      <c r="K278" s="9"/>
    </row>
    <row r="279" spans="1:11" s="7" customFormat="1" ht="29.25" thickBot="1" x14ac:dyDescent="0.25">
      <c r="A279" s="19" t="s">
        <v>47</v>
      </c>
      <c r="B279" s="10"/>
      <c r="C279" s="14"/>
      <c r="D279" s="11"/>
      <c r="E279" s="11"/>
      <c r="F279" s="12">
        <f t="shared" si="9"/>
        <v>0</v>
      </c>
      <c r="G279" s="20"/>
      <c r="H279" s="20"/>
      <c r="I279" s="9"/>
      <c r="J279" s="9"/>
      <c r="K279" s="9"/>
    </row>
    <row r="280" spans="1:11" s="7" customFormat="1" ht="29.25" thickBot="1" x14ac:dyDescent="0.25">
      <c r="A280" s="19" t="s">
        <v>47</v>
      </c>
      <c r="B280" s="10"/>
      <c r="C280" s="14"/>
      <c r="D280" s="11"/>
      <c r="E280" s="11"/>
      <c r="F280" s="12">
        <f t="shared" si="9"/>
        <v>0</v>
      </c>
      <c r="G280" s="20"/>
      <c r="H280" s="20"/>
      <c r="I280" s="9"/>
      <c r="J280" s="9"/>
      <c r="K280" s="9"/>
    </row>
    <row r="281" spans="1:11" s="7" customFormat="1" ht="29.25" thickBot="1" x14ac:dyDescent="0.25">
      <c r="A281" s="19" t="s">
        <v>47</v>
      </c>
      <c r="B281" s="10"/>
      <c r="C281" s="14"/>
      <c r="D281" s="11"/>
      <c r="E281" s="11"/>
      <c r="F281" s="12">
        <f t="shared" si="9"/>
        <v>0</v>
      </c>
      <c r="G281" s="20"/>
      <c r="H281" s="20"/>
      <c r="I281" s="9"/>
      <c r="J281" s="9"/>
      <c r="K281" s="9"/>
    </row>
    <row r="282" spans="1:11" s="7" customFormat="1" ht="29.25" thickBot="1" x14ac:dyDescent="0.25">
      <c r="A282" s="19" t="s">
        <v>47</v>
      </c>
      <c r="B282" s="10"/>
      <c r="C282" s="14"/>
      <c r="D282" s="11"/>
      <c r="E282" s="11"/>
      <c r="F282" s="12">
        <f t="shared" si="9"/>
        <v>0</v>
      </c>
      <c r="G282" s="20"/>
      <c r="H282" s="20"/>
      <c r="I282" s="9"/>
      <c r="J282" s="9"/>
      <c r="K282" s="9"/>
    </row>
    <row r="283" spans="1:11" s="7" customFormat="1" ht="29.25" thickBot="1" x14ac:dyDescent="0.25">
      <c r="A283" s="19" t="s">
        <v>47</v>
      </c>
      <c r="B283" s="10"/>
      <c r="C283" s="14"/>
      <c r="D283" s="11"/>
      <c r="E283" s="11"/>
      <c r="F283" s="12">
        <f t="shared" si="9"/>
        <v>0</v>
      </c>
      <c r="G283" s="20"/>
      <c r="H283" s="20"/>
      <c r="I283" s="9"/>
      <c r="J283" s="9"/>
      <c r="K283" s="9"/>
    </row>
    <row r="284" spans="1:11" s="7" customFormat="1" ht="29.25" thickBot="1" x14ac:dyDescent="0.25">
      <c r="A284" s="19" t="s">
        <v>47</v>
      </c>
      <c r="B284" s="10"/>
      <c r="C284" s="14"/>
      <c r="D284" s="11"/>
      <c r="E284" s="11"/>
      <c r="F284" s="12">
        <f t="shared" si="9"/>
        <v>0</v>
      </c>
      <c r="G284" s="20"/>
      <c r="H284" s="20"/>
      <c r="I284" s="9"/>
      <c r="J284" s="9"/>
      <c r="K284" s="9"/>
    </row>
    <row r="285" spans="1:11" s="7" customFormat="1" ht="29.25" thickBot="1" x14ac:dyDescent="0.25">
      <c r="A285" s="19" t="s">
        <v>47</v>
      </c>
      <c r="B285" s="10"/>
      <c r="C285" s="14"/>
      <c r="D285" s="11"/>
      <c r="E285" s="11"/>
      <c r="F285" s="12">
        <f t="shared" si="9"/>
        <v>0</v>
      </c>
      <c r="G285" s="20"/>
      <c r="H285" s="20"/>
      <c r="I285" s="9"/>
      <c r="J285" s="9"/>
      <c r="K285" s="9"/>
    </row>
    <row r="286" spans="1:11" s="7" customFormat="1" ht="29.25" thickBot="1" x14ac:dyDescent="0.25">
      <c r="A286" s="19" t="s">
        <v>47</v>
      </c>
      <c r="B286" s="10"/>
      <c r="C286" s="14"/>
      <c r="D286" s="11"/>
      <c r="E286" s="11"/>
      <c r="F286" s="12">
        <f t="shared" si="9"/>
        <v>0</v>
      </c>
      <c r="G286" s="20"/>
      <c r="H286" s="20"/>
      <c r="I286" s="9"/>
      <c r="J286" s="9"/>
      <c r="K286" s="9"/>
    </row>
    <row r="287" spans="1:11" s="7" customFormat="1" ht="29.25" thickBot="1" x14ac:dyDescent="0.25">
      <c r="A287" s="19" t="s">
        <v>47</v>
      </c>
      <c r="B287" s="10"/>
      <c r="C287" s="14"/>
      <c r="D287" s="11"/>
      <c r="E287" s="11"/>
      <c r="F287" s="12">
        <f t="shared" si="9"/>
        <v>0</v>
      </c>
      <c r="G287" s="20"/>
      <c r="H287" s="20"/>
      <c r="I287" s="9"/>
      <c r="J287" s="9"/>
      <c r="K287" s="9"/>
    </row>
    <row r="288" spans="1:11" s="7" customFormat="1" ht="29.25" thickBot="1" x14ac:dyDescent="0.25">
      <c r="A288" s="19" t="s">
        <v>47</v>
      </c>
      <c r="B288" s="10"/>
      <c r="C288" s="14"/>
      <c r="D288" s="11"/>
      <c r="E288" s="11"/>
      <c r="F288" s="12">
        <f t="shared" si="9"/>
        <v>0</v>
      </c>
      <c r="G288" s="20"/>
      <c r="H288" s="20"/>
      <c r="I288" s="9"/>
      <c r="J288" s="9"/>
      <c r="K288" s="9"/>
    </row>
    <row r="289" spans="1:11" s="7" customFormat="1" ht="29.25" thickBot="1" x14ac:dyDescent="0.25">
      <c r="A289" s="19" t="s">
        <v>47</v>
      </c>
      <c r="B289" s="10"/>
      <c r="C289" s="14"/>
      <c r="D289" s="11"/>
      <c r="E289" s="11"/>
      <c r="F289" s="12">
        <f t="shared" si="9"/>
        <v>0</v>
      </c>
      <c r="G289" s="20"/>
      <c r="H289" s="20"/>
      <c r="I289" s="9"/>
      <c r="J289" s="9"/>
      <c r="K289" s="9"/>
    </row>
    <row r="290" spans="1:11" s="7" customFormat="1" ht="29.25" thickBot="1" x14ac:dyDescent="0.25">
      <c r="A290" s="19" t="s">
        <v>47</v>
      </c>
      <c r="B290" s="10"/>
      <c r="C290" s="14"/>
      <c r="D290" s="11"/>
      <c r="E290" s="11"/>
      <c r="F290" s="12">
        <f t="shared" si="9"/>
        <v>0</v>
      </c>
      <c r="G290" s="20"/>
      <c r="H290" s="20"/>
      <c r="I290" s="9"/>
      <c r="J290" s="9"/>
      <c r="K290" s="9"/>
    </row>
    <row r="291" spans="1:11" s="7" customFormat="1" ht="29.25" thickBot="1" x14ac:dyDescent="0.25">
      <c r="A291" s="19" t="s">
        <v>47</v>
      </c>
      <c r="B291" s="10"/>
      <c r="C291" s="14"/>
      <c r="D291" s="11"/>
      <c r="E291" s="11"/>
      <c r="F291" s="12">
        <f t="shared" si="9"/>
        <v>0</v>
      </c>
      <c r="G291" s="20"/>
      <c r="H291" s="20"/>
      <c r="I291" s="9"/>
      <c r="J291" s="9"/>
      <c r="K291" s="9"/>
    </row>
    <row r="292" spans="1:11" s="7" customFormat="1" ht="29.25" thickBot="1" x14ac:dyDescent="0.25">
      <c r="A292" s="19" t="s">
        <v>47</v>
      </c>
      <c r="B292" s="10"/>
      <c r="C292" s="14"/>
      <c r="D292" s="11"/>
      <c r="E292" s="11"/>
      <c r="F292" s="12">
        <f t="shared" si="9"/>
        <v>0</v>
      </c>
      <c r="G292" s="20"/>
      <c r="H292" s="20"/>
      <c r="I292" s="9"/>
      <c r="J292" s="9"/>
      <c r="K292" s="9"/>
    </row>
    <row r="293" spans="1:11" s="7" customFormat="1" ht="29.25" thickBot="1" x14ac:dyDescent="0.25">
      <c r="A293" s="19" t="s">
        <v>47</v>
      </c>
      <c r="B293" s="10"/>
      <c r="C293" s="14"/>
      <c r="D293" s="11"/>
      <c r="E293" s="11"/>
      <c r="F293" s="12">
        <f t="shared" si="9"/>
        <v>0</v>
      </c>
      <c r="G293" s="20"/>
      <c r="H293" s="20"/>
      <c r="I293" s="9"/>
      <c r="J293" s="9"/>
      <c r="K293" s="9"/>
    </row>
    <row r="294" spans="1:11" s="7" customFormat="1" ht="29.25" thickBot="1" x14ac:dyDescent="0.25">
      <c r="A294" s="19" t="s">
        <v>47</v>
      </c>
      <c r="B294" s="10"/>
      <c r="C294" s="14"/>
      <c r="D294" s="11"/>
      <c r="E294" s="11"/>
      <c r="F294" s="12">
        <f t="shared" si="9"/>
        <v>0</v>
      </c>
      <c r="G294" s="20"/>
      <c r="H294" s="20"/>
      <c r="I294" s="9"/>
      <c r="J294" s="9"/>
      <c r="K294" s="9"/>
    </row>
    <row r="295" spans="1:11" s="7" customFormat="1" ht="29.25" thickBot="1" x14ac:dyDescent="0.25">
      <c r="A295" s="19" t="s">
        <v>47</v>
      </c>
      <c r="B295" s="10"/>
      <c r="C295" s="14"/>
      <c r="D295" s="11"/>
      <c r="E295" s="11"/>
      <c r="F295" s="12">
        <f t="shared" si="9"/>
        <v>0</v>
      </c>
      <c r="G295" s="20"/>
      <c r="H295" s="20"/>
      <c r="I295" s="9"/>
      <c r="J295" s="9"/>
      <c r="K295" s="9"/>
    </row>
    <row r="296" spans="1:11" s="7" customFormat="1" ht="29.25" thickBot="1" x14ac:dyDescent="0.25">
      <c r="A296" s="19" t="s">
        <v>47</v>
      </c>
      <c r="B296" s="10"/>
      <c r="C296" s="14"/>
      <c r="D296" s="11"/>
      <c r="E296" s="11"/>
      <c r="F296" s="12">
        <f t="shared" si="9"/>
        <v>0</v>
      </c>
      <c r="G296" s="20"/>
      <c r="H296" s="20"/>
      <c r="I296" s="9"/>
      <c r="J296" s="9"/>
      <c r="K296" s="9"/>
    </row>
    <row r="297" spans="1:11" s="7" customFormat="1" ht="29.25" thickBot="1" x14ac:dyDescent="0.25">
      <c r="A297" s="19" t="s">
        <v>47</v>
      </c>
      <c r="B297" s="10"/>
      <c r="C297" s="14"/>
      <c r="D297" s="11"/>
      <c r="E297" s="11"/>
      <c r="F297" s="12">
        <f t="shared" si="9"/>
        <v>0</v>
      </c>
      <c r="G297" s="20"/>
      <c r="H297" s="20"/>
      <c r="I297" s="9"/>
      <c r="J297" s="9"/>
      <c r="K297" s="9"/>
    </row>
    <row r="298" spans="1:11" s="7" customFormat="1" ht="29.25" thickBot="1" x14ac:dyDescent="0.25">
      <c r="A298" s="19" t="s">
        <v>47</v>
      </c>
      <c r="B298" s="10"/>
      <c r="C298" s="14"/>
      <c r="D298" s="11"/>
      <c r="E298" s="11"/>
      <c r="F298" s="12">
        <f t="shared" si="9"/>
        <v>0</v>
      </c>
      <c r="G298" s="20"/>
      <c r="H298" s="20"/>
      <c r="I298" s="9"/>
      <c r="J298" s="9"/>
      <c r="K298" s="9"/>
    </row>
    <row r="299" spans="1:11" s="7" customFormat="1" ht="15" thickBot="1" x14ac:dyDescent="0.25">
      <c r="A299" s="19"/>
      <c r="B299" s="10"/>
      <c r="C299" s="14"/>
      <c r="D299" s="11"/>
      <c r="E299" s="11"/>
      <c r="F299" s="12"/>
      <c r="G299" s="9"/>
      <c r="H299" s="20"/>
      <c r="I299" s="9"/>
      <c r="J299" s="9"/>
      <c r="K299" s="9"/>
    </row>
    <row r="300" spans="1:11" s="7" customFormat="1" ht="15" thickBot="1" x14ac:dyDescent="0.25">
      <c r="A300" s="9"/>
      <c r="B300" s="9"/>
      <c r="C300" s="9"/>
      <c r="D300" s="9"/>
      <c r="E300" s="9"/>
      <c r="F300" s="9">
        <f>SUBTOTAL(9,$F$2:$F$299)</f>
        <v>80</v>
      </c>
      <c r="G300" s="9" t="s">
        <v>11</v>
      </c>
      <c r="H300" s="9"/>
      <c r="I300" s="9"/>
      <c r="J300" s="9"/>
      <c r="K300" s="9"/>
    </row>
    <row r="301" spans="1:11" s="7" customFormat="1" ht="15" thickBot="1" x14ac:dyDescent="0.25">
      <c r="A301" s="9"/>
      <c r="B301" s="9"/>
      <c r="C301" s="9"/>
      <c r="D301" s="9"/>
      <c r="E301" s="9"/>
      <c r="F301" s="9">
        <v>0</v>
      </c>
      <c r="G301" s="9" t="s">
        <v>19</v>
      </c>
      <c r="H301" s="9"/>
      <c r="I301" s="9"/>
      <c r="J301" s="9"/>
      <c r="K301" s="9"/>
    </row>
    <row r="302" spans="1:11" s="7" customFormat="1" ht="15" thickBot="1" x14ac:dyDescent="0.25">
      <c r="A302" s="9"/>
      <c r="B302" s="9"/>
      <c r="C302" s="9"/>
      <c r="D302" s="9"/>
      <c r="E302" s="9"/>
      <c r="F302" s="9">
        <v>0</v>
      </c>
      <c r="G302" s="9" t="s">
        <v>20</v>
      </c>
      <c r="H302" s="9"/>
      <c r="I302" s="9"/>
      <c r="J302" s="9"/>
      <c r="K302" s="9"/>
    </row>
    <row r="303" spans="1:11" s="7" customFormat="1" ht="15" thickBot="1" x14ac:dyDescent="0.25">
      <c r="A303" s="9"/>
      <c r="B303" s="9"/>
      <c r="C303" s="9"/>
      <c r="D303" s="9"/>
      <c r="E303" s="9"/>
      <c r="F303" s="9">
        <v>0</v>
      </c>
      <c r="G303" s="9" t="s">
        <v>22</v>
      </c>
      <c r="H303" s="9"/>
      <c r="I303" s="9"/>
      <c r="J303" s="9"/>
      <c r="K303" s="9"/>
    </row>
    <row r="304" spans="1:11" s="7" customFormat="1" ht="15" thickBot="1" x14ac:dyDescent="0.25">
      <c r="A304" s="9"/>
      <c r="B304" s="9"/>
      <c r="C304" s="9"/>
      <c r="D304" s="9"/>
      <c r="E304" s="9"/>
      <c r="F304" s="9">
        <v>0</v>
      </c>
      <c r="G304" s="9" t="s">
        <v>45</v>
      </c>
      <c r="H304" s="9"/>
      <c r="I304" s="9"/>
      <c r="J304" s="9"/>
      <c r="K304" s="9"/>
    </row>
    <row r="305" spans="1:11" s="7" customFormat="1" ht="15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s="7" customFormat="1" ht="15" thickBot="1" x14ac:dyDescent="0.25">
      <c r="A306" s="9"/>
      <c r="B306" s="9"/>
      <c r="C306" s="9"/>
      <c r="D306" s="9"/>
      <c r="E306" s="9"/>
      <c r="F306" s="9">
        <f>SUBTOTAL(9,F301:F304)</f>
        <v>0</v>
      </c>
      <c r="G306" s="9" t="s">
        <v>12</v>
      </c>
      <c r="H306" s="9"/>
      <c r="I306" s="9"/>
      <c r="J306" s="9"/>
      <c r="K306" s="9"/>
    </row>
    <row r="307" spans="1:11" s="7" customFormat="1" ht="15" thickBot="1" x14ac:dyDescent="0.25">
      <c r="A307" s="9"/>
      <c r="B307" s="9"/>
      <c r="C307" s="9"/>
      <c r="D307" s="9"/>
      <c r="E307" s="9"/>
      <c r="F307" s="9">
        <f>F306/8</f>
        <v>0</v>
      </c>
      <c r="G307" s="9" t="s">
        <v>13</v>
      </c>
      <c r="H307" s="9"/>
      <c r="I307" s="9"/>
      <c r="J307" s="9"/>
      <c r="K307" s="9"/>
    </row>
    <row r="308" spans="1:11" s="7" customFormat="1" ht="15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s="7" customFormat="1" ht="15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s="7" customFormat="1" ht="15" thickBot="1" x14ac:dyDescent="0.25">
      <c r="A310" s="9"/>
      <c r="B310" s="9"/>
      <c r="C310" s="9"/>
      <c r="D310" s="9"/>
      <c r="E310" s="9"/>
      <c r="F310" s="9">
        <v>0</v>
      </c>
      <c r="G310" s="9" t="s">
        <v>74</v>
      </c>
      <c r="H310" s="9"/>
      <c r="I310" s="9"/>
      <c r="J310" s="9"/>
      <c r="K310" s="9"/>
    </row>
    <row r="311" spans="1:11" s="7" customFormat="1" ht="15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s="7" customFormat="1" ht="15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s="7" customFormat="1" ht="15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s="7" customFormat="1" ht="15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s="7" customFormat="1" ht="15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s="7" customFormat="1" ht="15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s="7" customFormat="1" ht="15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s="7" customFormat="1" ht="15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s="7" customFormat="1" ht="15" thickBo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s="7" customFormat="1" ht="15" thickBo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s="7" customFormat="1" ht="15" thickBo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s="7" customFormat="1" ht="15" thickBo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s="7" customFormat="1" ht="15" thickBo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s="7" customFormat="1" ht="15" thickBo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s="7" customFormat="1" ht="15" thickBo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s="7" customFormat="1" ht="15" thickBo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s="7" customFormat="1" ht="15" thickBo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s="7" customFormat="1" ht="15" thickBo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s="7" customFormat="1" ht="15" thickBo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s="7" customFormat="1" ht="15" thickBo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s="7" customFormat="1" ht="15" thickBo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s="7" customFormat="1" ht="15" thickBo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s="7" customFormat="1" ht="15" thickBo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s="7" customFormat="1" ht="15" thickBo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s="7" customFormat="1" ht="15" thickBo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s="7" customFormat="1" ht="15" thickBo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s="7" customFormat="1" ht="15" thickBo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s="7" customFormat="1" ht="15" thickBo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s="7" customFormat="1" ht="15" thickBo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s="7" customFormat="1" ht="15" thickBo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s="7" customFormat="1" ht="15" thickBo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s="7" customFormat="1" ht="15" thickBo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s="7" customFormat="1" ht="15" thickBo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s="7" customFormat="1" ht="15" thickBo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s="7" customFormat="1" ht="15" thickBo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s="7" customFormat="1" ht="15" thickBo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s="7" customFormat="1" ht="15" thickBo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s="7" customFormat="1" ht="15" thickBo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s="7" customFormat="1" ht="15" thickBo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s="7" customFormat="1" ht="15" thickBo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s="7" customFormat="1" x14ac:dyDescent="0.2">
      <c r="B351" s="5"/>
      <c r="C351" s="5"/>
      <c r="D351" s="5"/>
      <c r="E351" s="5"/>
      <c r="F351" s="5"/>
      <c r="I351" s="5"/>
      <c r="J351" s="5"/>
    </row>
    <row r="352" spans="1:11" s="7" customFormat="1" x14ac:dyDescent="0.2">
      <c r="B352" s="5"/>
      <c r="C352" s="5"/>
      <c r="D352" s="5"/>
      <c r="E352" s="5"/>
      <c r="F352" s="5"/>
      <c r="I352" s="5"/>
      <c r="J352" s="5"/>
    </row>
    <row r="353" spans="2:10" s="7" customFormat="1" x14ac:dyDescent="0.2">
      <c r="B353" s="5"/>
      <c r="C353" s="5"/>
      <c r="D353" s="5"/>
      <c r="E353" s="5"/>
      <c r="F353" s="5"/>
      <c r="I353" s="5"/>
      <c r="J353" s="5"/>
    </row>
    <row r="354" spans="2:10" s="7" customFormat="1" x14ac:dyDescent="0.2">
      <c r="B354" s="5"/>
      <c r="C354" s="5"/>
      <c r="D354" s="5"/>
      <c r="E354" s="5"/>
      <c r="F354" s="5"/>
      <c r="I354" s="5"/>
      <c r="J354" s="5"/>
    </row>
    <row r="355" spans="2:10" s="7" customFormat="1" x14ac:dyDescent="0.2">
      <c r="B355" s="5"/>
      <c r="C355" s="5"/>
      <c r="D355" s="5"/>
      <c r="E355" s="5"/>
      <c r="F355" s="5"/>
      <c r="I355" s="5"/>
      <c r="J355" s="5"/>
    </row>
    <row r="356" spans="2:10" s="7" customFormat="1" x14ac:dyDescent="0.2">
      <c r="B356" s="5"/>
      <c r="C356" s="5"/>
      <c r="D356" s="5"/>
      <c r="E356" s="5"/>
      <c r="F356" s="5"/>
      <c r="I356" s="5"/>
      <c r="J356" s="5"/>
    </row>
    <row r="357" spans="2:10" s="7" customFormat="1" x14ac:dyDescent="0.2">
      <c r="B357" s="5"/>
      <c r="C357" s="5"/>
      <c r="D357" s="5"/>
      <c r="E357" s="5"/>
      <c r="F357" s="5"/>
      <c r="I357" s="5"/>
      <c r="J357" s="5"/>
    </row>
    <row r="358" spans="2:10" s="7" customFormat="1" x14ac:dyDescent="0.2">
      <c r="B358" s="5"/>
      <c r="C358" s="5"/>
      <c r="D358" s="5"/>
      <c r="E358" s="5"/>
      <c r="F358" s="5"/>
      <c r="I358" s="5"/>
      <c r="J358" s="5"/>
    </row>
    <row r="359" spans="2:10" s="7" customFormat="1" x14ac:dyDescent="0.2">
      <c r="B359" s="5"/>
      <c r="C359" s="5"/>
      <c r="D359" s="5"/>
      <c r="E359" s="5"/>
      <c r="F359" s="5"/>
      <c r="I359" s="5"/>
      <c r="J359" s="5"/>
    </row>
    <row r="360" spans="2:10" s="7" customFormat="1" x14ac:dyDescent="0.2">
      <c r="B360" s="5"/>
      <c r="C360" s="5"/>
      <c r="D360" s="5"/>
      <c r="E360" s="5"/>
      <c r="F360" s="5"/>
      <c r="I360" s="5"/>
      <c r="J360" s="5"/>
    </row>
    <row r="361" spans="2:10" s="7" customFormat="1" x14ac:dyDescent="0.2">
      <c r="B361" s="5"/>
      <c r="C361" s="5"/>
      <c r="D361" s="5"/>
      <c r="E361" s="5"/>
      <c r="F361" s="5"/>
      <c r="I361" s="5"/>
      <c r="J361" s="5"/>
    </row>
    <row r="362" spans="2:10" s="7" customFormat="1" x14ac:dyDescent="0.2">
      <c r="B362" s="5"/>
      <c r="C362" s="5"/>
      <c r="D362" s="5"/>
      <c r="E362" s="5"/>
      <c r="F362" s="5"/>
      <c r="I362" s="5"/>
      <c r="J362" s="5"/>
    </row>
    <row r="363" spans="2:10" s="7" customFormat="1" x14ac:dyDescent="0.2">
      <c r="B363" s="5"/>
      <c r="C363" s="5"/>
      <c r="D363" s="5"/>
      <c r="E363" s="5"/>
      <c r="F363" s="5"/>
      <c r="I363" s="5"/>
      <c r="J363" s="5"/>
    </row>
    <row r="364" spans="2:10" s="7" customFormat="1" x14ac:dyDescent="0.2">
      <c r="B364" s="5"/>
      <c r="C364" s="5"/>
      <c r="D364" s="5"/>
      <c r="E364" s="5"/>
      <c r="F364" s="5"/>
      <c r="I364" s="5"/>
      <c r="J364" s="5"/>
    </row>
    <row r="365" spans="2:10" s="7" customFormat="1" x14ac:dyDescent="0.2">
      <c r="B365" s="5"/>
      <c r="C365" s="5"/>
      <c r="D365" s="5"/>
      <c r="E365" s="5"/>
      <c r="F365" s="5"/>
      <c r="I365" s="5"/>
      <c r="J365" s="5"/>
    </row>
    <row r="366" spans="2:10" s="7" customFormat="1" x14ac:dyDescent="0.2">
      <c r="B366" s="5"/>
      <c r="C366" s="5"/>
      <c r="D366" s="5"/>
      <c r="E366" s="5"/>
      <c r="F366" s="5"/>
      <c r="I366" s="5"/>
      <c r="J366" s="5"/>
    </row>
    <row r="367" spans="2:10" s="7" customFormat="1" x14ac:dyDescent="0.2">
      <c r="B367" s="5"/>
      <c r="C367" s="5"/>
      <c r="D367" s="5"/>
      <c r="E367" s="5"/>
      <c r="F367" s="5"/>
      <c r="I367" s="5"/>
      <c r="J367" s="5"/>
    </row>
    <row r="368" spans="2:10" s="7" customFormat="1" x14ac:dyDescent="0.2">
      <c r="B368" s="5"/>
      <c r="C368" s="5"/>
      <c r="D368" s="5"/>
      <c r="E368" s="5"/>
      <c r="F368" s="5"/>
      <c r="I368" s="5"/>
      <c r="J368" s="5"/>
    </row>
    <row r="369" spans="2:10" s="7" customFormat="1" x14ac:dyDescent="0.2">
      <c r="B369" s="5"/>
      <c r="C369" s="5"/>
      <c r="D369" s="5"/>
      <c r="E369" s="5"/>
      <c r="F369" s="5"/>
      <c r="I369" s="5"/>
      <c r="J369" s="5"/>
    </row>
    <row r="370" spans="2:10" s="7" customFormat="1" x14ac:dyDescent="0.2">
      <c r="B370" s="5"/>
      <c r="C370" s="5"/>
      <c r="D370" s="5"/>
      <c r="E370" s="5"/>
      <c r="F370" s="5"/>
      <c r="I370" s="5"/>
      <c r="J370" s="5"/>
    </row>
    <row r="371" spans="2:10" s="7" customFormat="1" x14ac:dyDescent="0.2">
      <c r="B371" s="5"/>
      <c r="C371" s="5"/>
      <c r="D371" s="5"/>
      <c r="E371" s="5"/>
      <c r="F371" s="5"/>
      <c r="I371" s="5"/>
      <c r="J371" s="5"/>
    </row>
    <row r="372" spans="2:10" s="7" customFormat="1" x14ac:dyDescent="0.2">
      <c r="B372" s="5"/>
      <c r="C372" s="5"/>
      <c r="D372" s="5"/>
      <c r="E372" s="5"/>
      <c r="F372" s="5"/>
      <c r="I372" s="5"/>
      <c r="J372" s="5"/>
    </row>
    <row r="373" spans="2:10" s="7" customFormat="1" x14ac:dyDescent="0.2">
      <c r="B373" s="5"/>
      <c r="C373" s="5"/>
      <c r="D373" s="5"/>
      <c r="E373" s="5"/>
      <c r="F373" s="5"/>
      <c r="I373" s="5"/>
      <c r="J373" s="5"/>
    </row>
    <row r="374" spans="2:10" s="7" customFormat="1" x14ac:dyDescent="0.2">
      <c r="B374" s="5"/>
      <c r="C374" s="5"/>
      <c r="D374" s="5"/>
      <c r="E374" s="5"/>
      <c r="F374" s="5"/>
      <c r="I374" s="5"/>
      <c r="J374" s="5"/>
    </row>
    <row r="375" spans="2:10" s="7" customFormat="1" x14ac:dyDescent="0.2">
      <c r="B375" s="5"/>
      <c r="C375" s="5"/>
      <c r="D375" s="5"/>
      <c r="E375" s="5"/>
      <c r="F375" s="5"/>
      <c r="I375" s="5"/>
      <c r="J375" s="5"/>
    </row>
    <row r="376" spans="2:10" s="7" customFormat="1" x14ac:dyDescent="0.2">
      <c r="B376" s="5"/>
      <c r="C376" s="5"/>
      <c r="D376" s="5"/>
      <c r="E376" s="5"/>
      <c r="F376" s="5"/>
      <c r="I376" s="5"/>
      <c r="J376" s="5"/>
    </row>
    <row r="377" spans="2:10" s="7" customFormat="1" x14ac:dyDescent="0.2">
      <c r="B377" s="5"/>
      <c r="C377" s="5"/>
      <c r="D377" s="5"/>
      <c r="E377" s="5"/>
      <c r="F377" s="5"/>
      <c r="I377" s="5"/>
      <c r="J377" s="5"/>
    </row>
    <row r="378" spans="2:10" s="7" customFormat="1" x14ac:dyDescent="0.2">
      <c r="B378" s="5"/>
      <c r="C378" s="5"/>
      <c r="D378" s="5"/>
      <c r="E378" s="5"/>
      <c r="F378" s="5"/>
      <c r="I378" s="5"/>
      <c r="J378" s="5"/>
    </row>
    <row r="379" spans="2:10" s="7" customFormat="1" x14ac:dyDescent="0.2">
      <c r="B379" s="5"/>
      <c r="C379" s="5"/>
      <c r="D379" s="5"/>
      <c r="E379" s="5"/>
      <c r="F379" s="5"/>
      <c r="I379" s="5"/>
      <c r="J379" s="5"/>
    </row>
    <row r="380" spans="2:10" s="7" customFormat="1" x14ac:dyDescent="0.2">
      <c r="B380" s="5"/>
      <c r="C380" s="5"/>
      <c r="D380" s="5"/>
      <c r="E380" s="5"/>
      <c r="F380" s="5"/>
      <c r="I380" s="5"/>
      <c r="J380" s="5"/>
    </row>
    <row r="381" spans="2:10" s="7" customFormat="1" x14ac:dyDescent="0.2">
      <c r="B381" s="5"/>
      <c r="C381" s="5"/>
      <c r="D381" s="5"/>
      <c r="E381" s="5"/>
      <c r="F381" s="5"/>
      <c r="I381" s="5"/>
      <c r="J381" s="5"/>
    </row>
    <row r="382" spans="2:10" s="7" customFormat="1" x14ac:dyDescent="0.2">
      <c r="B382" s="5"/>
      <c r="C382" s="5"/>
      <c r="D382" s="5"/>
      <c r="E382" s="5"/>
      <c r="F382" s="5"/>
      <c r="I382" s="5"/>
      <c r="J382" s="5"/>
    </row>
    <row r="383" spans="2:10" s="7" customFormat="1" x14ac:dyDescent="0.2">
      <c r="B383" s="5"/>
      <c r="C383" s="5"/>
      <c r="D383" s="5"/>
      <c r="E383" s="5"/>
      <c r="F383" s="5"/>
      <c r="I383" s="5"/>
      <c r="J383" s="5"/>
    </row>
    <row r="384" spans="2:10" s="7" customFormat="1" x14ac:dyDescent="0.2">
      <c r="B384" s="5"/>
      <c r="C384" s="5"/>
      <c r="D384" s="5"/>
      <c r="E384" s="5"/>
      <c r="F384" s="5"/>
      <c r="I384" s="5"/>
      <c r="J384" s="5"/>
    </row>
    <row r="385" spans="2:10" s="7" customFormat="1" x14ac:dyDescent="0.2">
      <c r="B385" s="5"/>
      <c r="C385" s="5"/>
      <c r="D385" s="5"/>
      <c r="E385" s="5"/>
      <c r="F385" s="5"/>
      <c r="I385" s="5"/>
      <c r="J385" s="5"/>
    </row>
    <row r="386" spans="2:10" s="7" customFormat="1" x14ac:dyDescent="0.2">
      <c r="B386" s="5"/>
      <c r="C386" s="5"/>
      <c r="D386" s="5"/>
      <c r="E386" s="5"/>
      <c r="F386" s="5"/>
      <c r="I386" s="5"/>
      <c r="J386" s="5"/>
    </row>
    <row r="387" spans="2:10" s="7" customFormat="1" x14ac:dyDescent="0.2">
      <c r="B387" s="5"/>
      <c r="C387" s="5"/>
      <c r="D387" s="5"/>
      <c r="E387" s="5"/>
      <c r="F387" s="5"/>
      <c r="I387" s="5"/>
      <c r="J387" s="5"/>
    </row>
    <row r="388" spans="2:10" s="7" customFormat="1" x14ac:dyDescent="0.2">
      <c r="B388" s="5"/>
      <c r="C388" s="5"/>
      <c r="D388" s="5"/>
      <c r="E388" s="5"/>
      <c r="F388" s="5"/>
      <c r="I388" s="5"/>
      <c r="J388" s="5"/>
    </row>
    <row r="389" spans="2:10" s="7" customFormat="1" x14ac:dyDescent="0.2">
      <c r="B389" s="5"/>
      <c r="C389" s="5"/>
      <c r="D389" s="5"/>
      <c r="E389" s="5"/>
      <c r="F389" s="5"/>
      <c r="I389" s="5"/>
      <c r="J389" s="5"/>
    </row>
    <row r="390" spans="2:10" s="7" customFormat="1" x14ac:dyDescent="0.2">
      <c r="B390" s="5"/>
      <c r="C390" s="5"/>
      <c r="D390" s="5"/>
      <c r="E390" s="5"/>
      <c r="F390" s="5"/>
      <c r="I390" s="5"/>
      <c r="J390" s="5"/>
    </row>
    <row r="391" spans="2:10" s="7" customFormat="1" x14ac:dyDescent="0.2">
      <c r="B391" s="5"/>
      <c r="C391" s="5"/>
      <c r="D391" s="5"/>
      <c r="E391" s="5"/>
      <c r="F391" s="5"/>
      <c r="I391" s="5"/>
      <c r="J391" s="5"/>
    </row>
    <row r="392" spans="2:10" s="7" customFormat="1" x14ac:dyDescent="0.2">
      <c r="B392" s="5"/>
      <c r="C392" s="5"/>
      <c r="D392" s="5"/>
      <c r="E392" s="5"/>
      <c r="F392" s="5"/>
      <c r="I392" s="5"/>
      <c r="J392" s="5"/>
    </row>
    <row r="393" spans="2:10" s="7" customFormat="1" x14ac:dyDescent="0.2">
      <c r="B393" s="5"/>
      <c r="C393" s="5"/>
      <c r="D393" s="5"/>
      <c r="E393" s="5"/>
      <c r="F393" s="5"/>
      <c r="I393" s="5"/>
      <c r="J393" s="5"/>
    </row>
    <row r="394" spans="2:10" s="7" customFormat="1" x14ac:dyDescent="0.2">
      <c r="B394" s="5"/>
      <c r="C394" s="5"/>
      <c r="D394" s="5"/>
      <c r="E394" s="5"/>
      <c r="F394" s="5"/>
      <c r="I394" s="5"/>
      <c r="J394" s="5"/>
    </row>
    <row r="395" spans="2:10" s="7" customFormat="1" x14ac:dyDescent="0.2">
      <c r="B395" s="5"/>
      <c r="C395" s="5"/>
      <c r="D395" s="5"/>
      <c r="E395" s="5"/>
      <c r="F395" s="5"/>
      <c r="I395" s="5"/>
      <c r="J395" s="5"/>
    </row>
    <row r="396" spans="2:10" s="7" customFormat="1" x14ac:dyDescent="0.2">
      <c r="B396" s="5"/>
      <c r="C396" s="5"/>
      <c r="D396" s="5"/>
      <c r="E396" s="5"/>
      <c r="F396" s="5"/>
      <c r="I396" s="5"/>
      <c r="J396" s="5"/>
    </row>
    <row r="397" spans="2:10" s="7" customFormat="1" x14ac:dyDescent="0.2">
      <c r="B397" s="5"/>
      <c r="C397" s="5"/>
      <c r="D397" s="5"/>
      <c r="E397" s="5"/>
      <c r="F397" s="5"/>
      <c r="I397" s="5"/>
      <c r="J397" s="5"/>
    </row>
    <row r="398" spans="2:10" s="7" customFormat="1" x14ac:dyDescent="0.2">
      <c r="B398" s="5"/>
      <c r="C398" s="5"/>
      <c r="D398" s="5"/>
      <c r="E398" s="5"/>
      <c r="F398" s="5"/>
      <c r="I398" s="5"/>
      <c r="J398" s="5"/>
    </row>
    <row r="399" spans="2:10" s="7" customFormat="1" x14ac:dyDescent="0.2">
      <c r="B399" s="5"/>
      <c r="C399" s="5"/>
      <c r="D399" s="5"/>
      <c r="E399" s="5"/>
      <c r="F399" s="5"/>
      <c r="I399" s="5"/>
      <c r="J399" s="5"/>
    </row>
    <row r="400" spans="2:10" s="7" customFormat="1" x14ac:dyDescent="0.2">
      <c r="B400" s="5"/>
      <c r="C400" s="5"/>
      <c r="D400" s="5"/>
      <c r="E400" s="5"/>
      <c r="F400" s="5"/>
      <c r="I400" s="5"/>
      <c r="J400" s="5"/>
    </row>
    <row r="401" spans="2:10" s="7" customFormat="1" x14ac:dyDescent="0.2">
      <c r="B401" s="5"/>
      <c r="C401" s="5"/>
      <c r="D401" s="5"/>
      <c r="E401" s="5"/>
      <c r="F401" s="5"/>
      <c r="I401" s="5"/>
      <c r="J401" s="5"/>
    </row>
    <row r="402" spans="2:10" s="7" customFormat="1" x14ac:dyDescent="0.2">
      <c r="B402" s="5"/>
      <c r="C402" s="5"/>
      <c r="D402" s="5"/>
      <c r="E402" s="5"/>
      <c r="F402" s="5"/>
      <c r="I402" s="5"/>
      <c r="J402" s="5"/>
    </row>
    <row r="403" spans="2:10" s="7" customFormat="1" x14ac:dyDescent="0.2">
      <c r="B403" s="5"/>
      <c r="C403" s="5"/>
      <c r="D403" s="5"/>
      <c r="E403" s="5"/>
      <c r="F403" s="5"/>
      <c r="I403" s="5"/>
      <c r="J403" s="5"/>
    </row>
    <row r="404" spans="2:10" s="7" customFormat="1" x14ac:dyDescent="0.2">
      <c r="B404" s="5"/>
      <c r="C404" s="5"/>
      <c r="D404" s="5"/>
      <c r="E404" s="5"/>
      <c r="F404" s="5"/>
      <c r="I404" s="5"/>
      <c r="J404" s="5"/>
    </row>
    <row r="405" spans="2:10" s="7" customFormat="1" x14ac:dyDescent="0.2">
      <c r="B405" s="5"/>
      <c r="C405" s="5"/>
      <c r="D405" s="5"/>
      <c r="E405" s="5"/>
      <c r="F405" s="5"/>
      <c r="I405" s="5"/>
      <c r="J405" s="5"/>
    </row>
    <row r="406" spans="2:10" s="7" customFormat="1" x14ac:dyDescent="0.2">
      <c r="B406" s="5"/>
      <c r="C406" s="5"/>
      <c r="D406" s="5"/>
      <c r="E406" s="5"/>
      <c r="F406" s="5"/>
      <c r="I406" s="5"/>
      <c r="J406" s="5"/>
    </row>
    <row r="407" spans="2:10" s="7" customFormat="1" x14ac:dyDescent="0.2">
      <c r="B407" s="5"/>
      <c r="C407" s="5"/>
      <c r="D407" s="5"/>
      <c r="E407" s="5"/>
      <c r="F407" s="5"/>
      <c r="I407" s="5"/>
      <c r="J407" s="5"/>
    </row>
    <row r="408" spans="2:10" s="7" customFormat="1" x14ac:dyDescent="0.2">
      <c r="B408" s="5"/>
      <c r="C408" s="5"/>
      <c r="D408" s="5"/>
      <c r="E408" s="5"/>
      <c r="F408" s="5"/>
      <c r="I408" s="5"/>
      <c r="J408" s="5"/>
    </row>
    <row r="409" spans="2:10" s="7" customFormat="1" x14ac:dyDescent="0.2">
      <c r="B409" s="5"/>
      <c r="C409" s="5"/>
      <c r="D409" s="5"/>
      <c r="E409" s="5"/>
      <c r="F409" s="5"/>
      <c r="I409" s="5"/>
      <c r="J409" s="5"/>
    </row>
    <row r="410" spans="2:10" s="7" customFormat="1" x14ac:dyDescent="0.2">
      <c r="B410" s="5"/>
      <c r="C410" s="5"/>
      <c r="D410" s="5"/>
      <c r="E410" s="5"/>
      <c r="F410" s="5"/>
      <c r="I410" s="5"/>
      <c r="J410" s="5"/>
    </row>
    <row r="411" spans="2:10" s="7" customFormat="1" x14ac:dyDescent="0.2">
      <c r="B411" s="5"/>
      <c r="C411" s="5"/>
      <c r="D411" s="5"/>
      <c r="E411" s="5"/>
      <c r="F411" s="5"/>
      <c r="I411" s="5"/>
      <c r="J411" s="5"/>
    </row>
    <row r="412" spans="2:10" s="7" customFormat="1" x14ac:dyDescent="0.2">
      <c r="B412" s="5"/>
      <c r="C412" s="5"/>
      <c r="D412" s="5"/>
      <c r="E412" s="5"/>
      <c r="F412" s="5"/>
      <c r="I412" s="5"/>
      <c r="J412" s="5"/>
    </row>
    <row r="413" spans="2:10" s="7" customFormat="1" x14ac:dyDescent="0.2">
      <c r="B413" s="5"/>
      <c r="C413" s="5"/>
      <c r="D413" s="5"/>
      <c r="E413" s="5"/>
      <c r="F413" s="5"/>
      <c r="I413" s="5"/>
      <c r="J413" s="5"/>
    </row>
    <row r="414" spans="2:10" s="7" customFormat="1" x14ac:dyDescent="0.2">
      <c r="B414" s="5"/>
      <c r="C414" s="5"/>
      <c r="D414" s="5"/>
      <c r="E414" s="5"/>
      <c r="F414" s="5"/>
      <c r="I414" s="5"/>
      <c r="J414" s="5"/>
    </row>
    <row r="415" spans="2:10" s="7" customFormat="1" x14ac:dyDescent="0.2">
      <c r="B415" s="5"/>
      <c r="C415" s="5"/>
      <c r="D415" s="5"/>
      <c r="E415" s="5"/>
      <c r="F415" s="5"/>
      <c r="I415" s="5"/>
      <c r="J415" s="5"/>
    </row>
    <row r="416" spans="2:10" s="7" customFormat="1" x14ac:dyDescent="0.2">
      <c r="B416" s="5"/>
      <c r="C416" s="5"/>
      <c r="D416" s="5"/>
      <c r="E416" s="5"/>
      <c r="F416" s="5"/>
      <c r="I416" s="5"/>
      <c r="J416" s="5"/>
    </row>
    <row r="417" spans="2:10" s="7" customFormat="1" x14ac:dyDescent="0.2">
      <c r="B417" s="5"/>
      <c r="C417" s="5"/>
      <c r="D417" s="5"/>
      <c r="E417" s="5"/>
      <c r="F417" s="5"/>
      <c r="I417" s="5"/>
      <c r="J417" s="5"/>
    </row>
    <row r="418" spans="2:10" s="7" customFormat="1" x14ac:dyDescent="0.2">
      <c r="B418" s="5"/>
      <c r="C418" s="5"/>
      <c r="D418" s="5"/>
      <c r="E418" s="5"/>
      <c r="F418" s="5"/>
      <c r="I418" s="5"/>
      <c r="J418" s="5"/>
    </row>
    <row r="419" spans="2:10" s="7" customFormat="1" x14ac:dyDescent="0.2">
      <c r="B419" s="5"/>
      <c r="C419" s="5"/>
      <c r="D419" s="5"/>
      <c r="E419" s="5"/>
      <c r="F419" s="5"/>
      <c r="I419" s="5"/>
      <c r="J419" s="5"/>
    </row>
    <row r="420" spans="2:10" s="7" customFormat="1" x14ac:dyDescent="0.2">
      <c r="B420" s="5"/>
      <c r="C420" s="5"/>
      <c r="D420" s="5"/>
      <c r="E420" s="5"/>
      <c r="F420" s="5"/>
      <c r="I420" s="5"/>
      <c r="J420" s="5"/>
    </row>
    <row r="421" spans="2:10" s="7" customFormat="1" x14ac:dyDescent="0.2">
      <c r="B421" s="5"/>
      <c r="C421" s="5"/>
      <c r="D421" s="5"/>
      <c r="E421" s="5"/>
      <c r="F421" s="5"/>
      <c r="I421" s="5"/>
      <c r="J421" s="5"/>
    </row>
    <row r="422" spans="2:10" s="7" customFormat="1" x14ac:dyDescent="0.2">
      <c r="B422" s="5"/>
      <c r="C422" s="5"/>
      <c r="D422" s="5"/>
      <c r="E422" s="5"/>
      <c r="F422" s="5"/>
      <c r="I422" s="5"/>
      <c r="J422" s="5"/>
    </row>
    <row r="423" spans="2:10" s="7" customFormat="1" x14ac:dyDescent="0.2">
      <c r="B423" s="5"/>
      <c r="C423" s="5"/>
      <c r="D423" s="5"/>
      <c r="E423" s="5"/>
      <c r="F423" s="5"/>
      <c r="I423" s="5"/>
      <c r="J423" s="5"/>
    </row>
    <row r="424" spans="2:10" s="7" customFormat="1" x14ac:dyDescent="0.2">
      <c r="B424" s="5"/>
      <c r="C424" s="5"/>
      <c r="D424" s="5"/>
      <c r="E424" s="5"/>
      <c r="F424" s="5"/>
      <c r="I424" s="5"/>
      <c r="J424" s="5"/>
    </row>
    <row r="425" spans="2:10" s="7" customFormat="1" x14ac:dyDescent="0.2">
      <c r="B425" s="5"/>
      <c r="C425" s="5"/>
      <c r="D425" s="5"/>
      <c r="E425" s="5"/>
      <c r="F425" s="5"/>
      <c r="I425" s="5"/>
      <c r="J425" s="5"/>
    </row>
    <row r="426" spans="2:10" s="7" customFormat="1" x14ac:dyDescent="0.2">
      <c r="B426" s="5"/>
      <c r="C426" s="5"/>
      <c r="D426" s="5"/>
      <c r="E426" s="5"/>
      <c r="F426" s="5"/>
      <c r="I426" s="5"/>
      <c r="J426" s="5"/>
    </row>
    <row r="427" spans="2:10" s="7" customFormat="1" x14ac:dyDescent="0.2">
      <c r="B427" s="5"/>
      <c r="C427" s="5"/>
      <c r="D427" s="5"/>
      <c r="E427" s="5"/>
      <c r="F427" s="5"/>
      <c r="I427" s="5"/>
      <c r="J427" s="5"/>
    </row>
    <row r="428" spans="2:10" s="7" customFormat="1" x14ac:dyDescent="0.2">
      <c r="B428" s="5"/>
      <c r="C428" s="5"/>
      <c r="D428" s="5"/>
      <c r="E428" s="5"/>
      <c r="F428" s="5"/>
      <c r="I428" s="5"/>
      <c r="J428" s="5"/>
    </row>
    <row r="429" spans="2:10" s="7" customFormat="1" x14ac:dyDescent="0.2">
      <c r="B429" s="5"/>
      <c r="C429" s="5"/>
      <c r="D429" s="5"/>
      <c r="E429" s="5"/>
      <c r="F429" s="5"/>
      <c r="I429" s="5"/>
      <c r="J429" s="5"/>
    </row>
    <row r="430" spans="2:10" s="7" customFormat="1" x14ac:dyDescent="0.2">
      <c r="B430" s="5"/>
      <c r="C430" s="5"/>
      <c r="D430" s="5"/>
      <c r="E430" s="5"/>
      <c r="F430" s="5"/>
      <c r="I430" s="5"/>
      <c r="J430" s="5"/>
    </row>
    <row r="431" spans="2:10" s="7" customFormat="1" x14ac:dyDescent="0.2">
      <c r="B431" s="5"/>
      <c r="C431" s="5"/>
      <c r="D431" s="5"/>
      <c r="E431" s="5"/>
      <c r="F431" s="5"/>
      <c r="I431" s="5"/>
      <c r="J431" s="5"/>
    </row>
    <row r="432" spans="2:10" s="7" customFormat="1" x14ac:dyDescent="0.2">
      <c r="B432" s="5"/>
      <c r="C432" s="5"/>
      <c r="D432" s="5"/>
      <c r="E432" s="5"/>
      <c r="F432" s="5"/>
      <c r="I432" s="5"/>
      <c r="J432" s="5"/>
    </row>
    <row r="433" spans="2:10" s="7" customFormat="1" x14ac:dyDescent="0.2">
      <c r="B433" s="5"/>
      <c r="C433" s="5"/>
      <c r="D433" s="5"/>
      <c r="E433" s="5"/>
      <c r="F433" s="5"/>
      <c r="I433" s="5"/>
      <c r="J433" s="5"/>
    </row>
    <row r="434" spans="2:10" s="7" customFormat="1" x14ac:dyDescent="0.2">
      <c r="B434" s="5"/>
      <c r="C434" s="5"/>
      <c r="D434" s="5"/>
      <c r="E434" s="5"/>
      <c r="F434" s="5"/>
      <c r="I434" s="5"/>
      <c r="J434" s="5"/>
    </row>
    <row r="435" spans="2:10" s="7" customFormat="1" x14ac:dyDescent="0.2">
      <c r="B435" s="5"/>
      <c r="C435" s="5"/>
      <c r="D435" s="5"/>
      <c r="E435" s="5"/>
      <c r="F435" s="5"/>
      <c r="I435" s="5"/>
      <c r="J435" s="5"/>
    </row>
    <row r="436" spans="2:10" s="7" customFormat="1" x14ac:dyDescent="0.2">
      <c r="B436" s="5"/>
      <c r="C436" s="5"/>
      <c r="D436" s="5"/>
      <c r="E436" s="5"/>
      <c r="F436" s="5"/>
      <c r="I436" s="5"/>
      <c r="J436" s="5"/>
    </row>
    <row r="437" spans="2:10" s="7" customFormat="1" x14ac:dyDescent="0.2">
      <c r="B437" s="5"/>
      <c r="C437" s="5"/>
      <c r="D437" s="5"/>
      <c r="E437" s="5"/>
      <c r="F437" s="5"/>
      <c r="I437" s="5"/>
      <c r="J437" s="5"/>
    </row>
    <row r="438" spans="2:10" s="7" customFormat="1" x14ac:dyDescent="0.2">
      <c r="B438" s="5"/>
      <c r="C438" s="5"/>
      <c r="D438" s="5"/>
      <c r="E438" s="5"/>
      <c r="F438" s="5"/>
      <c r="I438" s="5"/>
      <c r="J438" s="5"/>
    </row>
    <row r="439" spans="2:10" s="7" customFormat="1" x14ac:dyDescent="0.2">
      <c r="B439" s="5"/>
      <c r="C439" s="5"/>
      <c r="D439" s="5"/>
      <c r="E439" s="5"/>
      <c r="F439" s="5"/>
      <c r="I439" s="5"/>
      <c r="J439" s="5"/>
    </row>
    <row r="440" spans="2:10" s="7" customFormat="1" x14ac:dyDescent="0.2">
      <c r="B440" s="5"/>
      <c r="C440" s="5"/>
      <c r="D440" s="5"/>
      <c r="E440" s="5"/>
      <c r="F440" s="5"/>
      <c r="I440" s="5"/>
      <c r="J440" s="5"/>
    </row>
    <row r="441" spans="2:10" s="7" customFormat="1" x14ac:dyDescent="0.2">
      <c r="B441" s="5"/>
      <c r="C441" s="5"/>
      <c r="D441" s="5"/>
      <c r="E441" s="5"/>
      <c r="F441" s="5"/>
      <c r="I441" s="5"/>
      <c r="J441" s="5"/>
    </row>
    <row r="442" spans="2:10" s="7" customFormat="1" x14ac:dyDescent="0.2">
      <c r="B442" s="5"/>
      <c r="C442" s="5"/>
      <c r="D442" s="5"/>
      <c r="E442" s="5"/>
      <c r="F442" s="5"/>
      <c r="I442" s="5"/>
      <c r="J442" s="5"/>
    </row>
    <row r="443" spans="2:10" s="7" customFormat="1" x14ac:dyDescent="0.2">
      <c r="B443" s="5"/>
      <c r="C443" s="5"/>
      <c r="D443" s="5"/>
      <c r="E443" s="5"/>
      <c r="F443" s="5"/>
      <c r="I443" s="5"/>
      <c r="J443" s="5"/>
    </row>
    <row r="444" spans="2:10" s="7" customFormat="1" x14ac:dyDescent="0.2">
      <c r="B444" s="5"/>
      <c r="C444" s="5"/>
      <c r="D444" s="5"/>
      <c r="E444" s="5"/>
      <c r="F444" s="5"/>
      <c r="I444" s="5"/>
      <c r="J444" s="5"/>
    </row>
    <row r="445" spans="2:10" s="7" customFormat="1" x14ac:dyDescent="0.2">
      <c r="B445" s="5"/>
      <c r="C445" s="5"/>
      <c r="D445" s="5"/>
      <c r="E445" s="5"/>
      <c r="F445" s="5"/>
      <c r="I445" s="5"/>
      <c r="J445" s="5"/>
    </row>
    <row r="446" spans="2:10" s="7" customFormat="1" x14ac:dyDescent="0.2">
      <c r="B446" s="5"/>
      <c r="C446" s="5"/>
      <c r="D446" s="5"/>
      <c r="E446" s="5"/>
      <c r="F446" s="5"/>
      <c r="I446" s="5"/>
      <c r="J446" s="5"/>
    </row>
    <row r="447" spans="2:10" s="7" customFormat="1" x14ac:dyDescent="0.2">
      <c r="B447" s="5"/>
      <c r="C447" s="5"/>
      <c r="D447" s="5"/>
      <c r="E447" s="5"/>
      <c r="F447" s="5"/>
      <c r="I447" s="5"/>
      <c r="J447" s="5"/>
    </row>
    <row r="448" spans="2:10" s="7" customFormat="1" x14ac:dyDescent="0.2">
      <c r="B448" s="5"/>
      <c r="C448" s="5"/>
      <c r="D448" s="5"/>
      <c r="E448" s="5"/>
      <c r="F448" s="5"/>
      <c r="I448" s="5"/>
      <c r="J448" s="5"/>
    </row>
    <row r="449" spans="2:10" s="7" customFormat="1" x14ac:dyDescent="0.2">
      <c r="B449" s="5"/>
      <c r="C449" s="5"/>
      <c r="D449" s="5"/>
      <c r="E449" s="5"/>
      <c r="F449" s="5"/>
      <c r="I449" s="5"/>
      <c r="J449" s="5"/>
    </row>
  </sheetData>
  <autoFilter ref="A1:M246" xr:uid="{DAD00364-664A-470B-8B0C-3CB3FB80AFDB}"/>
  <dataValidations count="1">
    <dataValidation type="time" allowBlank="1" showInputMessage="1" showErrorMessage="1" sqref="D33 D28:E32 D2:E11 F4:F10 F36:F55 F58:F64 F66:F118 F121:F127 F129:F181 F184:F190 D34:E299 F192:F243 F254:F299 F246:F252" xr:uid="{A48717FB-3C15-4851-80DF-BBAE27E7F246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261E895-FD4C-4F4C-A6CB-05713A135C1C}">
          <x14:formula1>
            <xm:f>Metadata!$F$2:$F$15</xm:f>
          </x14:formula1>
          <xm:sqref>I2:I299</xm:sqref>
        </x14:dataValidation>
        <x14:dataValidation type="list" allowBlank="1" showInputMessage="1" showErrorMessage="1" xr:uid="{0628731E-15BA-4688-8378-682F5F3141FA}">
          <x14:formula1>
            <xm:f>Metadata!$C$3:$C$14</xm:f>
          </x14:formula1>
          <xm:sqref>B2:B299</xm:sqref>
        </x14:dataValidation>
        <x14:dataValidation type="list" allowBlank="1" showInputMessage="1" showErrorMessage="1" xr:uid="{A65A23A5-A4DA-4135-B94D-820BCE23DB63}">
          <x14:formula1>
            <xm:f>Metadata!$C$2:$C$15</xm:f>
          </x14:formula1>
          <xm:sqref>H2:H299</xm:sqref>
        </x14:dataValidation>
        <x14:dataValidation type="list" allowBlank="1" showInputMessage="1" showErrorMessage="1" xr:uid="{E8DC82E1-7816-459E-AD63-F9D6E47689B4}">
          <x14:formula1>
            <xm:f>Metadata!$A$2:$A$15</xm:f>
          </x14:formula1>
          <xm:sqref>G2:G298</xm:sqref>
        </x14:dataValidation>
        <x14:dataValidation type="list" allowBlank="1" showInputMessage="1" showErrorMessage="1" xr:uid="{7BF8C252-7491-41AB-B9A3-44EF1B4F13A2}">
          <x14:formula1>
            <xm:f>Metadata!$H$2:$H$5</xm:f>
          </x14:formula1>
          <xm:sqref>A2:A299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832E-6A53-4B8A-BFC6-7A447BE17163}">
  <sheetPr codeName="Tabelle12">
    <pageSetUpPr fitToPage="1"/>
  </sheetPr>
  <dimension ref="A1:K449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11" sqref="A11"/>
      <selection pane="bottomRight" activeCell="D2" sqref="D2"/>
    </sheetView>
  </sheetViews>
  <sheetFormatPr baseColWidth="10" defaultColWidth="11.42578125" defaultRowHeight="14.25" x14ac:dyDescent="0.2"/>
  <cols>
    <col min="1" max="1" width="21.28515625" style="7" hidden="1" customWidth="1"/>
    <col min="2" max="2" width="15.85546875" style="8" hidden="1" customWidth="1"/>
    <col min="3" max="3" width="12.42578125" style="4" customWidth="1"/>
    <col min="4" max="4" width="9.7109375" style="4" customWidth="1"/>
    <col min="5" max="5" width="9.28515625" style="4" customWidth="1"/>
    <col min="6" max="6" width="7.7109375" style="6" customWidth="1"/>
    <col min="7" max="7" width="30.7109375" style="7" bestFit="1" customWidth="1"/>
    <col min="8" max="8" width="26.7109375" style="7" customWidth="1"/>
    <col min="9" max="9" width="37.42578125" style="5" customWidth="1"/>
    <col min="10" max="10" width="58.28515625" style="5" customWidth="1"/>
    <col min="11" max="12" width="11.42578125" style="5"/>
    <col min="13" max="13" width="15.42578125" style="5" customWidth="1"/>
    <col min="14" max="16384" width="11.42578125" style="5"/>
  </cols>
  <sheetData>
    <row r="1" spans="1:11" s="18" customFormat="1" ht="60.75" thickBot="1" x14ac:dyDescent="0.3">
      <c r="A1" s="21" t="s">
        <v>0</v>
      </c>
      <c r="B1" s="15" t="s">
        <v>2</v>
      </c>
      <c r="C1" s="16" t="s">
        <v>3</v>
      </c>
      <c r="D1" s="16" t="s">
        <v>4</v>
      </c>
      <c r="E1" s="16" t="s">
        <v>5</v>
      </c>
      <c r="F1" s="22" t="s">
        <v>6</v>
      </c>
      <c r="G1" s="16" t="s">
        <v>53</v>
      </c>
      <c r="H1" s="16" t="s">
        <v>54</v>
      </c>
      <c r="I1" s="21" t="s">
        <v>55</v>
      </c>
      <c r="J1" s="17" t="s">
        <v>56</v>
      </c>
      <c r="K1" s="17" t="s">
        <v>46</v>
      </c>
    </row>
    <row r="2" spans="1:11" s="13" customFormat="1" ht="29.25" thickBot="1" x14ac:dyDescent="0.3">
      <c r="A2" s="19" t="s">
        <v>47</v>
      </c>
      <c r="B2" s="10" t="s">
        <v>1</v>
      </c>
      <c r="C2" s="14">
        <v>46357</v>
      </c>
      <c r="D2" s="11"/>
      <c r="E2" s="11"/>
      <c r="F2" s="12">
        <f>+(E2-D2)*24</f>
        <v>0</v>
      </c>
      <c r="G2" s="20"/>
      <c r="H2" s="20"/>
      <c r="I2" s="9"/>
      <c r="J2" s="9"/>
      <c r="K2" s="9"/>
    </row>
    <row r="3" spans="1:11" s="13" customFormat="1" ht="29.25" thickBot="1" x14ac:dyDescent="0.3">
      <c r="A3" s="19" t="s">
        <v>47</v>
      </c>
      <c r="B3" s="10" t="s">
        <v>1</v>
      </c>
      <c r="C3" s="14">
        <v>46357</v>
      </c>
      <c r="D3" s="11"/>
      <c r="E3" s="11"/>
      <c r="F3" s="12">
        <f>+(E3-D3)*24</f>
        <v>0</v>
      </c>
      <c r="G3" s="20"/>
      <c r="H3" s="20"/>
      <c r="I3" s="9"/>
      <c r="J3" s="9"/>
      <c r="K3" s="9"/>
    </row>
    <row r="4" spans="1:11" s="13" customFormat="1" ht="29.25" thickBot="1" x14ac:dyDescent="0.3">
      <c r="A4" s="19" t="s">
        <v>47</v>
      </c>
      <c r="B4" s="10" t="s">
        <v>1</v>
      </c>
      <c r="C4" s="14">
        <v>46357</v>
      </c>
      <c r="D4" s="11"/>
      <c r="E4" s="11"/>
      <c r="F4" s="12">
        <f>+(E4-D4)*24</f>
        <v>0</v>
      </c>
      <c r="G4" s="20"/>
      <c r="H4" s="20"/>
      <c r="I4" s="9"/>
      <c r="J4" s="9"/>
      <c r="K4" s="9"/>
    </row>
    <row r="5" spans="1:11" s="13" customFormat="1" ht="29.25" thickBot="1" x14ac:dyDescent="0.3">
      <c r="A5" s="19" t="s">
        <v>47</v>
      </c>
      <c r="B5" s="10" t="s">
        <v>1</v>
      </c>
      <c r="C5" s="14">
        <v>46357</v>
      </c>
      <c r="D5" s="11"/>
      <c r="E5" s="11"/>
      <c r="F5" s="12">
        <f>+(E5-D5)*24</f>
        <v>0</v>
      </c>
      <c r="G5" s="20"/>
      <c r="H5" s="20"/>
      <c r="I5" s="9"/>
      <c r="J5" s="9"/>
      <c r="K5" s="9"/>
    </row>
    <row r="6" spans="1:11" s="13" customFormat="1" ht="29.25" thickBot="1" x14ac:dyDescent="0.3">
      <c r="A6" s="19" t="s">
        <v>47</v>
      </c>
      <c r="B6" s="10" t="s">
        <v>1</v>
      </c>
      <c r="C6" s="14">
        <v>46357</v>
      </c>
      <c r="D6" s="11"/>
      <c r="E6" s="11"/>
      <c r="F6" s="12">
        <f t="shared" ref="F6:F69" si="0">+(E6-D6)*24</f>
        <v>0</v>
      </c>
      <c r="G6" s="20"/>
      <c r="H6" s="20"/>
      <c r="I6" s="9"/>
      <c r="J6" s="9"/>
      <c r="K6" s="9"/>
    </row>
    <row r="7" spans="1:11" s="13" customFormat="1" ht="29.25" thickBot="1" x14ac:dyDescent="0.3">
      <c r="A7" s="19" t="s">
        <v>47</v>
      </c>
      <c r="B7" s="10" t="s">
        <v>1</v>
      </c>
      <c r="C7" s="14">
        <v>46357</v>
      </c>
      <c r="D7" s="11"/>
      <c r="E7" s="11"/>
      <c r="F7" s="12">
        <f t="shared" si="0"/>
        <v>0</v>
      </c>
      <c r="G7" s="20"/>
      <c r="H7" s="20"/>
      <c r="I7" s="9"/>
      <c r="J7" s="9"/>
      <c r="K7" s="9"/>
    </row>
    <row r="8" spans="1:11" s="13" customFormat="1" ht="13.9" customHeight="1" thickBot="1" x14ac:dyDescent="0.3">
      <c r="A8" s="19" t="s">
        <v>47</v>
      </c>
      <c r="B8" s="10" t="s">
        <v>1</v>
      </c>
      <c r="C8" s="14">
        <v>46357</v>
      </c>
      <c r="D8" s="11"/>
      <c r="E8" s="11"/>
      <c r="F8" s="12">
        <f t="shared" si="0"/>
        <v>0</v>
      </c>
      <c r="G8" s="20"/>
      <c r="H8" s="20"/>
      <c r="I8" s="9"/>
      <c r="J8" s="9"/>
      <c r="K8" s="9"/>
    </row>
    <row r="9" spans="1:11" s="13" customFormat="1" ht="29.25" thickBot="1" x14ac:dyDescent="0.3">
      <c r="A9" s="19" t="s">
        <v>47</v>
      </c>
      <c r="B9" s="10"/>
      <c r="C9" s="14">
        <v>46357</v>
      </c>
      <c r="D9" s="11"/>
      <c r="E9" s="11"/>
      <c r="F9" s="12">
        <f t="shared" si="0"/>
        <v>0</v>
      </c>
      <c r="G9" s="20"/>
      <c r="H9" s="20"/>
      <c r="I9" s="9"/>
      <c r="J9" s="9"/>
      <c r="K9" s="9"/>
    </row>
    <row r="10" spans="1:11" s="13" customFormat="1" ht="29.25" thickBot="1" x14ac:dyDescent="0.3">
      <c r="A10" s="19" t="s">
        <v>47</v>
      </c>
      <c r="B10" s="10" t="s">
        <v>1</v>
      </c>
      <c r="C10" s="14">
        <v>46357</v>
      </c>
      <c r="D10" s="11"/>
      <c r="E10" s="11"/>
      <c r="F10" s="12">
        <f t="shared" si="0"/>
        <v>0</v>
      </c>
      <c r="G10" s="20"/>
      <c r="H10" s="20"/>
      <c r="I10" s="9"/>
      <c r="J10" s="24"/>
      <c r="K10" s="9"/>
    </row>
    <row r="11" spans="1:11" s="13" customFormat="1" ht="29.25" thickBot="1" x14ac:dyDescent="0.3">
      <c r="A11" s="19" t="s">
        <v>47</v>
      </c>
      <c r="B11" s="10" t="s">
        <v>1</v>
      </c>
      <c r="C11" s="14">
        <v>46358</v>
      </c>
      <c r="D11" s="11"/>
      <c r="E11" s="11"/>
      <c r="F11" s="12">
        <f t="shared" si="0"/>
        <v>0</v>
      </c>
      <c r="G11" s="20"/>
      <c r="H11" s="20"/>
      <c r="I11" s="9"/>
      <c r="J11" s="24"/>
      <c r="K11" s="9"/>
    </row>
    <row r="12" spans="1:11" s="13" customFormat="1" ht="29.25" thickBot="1" x14ac:dyDescent="0.3">
      <c r="A12" s="19" t="s">
        <v>47</v>
      </c>
      <c r="B12" s="10" t="s">
        <v>1</v>
      </c>
      <c r="C12" s="14">
        <v>46358</v>
      </c>
      <c r="D12" s="11"/>
      <c r="E12" s="11"/>
      <c r="F12" s="12">
        <f t="shared" si="0"/>
        <v>0</v>
      </c>
      <c r="G12" s="20"/>
      <c r="H12" s="20"/>
      <c r="I12" s="9"/>
      <c r="J12" s="9"/>
      <c r="K12" s="9"/>
    </row>
    <row r="13" spans="1:11" s="13" customFormat="1" ht="29.25" thickBot="1" x14ac:dyDescent="0.3">
      <c r="A13" s="19" t="s">
        <v>47</v>
      </c>
      <c r="B13" s="10" t="s">
        <v>1</v>
      </c>
      <c r="C13" s="14">
        <v>46358</v>
      </c>
      <c r="D13" s="11"/>
      <c r="E13" s="11"/>
      <c r="F13" s="12">
        <f t="shared" si="0"/>
        <v>0</v>
      </c>
      <c r="G13" s="20"/>
      <c r="H13" s="20"/>
      <c r="I13" s="9"/>
      <c r="J13" s="9"/>
      <c r="K13" s="9"/>
    </row>
    <row r="14" spans="1:11" s="13" customFormat="1" ht="29.25" thickBot="1" x14ac:dyDescent="0.3">
      <c r="A14" s="19" t="s">
        <v>47</v>
      </c>
      <c r="B14" s="10" t="s">
        <v>1</v>
      </c>
      <c r="C14" s="14">
        <v>46358</v>
      </c>
      <c r="D14" s="11"/>
      <c r="E14" s="11"/>
      <c r="F14" s="12">
        <f t="shared" si="0"/>
        <v>0</v>
      </c>
      <c r="G14" s="20"/>
      <c r="H14" s="20"/>
      <c r="I14" s="9"/>
      <c r="J14" s="9"/>
      <c r="K14" s="9"/>
    </row>
    <row r="15" spans="1:11" s="13" customFormat="1" ht="29.25" thickBot="1" x14ac:dyDescent="0.3">
      <c r="A15" s="19" t="s">
        <v>47</v>
      </c>
      <c r="B15" s="10" t="s">
        <v>1</v>
      </c>
      <c r="C15" s="14">
        <v>46358</v>
      </c>
      <c r="D15" s="11"/>
      <c r="E15" s="11"/>
      <c r="F15" s="12">
        <f t="shared" si="0"/>
        <v>0</v>
      </c>
      <c r="G15" s="20"/>
      <c r="H15" s="20"/>
      <c r="I15" s="9"/>
      <c r="J15" s="9"/>
      <c r="K15" s="9"/>
    </row>
    <row r="16" spans="1:11" s="13" customFormat="1" ht="29.25" thickBot="1" x14ac:dyDescent="0.3">
      <c r="A16" s="19" t="s">
        <v>47</v>
      </c>
      <c r="B16" s="10" t="s">
        <v>1</v>
      </c>
      <c r="C16" s="14">
        <v>46358</v>
      </c>
      <c r="D16" s="11"/>
      <c r="E16" s="11"/>
      <c r="F16" s="12">
        <f t="shared" si="0"/>
        <v>0</v>
      </c>
      <c r="G16" s="20"/>
      <c r="H16" s="20"/>
      <c r="I16" s="9"/>
      <c r="J16" s="9"/>
      <c r="K16" s="9"/>
    </row>
    <row r="17" spans="1:11" s="13" customFormat="1" ht="29.25" thickBot="1" x14ac:dyDescent="0.3">
      <c r="A17" s="19" t="s">
        <v>47</v>
      </c>
      <c r="B17" s="10" t="s">
        <v>1</v>
      </c>
      <c r="C17" s="14">
        <v>46358</v>
      </c>
      <c r="D17" s="11"/>
      <c r="E17" s="11"/>
      <c r="F17" s="12">
        <f t="shared" si="0"/>
        <v>0</v>
      </c>
      <c r="G17" s="20"/>
      <c r="H17" s="20"/>
      <c r="I17" s="9"/>
      <c r="J17" s="9"/>
      <c r="K17" s="9"/>
    </row>
    <row r="18" spans="1:11" s="13" customFormat="1" ht="15.75" customHeight="1" thickBot="1" x14ac:dyDescent="0.3">
      <c r="A18" s="19" t="s">
        <v>47</v>
      </c>
      <c r="B18" s="10" t="s">
        <v>1</v>
      </c>
      <c r="C18" s="14">
        <v>46358</v>
      </c>
      <c r="D18" s="11"/>
      <c r="E18" s="11"/>
      <c r="F18" s="12">
        <f t="shared" si="0"/>
        <v>0</v>
      </c>
      <c r="G18" s="20"/>
      <c r="H18" s="20"/>
      <c r="I18" s="9"/>
      <c r="J18" s="9"/>
      <c r="K18" s="9"/>
    </row>
    <row r="19" spans="1:11" s="13" customFormat="1" ht="29.25" thickBot="1" x14ac:dyDescent="0.3">
      <c r="A19" s="19" t="s">
        <v>47</v>
      </c>
      <c r="B19" s="10" t="s">
        <v>1</v>
      </c>
      <c r="C19" s="14">
        <v>46358</v>
      </c>
      <c r="D19" s="11"/>
      <c r="E19" s="11"/>
      <c r="F19" s="12">
        <f t="shared" si="0"/>
        <v>0</v>
      </c>
      <c r="G19" s="20"/>
      <c r="H19" s="20"/>
      <c r="I19" s="9"/>
      <c r="J19" s="9"/>
      <c r="K19" s="9"/>
    </row>
    <row r="20" spans="1:11" s="13" customFormat="1" ht="29.25" thickBot="1" x14ac:dyDescent="0.3">
      <c r="A20" s="19" t="s">
        <v>47</v>
      </c>
      <c r="B20" s="10" t="s">
        <v>1</v>
      </c>
      <c r="C20" s="14">
        <v>46359</v>
      </c>
      <c r="D20" s="11"/>
      <c r="E20" s="11"/>
      <c r="F20" s="12">
        <f t="shared" si="0"/>
        <v>0</v>
      </c>
      <c r="G20" s="20"/>
      <c r="H20" s="20"/>
      <c r="I20" s="9"/>
      <c r="J20" s="9"/>
      <c r="K20" s="9"/>
    </row>
    <row r="21" spans="1:11" s="13" customFormat="1" ht="29.25" thickBot="1" x14ac:dyDescent="0.3">
      <c r="A21" s="19" t="s">
        <v>47</v>
      </c>
      <c r="B21" s="10" t="s">
        <v>1</v>
      </c>
      <c r="C21" s="14">
        <v>46359</v>
      </c>
      <c r="D21" s="11"/>
      <c r="E21" s="11"/>
      <c r="F21" s="12">
        <f t="shared" si="0"/>
        <v>0</v>
      </c>
      <c r="G21" s="20"/>
      <c r="H21" s="20"/>
      <c r="I21" s="9"/>
      <c r="J21" s="9"/>
      <c r="K21" s="9"/>
    </row>
    <row r="22" spans="1:11" s="13" customFormat="1" ht="29.25" thickBot="1" x14ac:dyDescent="0.3">
      <c r="A22" s="19" t="s">
        <v>47</v>
      </c>
      <c r="B22" s="10" t="s">
        <v>1</v>
      </c>
      <c r="C22" s="14">
        <v>46359</v>
      </c>
      <c r="D22" s="11"/>
      <c r="E22" s="11"/>
      <c r="F22" s="12">
        <f t="shared" si="0"/>
        <v>0</v>
      </c>
      <c r="G22" s="20"/>
      <c r="H22" s="20"/>
      <c r="I22" s="9"/>
      <c r="J22" s="9"/>
      <c r="K22" s="9"/>
    </row>
    <row r="23" spans="1:11" s="13" customFormat="1" ht="29.25" thickBot="1" x14ac:dyDescent="0.3">
      <c r="A23" s="19" t="s">
        <v>47</v>
      </c>
      <c r="B23" s="10" t="s">
        <v>1</v>
      </c>
      <c r="C23" s="14">
        <v>46359</v>
      </c>
      <c r="D23" s="11"/>
      <c r="E23" s="11"/>
      <c r="F23" s="12">
        <f t="shared" si="0"/>
        <v>0</v>
      </c>
      <c r="G23" s="20"/>
      <c r="H23" s="20"/>
      <c r="I23" s="9"/>
      <c r="J23" s="9"/>
      <c r="K23" s="9"/>
    </row>
    <row r="24" spans="1:11" s="13" customFormat="1" ht="29.25" thickBot="1" x14ac:dyDescent="0.3">
      <c r="A24" s="19" t="s">
        <v>47</v>
      </c>
      <c r="B24" s="10" t="s">
        <v>1</v>
      </c>
      <c r="C24" s="14">
        <v>46359</v>
      </c>
      <c r="D24" s="11"/>
      <c r="E24" s="11"/>
      <c r="F24" s="12">
        <f t="shared" si="0"/>
        <v>0</v>
      </c>
      <c r="G24" s="20"/>
      <c r="H24" s="20"/>
      <c r="I24" s="9"/>
      <c r="J24" s="9"/>
      <c r="K24" s="9"/>
    </row>
    <row r="25" spans="1:11" s="13" customFormat="1" ht="29.25" thickBot="1" x14ac:dyDescent="0.3">
      <c r="A25" s="19" t="s">
        <v>47</v>
      </c>
      <c r="B25" s="10" t="s">
        <v>1</v>
      </c>
      <c r="C25" s="14">
        <v>46359</v>
      </c>
      <c r="D25" s="11"/>
      <c r="E25" s="11"/>
      <c r="F25" s="12">
        <f t="shared" si="0"/>
        <v>0</v>
      </c>
      <c r="G25" s="20"/>
      <c r="H25" s="20"/>
      <c r="I25" s="9"/>
      <c r="J25" s="9"/>
      <c r="K25" s="9"/>
    </row>
    <row r="26" spans="1:11" s="13" customFormat="1" ht="29.25" thickBot="1" x14ac:dyDescent="0.3">
      <c r="A26" s="19" t="s">
        <v>47</v>
      </c>
      <c r="B26" s="10" t="s">
        <v>1</v>
      </c>
      <c r="C26" s="14">
        <v>46359</v>
      </c>
      <c r="D26" s="11"/>
      <c r="E26" s="11"/>
      <c r="F26" s="12">
        <f t="shared" si="0"/>
        <v>0</v>
      </c>
      <c r="G26" s="20"/>
      <c r="H26" s="20"/>
      <c r="I26" s="9"/>
      <c r="J26" s="9"/>
      <c r="K26" s="9"/>
    </row>
    <row r="27" spans="1:11" s="13" customFormat="1" ht="29.25" thickBot="1" x14ac:dyDescent="0.3">
      <c r="A27" s="19" t="s">
        <v>47</v>
      </c>
      <c r="B27" s="10" t="s">
        <v>1</v>
      </c>
      <c r="C27" s="14">
        <v>46359</v>
      </c>
      <c r="D27" s="11"/>
      <c r="E27" s="11"/>
      <c r="F27" s="12">
        <f t="shared" si="0"/>
        <v>0</v>
      </c>
      <c r="G27" s="20"/>
      <c r="H27" s="20"/>
      <c r="I27" s="9"/>
      <c r="J27" s="9"/>
      <c r="K27" s="9"/>
    </row>
    <row r="28" spans="1:11" s="13" customFormat="1" ht="29.25" thickBot="1" x14ac:dyDescent="0.3">
      <c r="A28" s="19" t="s">
        <v>47</v>
      </c>
      <c r="B28" s="10" t="s">
        <v>1</v>
      </c>
      <c r="C28" s="14">
        <v>46359</v>
      </c>
      <c r="D28" s="11"/>
      <c r="E28" s="11"/>
      <c r="F28" s="12">
        <f t="shared" si="0"/>
        <v>0</v>
      </c>
      <c r="G28" s="20"/>
      <c r="H28" s="20"/>
      <c r="I28" s="9"/>
      <c r="J28" s="9"/>
      <c r="K28" s="9"/>
    </row>
    <row r="29" spans="1:11" s="13" customFormat="1" ht="29.25" thickBot="1" x14ac:dyDescent="0.3">
      <c r="A29" s="19" t="s">
        <v>47</v>
      </c>
      <c r="B29" s="10" t="s">
        <v>1</v>
      </c>
      <c r="C29" s="14">
        <v>46360</v>
      </c>
      <c r="D29" s="11"/>
      <c r="E29" s="11"/>
      <c r="F29" s="12">
        <f t="shared" si="0"/>
        <v>0</v>
      </c>
      <c r="G29" s="20"/>
      <c r="H29" s="20"/>
      <c r="I29" s="9"/>
      <c r="J29" s="9"/>
      <c r="K29" s="9"/>
    </row>
    <row r="30" spans="1:11" s="13" customFormat="1" ht="29.25" thickBot="1" x14ac:dyDescent="0.3">
      <c r="A30" s="19" t="s">
        <v>47</v>
      </c>
      <c r="B30" s="10" t="s">
        <v>1</v>
      </c>
      <c r="C30" s="14">
        <v>46360</v>
      </c>
      <c r="D30" s="11"/>
      <c r="E30" s="11"/>
      <c r="F30" s="12">
        <f t="shared" si="0"/>
        <v>0</v>
      </c>
      <c r="G30" s="20"/>
      <c r="H30" s="20"/>
      <c r="I30" s="9"/>
      <c r="J30" s="9"/>
      <c r="K30" s="9"/>
    </row>
    <row r="31" spans="1:11" s="13" customFormat="1" ht="29.25" thickBot="1" x14ac:dyDescent="0.3">
      <c r="A31" s="19" t="s">
        <v>47</v>
      </c>
      <c r="B31" s="10" t="s">
        <v>1</v>
      </c>
      <c r="C31" s="14">
        <v>46360</v>
      </c>
      <c r="D31" s="11"/>
      <c r="E31" s="11"/>
      <c r="F31" s="12">
        <f t="shared" si="0"/>
        <v>0</v>
      </c>
      <c r="G31" s="20"/>
      <c r="H31" s="20"/>
      <c r="I31" s="9"/>
      <c r="J31" s="9"/>
      <c r="K31" s="9"/>
    </row>
    <row r="32" spans="1:11" s="13" customFormat="1" ht="29.25" thickBot="1" x14ac:dyDescent="0.3">
      <c r="A32" s="19" t="s">
        <v>47</v>
      </c>
      <c r="B32" s="10" t="s">
        <v>1</v>
      </c>
      <c r="C32" s="14">
        <v>46360</v>
      </c>
      <c r="D32" s="11"/>
      <c r="E32" s="11"/>
      <c r="F32" s="12">
        <f t="shared" si="0"/>
        <v>0</v>
      </c>
      <c r="G32" s="20"/>
      <c r="H32" s="20"/>
      <c r="I32" s="9"/>
      <c r="J32" s="9"/>
      <c r="K32" s="9"/>
    </row>
    <row r="33" spans="1:11" s="13" customFormat="1" ht="29.25" thickBot="1" x14ac:dyDescent="0.3">
      <c r="A33" s="19" t="s">
        <v>47</v>
      </c>
      <c r="B33" s="10" t="s">
        <v>1</v>
      </c>
      <c r="C33" s="14">
        <v>46360</v>
      </c>
      <c r="D33" s="11"/>
      <c r="E33" s="11"/>
      <c r="F33" s="12">
        <f t="shared" si="0"/>
        <v>0</v>
      </c>
      <c r="G33" s="20"/>
      <c r="H33" s="20"/>
      <c r="I33" s="9"/>
      <c r="J33" s="9"/>
      <c r="K33" s="9"/>
    </row>
    <row r="34" spans="1:11" s="13" customFormat="1" ht="29.25" thickBot="1" x14ac:dyDescent="0.3">
      <c r="A34" s="19" t="s">
        <v>47</v>
      </c>
      <c r="B34" s="10" t="s">
        <v>1</v>
      </c>
      <c r="C34" s="14">
        <v>46360</v>
      </c>
      <c r="D34" s="11"/>
      <c r="E34" s="11"/>
      <c r="F34" s="12">
        <f t="shared" si="0"/>
        <v>0</v>
      </c>
      <c r="G34" s="20"/>
      <c r="H34" s="20"/>
      <c r="I34" s="9"/>
      <c r="J34" s="9"/>
      <c r="K34" s="9"/>
    </row>
    <row r="35" spans="1:11" s="13" customFormat="1" ht="29.25" thickBot="1" x14ac:dyDescent="0.3">
      <c r="A35" s="19" t="s">
        <v>47</v>
      </c>
      <c r="B35" s="10" t="s">
        <v>1</v>
      </c>
      <c r="C35" s="14">
        <v>46360</v>
      </c>
      <c r="D35" s="11"/>
      <c r="E35" s="11"/>
      <c r="F35" s="12">
        <f t="shared" si="0"/>
        <v>0</v>
      </c>
      <c r="G35" s="20"/>
      <c r="H35" s="20"/>
      <c r="I35" s="9"/>
      <c r="J35" s="9"/>
      <c r="K35" s="9"/>
    </row>
    <row r="36" spans="1:11" s="13" customFormat="1" ht="29.25" thickBot="1" x14ac:dyDescent="0.3">
      <c r="A36" s="19" t="s">
        <v>47</v>
      </c>
      <c r="B36" s="10" t="s">
        <v>1</v>
      </c>
      <c r="C36" s="14">
        <v>46360</v>
      </c>
      <c r="D36" s="11"/>
      <c r="E36" s="11"/>
      <c r="F36" s="12">
        <f t="shared" si="0"/>
        <v>0</v>
      </c>
      <c r="G36" s="20"/>
      <c r="H36" s="20"/>
      <c r="I36" s="9"/>
      <c r="J36" s="9"/>
      <c r="K36" s="9"/>
    </row>
    <row r="37" spans="1:11" s="13" customFormat="1" ht="29.25" thickBot="1" x14ac:dyDescent="0.3">
      <c r="A37" s="19" t="s">
        <v>47</v>
      </c>
      <c r="B37" s="10" t="s">
        <v>1</v>
      </c>
      <c r="C37" s="14">
        <v>46360</v>
      </c>
      <c r="D37" s="11"/>
      <c r="E37" s="11"/>
      <c r="F37" s="12">
        <f t="shared" si="0"/>
        <v>0</v>
      </c>
      <c r="G37" s="20"/>
      <c r="H37" s="20"/>
      <c r="I37" s="9"/>
      <c r="J37" s="9"/>
      <c r="K37" s="9"/>
    </row>
    <row r="38" spans="1:11" s="13" customFormat="1" ht="29.25" thickBot="1" x14ac:dyDescent="0.3">
      <c r="A38" s="19" t="s">
        <v>47</v>
      </c>
      <c r="B38" s="10" t="s">
        <v>1</v>
      </c>
      <c r="C38" s="14">
        <v>46361</v>
      </c>
      <c r="D38" s="11">
        <v>0.35416666666666669</v>
      </c>
      <c r="E38" s="11">
        <v>0.6875</v>
      </c>
      <c r="F38" s="12">
        <f>+(E38-D38)*24</f>
        <v>8</v>
      </c>
      <c r="G38" s="20" t="s">
        <v>21</v>
      </c>
      <c r="H38" s="20" t="s">
        <v>30</v>
      </c>
      <c r="I38" s="9"/>
      <c r="J38" s="9" t="s">
        <v>71</v>
      </c>
      <c r="K38" s="9"/>
    </row>
    <row r="39" spans="1:11" s="13" customFormat="1" ht="29.25" thickBot="1" x14ac:dyDescent="0.3">
      <c r="A39" s="19" t="s">
        <v>47</v>
      </c>
      <c r="B39" s="10" t="s">
        <v>1</v>
      </c>
      <c r="C39" s="14">
        <v>46361</v>
      </c>
      <c r="D39" s="11"/>
      <c r="E39" s="11"/>
      <c r="F39" s="12"/>
      <c r="G39" s="20"/>
      <c r="H39" s="20"/>
      <c r="I39" s="9"/>
      <c r="J39" s="9"/>
      <c r="K39" s="9"/>
    </row>
    <row r="40" spans="1:11" s="13" customFormat="1" ht="29.25" thickBot="1" x14ac:dyDescent="0.3">
      <c r="A40" s="19" t="s">
        <v>47</v>
      </c>
      <c r="B40" s="10" t="s">
        <v>1</v>
      </c>
      <c r="C40" s="14">
        <v>46361</v>
      </c>
      <c r="D40" s="11"/>
      <c r="E40" s="11"/>
      <c r="F40" s="12">
        <f t="shared" ref="F40:F46" si="1">+(E40-D40)*24</f>
        <v>0</v>
      </c>
      <c r="G40" s="20"/>
      <c r="H40" s="20"/>
      <c r="I40" s="9"/>
      <c r="J40" s="9"/>
      <c r="K40" s="9"/>
    </row>
    <row r="41" spans="1:11" s="13" customFormat="1" ht="29.25" thickBot="1" x14ac:dyDescent="0.3">
      <c r="A41" s="19" t="s">
        <v>47</v>
      </c>
      <c r="B41" s="10" t="s">
        <v>1</v>
      </c>
      <c r="C41" s="14">
        <v>46361</v>
      </c>
      <c r="D41" s="11"/>
      <c r="E41" s="11"/>
      <c r="F41" s="12">
        <f t="shared" si="1"/>
        <v>0</v>
      </c>
      <c r="G41" s="20"/>
      <c r="H41" s="20"/>
      <c r="I41" s="9"/>
      <c r="J41" s="9"/>
      <c r="K41" s="9"/>
    </row>
    <row r="42" spans="1:11" s="13" customFormat="1" ht="29.25" thickBot="1" x14ac:dyDescent="0.3">
      <c r="A42" s="19" t="s">
        <v>47</v>
      </c>
      <c r="B42" s="10" t="s">
        <v>1</v>
      </c>
      <c r="C42" s="14">
        <v>46361</v>
      </c>
      <c r="D42" s="11"/>
      <c r="E42" s="11"/>
      <c r="F42" s="12">
        <f t="shared" si="1"/>
        <v>0</v>
      </c>
      <c r="G42" s="20"/>
      <c r="H42" s="20"/>
      <c r="I42" s="9"/>
      <c r="J42" s="9"/>
      <c r="K42" s="9"/>
    </row>
    <row r="43" spans="1:11" s="13" customFormat="1" ht="29.25" thickBot="1" x14ac:dyDescent="0.3">
      <c r="A43" s="19" t="s">
        <v>47</v>
      </c>
      <c r="B43" s="10" t="s">
        <v>1</v>
      </c>
      <c r="C43" s="14">
        <v>46361</v>
      </c>
      <c r="D43" s="11"/>
      <c r="E43" s="11"/>
      <c r="F43" s="12">
        <f t="shared" si="1"/>
        <v>0</v>
      </c>
      <c r="G43" s="20"/>
      <c r="H43" s="20"/>
      <c r="I43" s="9"/>
      <c r="J43" s="9"/>
      <c r="K43" s="9"/>
    </row>
    <row r="44" spans="1:11" s="13" customFormat="1" ht="29.25" thickBot="1" x14ac:dyDescent="0.3">
      <c r="A44" s="19" t="s">
        <v>47</v>
      </c>
      <c r="B44" s="10" t="s">
        <v>1</v>
      </c>
      <c r="C44" s="14">
        <v>46361</v>
      </c>
      <c r="D44" s="11"/>
      <c r="E44" s="11"/>
      <c r="F44" s="12">
        <f t="shared" si="1"/>
        <v>0</v>
      </c>
      <c r="G44" s="20"/>
      <c r="H44" s="20"/>
      <c r="I44" s="9"/>
      <c r="J44" s="9"/>
      <c r="K44" s="9"/>
    </row>
    <row r="45" spans="1:11" s="13" customFormat="1" ht="29.25" thickBot="1" x14ac:dyDescent="0.3">
      <c r="A45" s="19" t="s">
        <v>47</v>
      </c>
      <c r="B45" s="10" t="s">
        <v>1</v>
      </c>
      <c r="C45" s="14">
        <v>46361</v>
      </c>
      <c r="D45" s="11"/>
      <c r="E45" s="11"/>
      <c r="F45" s="12">
        <f t="shared" si="1"/>
        <v>0</v>
      </c>
      <c r="G45" s="20"/>
      <c r="H45" s="20"/>
      <c r="I45" s="9"/>
      <c r="J45" s="9"/>
      <c r="K45" s="9"/>
    </row>
    <row r="46" spans="1:11" s="13" customFormat="1" ht="29.25" thickBot="1" x14ac:dyDescent="0.3">
      <c r="A46" s="19" t="s">
        <v>47</v>
      </c>
      <c r="B46" s="10" t="s">
        <v>1</v>
      </c>
      <c r="C46" s="14">
        <v>46361</v>
      </c>
      <c r="D46" s="11"/>
      <c r="E46" s="11"/>
      <c r="F46" s="12">
        <f t="shared" si="1"/>
        <v>0</v>
      </c>
      <c r="G46" s="20"/>
      <c r="H46" s="20"/>
      <c r="I46" s="9"/>
      <c r="J46" s="9"/>
      <c r="K46" s="9"/>
    </row>
    <row r="47" spans="1:11" s="13" customFormat="1" ht="29.25" thickBot="1" x14ac:dyDescent="0.3">
      <c r="A47" s="19" t="s">
        <v>47</v>
      </c>
      <c r="B47" s="10" t="s">
        <v>1</v>
      </c>
      <c r="C47" s="14">
        <v>46362</v>
      </c>
      <c r="D47" s="11">
        <v>0.35416666666666669</v>
      </c>
      <c r="E47" s="11">
        <v>0.6875</v>
      </c>
      <c r="F47" s="12">
        <f>+(E47-D47)*24</f>
        <v>8</v>
      </c>
      <c r="G47" s="20" t="s">
        <v>21</v>
      </c>
      <c r="H47" s="20" t="s">
        <v>30</v>
      </c>
      <c r="I47" s="9"/>
      <c r="J47" s="9" t="s">
        <v>71</v>
      </c>
      <c r="K47" s="9"/>
    </row>
    <row r="48" spans="1:11" s="13" customFormat="1" ht="29.25" thickBot="1" x14ac:dyDescent="0.3">
      <c r="A48" s="19" t="s">
        <v>47</v>
      </c>
      <c r="B48" s="10" t="s">
        <v>1</v>
      </c>
      <c r="C48" s="14">
        <v>46362</v>
      </c>
      <c r="D48" s="11"/>
      <c r="E48" s="11"/>
      <c r="F48" s="12">
        <f t="shared" si="0"/>
        <v>0</v>
      </c>
      <c r="G48" s="20"/>
      <c r="H48" s="20"/>
      <c r="I48" s="9"/>
      <c r="J48" s="9"/>
      <c r="K48" s="9"/>
    </row>
    <row r="49" spans="1:11" s="13" customFormat="1" ht="13.9" customHeight="1" thickBot="1" x14ac:dyDescent="0.3">
      <c r="A49" s="19" t="s">
        <v>47</v>
      </c>
      <c r="B49" s="10" t="s">
        <v>1</v>
      </c>
      <c r="C49" s="14">
        <v>46362</v>
      </c>
      <c r="D49" s="11"/>
      <c r="E49" s="11"/>
      <c r="F49" s="12">
        <f t="shared" si="0"/>
        <v>0</v>
      </c>
      <c r="G49" s="20"/>
      <c r="H49" s="20"/>
      <c r="I49" s="9"/>
      <c r="J49" s="9"/>
      <c r="K49" s="9"/>
    </row>
    <row r="50" spans="1:11" s="13" customFormat="1" ht="29.25" thickBot="1" x14ac:dyDescent="0.3">
      <c r="A50" s="19" t="s">
        <v>47</v>
      </c>
      <c r="B50" s="10" t="s">
        <v>1</v>
      </c>
      <c r="C50" s="14">
        <v>46362</v>
      </c>
      <c r="D50" s="11"/>
      <c r="E50" s="11"/>
      <c r="F50" s="12">
        <f t="shared" si="0"/>
        <v>0</v>
      </c>
      <c r="G50" s="20"/>
      <c r="H50" s="20"/>
      <c r="I50" s="9"/>
      <c r="J50" s="9"/>
      <c r="K50" s="9"/>
    </row>
    <row r="51" spans="1:11" s="13" customFormat="1" ht="29.25" thickBot="1" x14ac:dyDescent="0.3">
      <c r="A51" s="19" t="s">
        <v>47</v>
      </c>
      <c r="B51" s="10" t="s">
        <v>1</v>
      </c>
      <c r="C51" s="14">
        <v>46362</v>
      </c>
      <c r="D51" s="11"/>
      <c r="E51" s="11"/>
      <c r="F51" s="12">
        <f t="shared" si="0"/>
        <v>0</v>
      </c>
      <c r="G51" s="20"/>
      <c r="H51" s="20"/>
      <c r="I51" s="9"/>
      <c r="J51" s="9"/>
      <c r="K51" s="9"/>
    </row>
    <row r="52" spans="1:11" s="13" customFormat="1" ht="29.25" thickBot="1" x14ac:dyDescent="0.3">
      <c r="A52" s="19" t="s">
        <v>47</v>
      </c>
      <c r="B52" s="10" t="s">
        <v>1</v>
      </c>
      <c r="C52" s="14">
        <v>46362</v>
      </c>
      <c r="D52" s="11"/>
      <c r="E52" s="11"/>
      <c r="F52" s="12">
        <f t="shared" si="0"/>
        <v>0</v>
      </c>
      <c r="G52" s="20"/>
      <c r="H52" s="20"/>
      <c r="I52" s="9"/>
      <c r="J52" s="9"/>
      <c r="K52" s="9"/>
    </row>
    <row r="53" spans="1:11" s="13" customFormat="1" ht="29.25" thickBot="1" x14ac:dyDescent="0.3">
      <c r="A53" s="19" t="s">
        <v>47</v>
      </c>
      <c r="B53" s="10"/>
      <c r="C53" s="14">
        <v>46362</v>
      </c>
      <c r="D53" s="11"/>
      <c r="E53" s="11"/>
      <c r="F53" s="12">
        <f t="shared" si="0"/>
        <v>0</v>
      </c>
      <c r="G53" s="20"/>
      <c r="H53" s="20"/>
      <c r="I53" s="9"/>
      <c r="J53" s="9"/>
      <c r="K53" s="9"/>
    </row>
    <row r="54" spans="1:11" s="13" customFormat="1" ht="29.25" thickBot="1" x14ac:dyDescent="0.3">
      <c r="A54" s="19" t="s">
        <v>47</v>
      </c>
      <c r="B54" s="10"/>
      <c r="C54" s="14">
        <v>46362</v>
      </c>
      <c r="D54" s="11"/>
      <c r="E54" s="11"/>
      <c r="F54" s="12">
        <f t="shared" si="0"/>
        <v>0</v>
      </c>
      <c r="G54" s="20"/>
      <c r="H54" s="20"/>
      <c r="I54" s="9"/>
      <c r="J54" s="9"/>
      <c r="K54" s="9"/>
    </row>
    <row r="55" spans="1:11" s="13" customFormat="1" ht="29.25" thickBot="1" x14ac:dyDescent="0.3">
      <c r="A55" s="19" t="s">
        <v>47</v>
      </c>
      <c r="B55" s="10"/>
      <c r="C55" s="14">
        <v>46362</v>
      </c>
      <c r="D55" s="11"/>
      <c r="E55" s="11"/>
      <c r="F55" s="12">
        <f t="shared" si="0"/>
        <v>0</v>
      </c>
      <c r="G55" s="20"/>
      <c r="H55" s="20"/>
      <c r="I55" s="9"/>
      <c r="J55" s="9"/>
      <c r="K55" s="9"/>
    </row>
    <row r="56" spans="1:11" s="13" customFormat="1" ht="29.25" thickBot="1" x14ac:dyDescent="0.3">
      <c r="A56" s="19" t="s">
        <v>47</v>
      </c>
      <c r="B56" s="10"/>
      <c r="C56" s="14">
        <v>46363</v>
      </c>
      <c r="D56" s="11"/>
      <c r="E56" s="11"/>
      <c r="F56" s="12">
        <f t="shared" si="0"/>
        <v>0</v>
      </c>
      <c r="G56" s="20"/>
      <c r="H56" s="20"/>
      <c r="I56" s="9"/>
      <c r="J56" s="9"/>
      <c r="K56" s="9"/>
    </row>
    <row r="57" spans="1:11" s="13" customFormat="1" ht="29.25" thickBot="1" x14ac:dyDescent="0.3">
      <c r="A57" s="19" t="s">
        <v>47</v>
      </c>
      <c r="B57" s="10"/>
      <c r="C57" s="14">
        <v>46363</v>
      </c>
      <c r="D57" s="11"/>
      <c r="E57" s="11"/>
      <c r="F57" s="12">
        <f t="shared" si="0"/>
        <v>0</v>
      </c>
      <c r="G57" s="20"/>
      <c r="H57" s="20"/>
      <c r="I57" s="9"/>
      <c r="J57" s="9"/>
      <c r="K57" s="9"/>
    </row>
    <row r="58" spans="1:11" s="13" customFormat="1" ht="29.25" thickBot="1" x14ac:dyDescent="0.3">
      <c r="A58" s="19" t="s">
        <v>47</v>
      </c>
      <c r="B58" s="10"/>
      <c r="C58" s="14">
        <v>46363</v>
      </c>
      <c r="D58" s="11"/>
      <c r="E58" s="11"/>
      <c r="F58" s="12">
        <f t="shared" si="0"/>
        <v>0</v>
      </c>
      <c r="G58" s="20"/>
      <c r="H58" s="20"/>
      <c r="I58" s="9"/>
      <c r="J58" s="9"/>
      <c r="K58" s="9"/>
    </row>
    <row r="59" spans="1:11" s="13" customFormat="1" ht="29.25" thickBot="1" x14ac:dyDescent="0.3">
      <c r="A59" s="19" t="s">
        <v>47</v>
      </c>
      <c r="B59" s="10"/>
      <c r="C59" s="14">
        <v>46363</v>
      </c>
      <c r="D59" s="11"/>
      <c r="E59" s="11"/>
      <c r="F59" s="12">
        <f t="shared" si="0"/>
        <v>0</v>
      </c>
      <c r="G59" s="20"/>
      <c r="H59" s="20"/>
      <c r="I59" s="9"/>
      <c r="J59" s="9"/>
      <c r="K59" s="9"/>
    </row>
    <row r="60" spans="1:11" s="13" customFormat="1" ht="29.25" thickBot="1" x14ac:dyDescent="0.3">
      <c r="A60" s="19" t="s">
        <v>47</v>
      </c>
      <c r="B60" s="10"/>
      <c r="C60" s="14">
        <v>46363</v>
      </c>
      <c r="D60" s="11"/>
      <c r="E60" s="11"/>
      <c r="F60" s="12">
        <f t="shared" si="0"/>
        <v>0</v>
      </c>
      <c r="G60" s="20"/>
      <c r="H60" s="20"/>
      <c r="I60" s="9"/>
      <c r="J60" s="9"/>
      <c r="K60" s="9"/>
    </row>
    <row r="61" spans="1:11" s="13" customFormat="1" ht="29.25" thickBot="1" x14ac:dyDescent="0.3">
      <c r="A61" s="19" t="s">
        <v>47</v>
      </c>
      <c r="B61" s="10"/>
      <c r="C61" s="14">
        <v>46363</v>
      </c>
      <c r="D61" s="11"/>
      <c r="E61" s="11"/>
      <c r="F61" s="12">
        <f t="shared" si="0"/>
        <v>0</v>
      </c>
      <c r="G61" s="20"/>
      <c r="H61" s="20"/>
      <c r="I61" s="9"/>
      <c r="J61" s="9"/>
      <c r="K61" s="9"/>
    </row>
    <row r="62" spans="1:11" s="13" customFormat="1" ht="29.25" thickBot="1" x14ac:dyDescent="0.3">
      <c r="A62" s="19" t="s">
        <v>47</v>
      </c>
      <c r="B62" s="10"/>
      <c r="C62" s="14">
        <v>46363</v>
      </c>
      <c r="D62" s="11"/>
      <c r="E62" s="11"/>
      <c r="F62" s="12">
        <f t="shared" si="0"/>
        <v>0</v>
      </c>
      <c r="G62" s="20"/>
      <c r="H62" s="20"/>
      <c r="I62" s="9"/>
      <c r="J62" s="9"/>
      <c r="K62" s="9"/>
    </row>
    <row r="63" spans="1:11" s="13" customFormat="1" ht="29.25" thickBot="1" x14ac:dyDescent="0.3">
      <c r="A63" s="19" t="s">
        <v>47</v>
      </c>
      <c r="B63" s="10"/>
      <c r="C63" s="14">
        <v>46363</v>
      </c>
      <c r="D63" s="11"/>
      <c r="E63" s="11"/>
      <c r="F63" s="12">
        <f t="shared" si="0"/>
        <v>0</v>
      </c>
      <c r="G63" s="20"/>
      <c r="H63" s="20"/>
      <c r="I63" s="9"/>
      <c r="J63" s="9"/>
      <c r="K63" s="9"/>
    </row>
    <row r="64" spans="1:11" s="13" customFormat="1" ht="29.25" thickBot="1" x14ac:dyDescent="0.3">
      <c r="A64" s="19" t="s">
        <v>47</v>
      </c>
      <c r="B64" s="10"/>
      <c r="C64" s="14">
        <v>46363</v>
      </c>
      <c r="D64" s="11"/>
      <c r="E64" s="11"/>
      <c r="F64" s="12">
        <f t="shared" si="0"/>
        <v>0</v>
      </c>
      <c r="G64" s="20"/>
      <c r="H64" s="20"/>
      <c r="I64" s="9"/>
      <c r="J64" s="9"/>
      <c r="K64" s="9"/>
    </row>
    <row r="65" spans="1:11" s="13" customFormat="1" ht="29.25" thickBot="1" x14ac:dyDescent="0.3">
      <c r="A65" s="19" t="s">
        <v>47</v>
      </c>
      <c r="B65" s="10"/>
      <c r="C65" s="14">
        <v>46364</v>
      </c>
      <c r="D65" s="11"/>
      <c r="E65" s="11"/>
      <c r="F65" s="12">
        <f t="shared" si="0"/>
        <v>0</v>
      </c>
      <c r="G65" s="20"/>
      <c r="H65" s="20"/>
      <c r="I65" s="9"/>
      <c r="J65" s="9"/>
      <c r="K65" s="9"/>
    </row>
    <row r="66" spans="1:11" s="13" customFormat="1" ht="29.25" thickBot="1" x14ac:dyDescent="0.3">
      <c r="A66" s="19" t="s">
        <v>47</v>
      </c>
      <c r="B66" s="10"/>
      <c r="C66" s="14">
        <v>46364</v>
      </c>
      <c r="D66" s="11"/>
      <c r="E66" s="11"/>
      <c r="F66" s="12">
        <f t="shared" si="0"/>
        <v>0</v>
      </c>
      <c r="G66" s="20"/>
      <c r="H66" s="20"/>
      <c r="I66" s="9"/>
      <c r="J66" s="9"/>
      <c r="K66" s="9"/>
    </row>
    <row r="67" spans="1:11" s="13" customFormat="1" ht="29.25" thickBot="1" x14ac:dyDescent="0.3">
      <c r="A67" s="19" t="s">
        <v>47</v>
      </c>
      <c r="B67" s="10"/>
      <c r="C67" s="14">
        <v>46364</v>
      </c>
      <c r="D67" s="11"/>
      <c r="E67" s="11"/>
      <c r="F67" s="12">
        <f t="shared" si="0"/>
        <v>0</v>
      </c>
      <c r="G67" s="20"/>
      <c r="H67" s="20"/>
      <c r="I67" s="9"/>
      <c r="J67" s="9"/>
      <c r="K67" s="9"/>
    </row>
    <row r="68" spans="1:11" s="13" customFormat="1" ht="29.25" thickBot="1" x14ac:dyDescent="0.3">
      <c r="A68" s="19" t="s">
        <v>47</v>
      </c>
      <c r="B68" s="10"/>
      <c r="C68" s="14">
        <v>46364</v>
      </c>
      <c r="D68" s="11"/>
      <c r="E68" s="11"/>
      <c r="F68" s="12">
        <f t="shared" si="0"/>
        <v>0</v>
      </c>
      <c r="G68" s="20"/>
      <c r="H68" s="20"/>
      <c r="I68" s="9"/>
      <c r="J68" s="9"/>
      <c r="K68" s="9"/>
    </row>
    <row r="69" spans="1:11" s="13" customFormat="1" ht="29.25" thickBot="1" x14ac:dyDescent="0.3">
      <c r="A69" s="19" t="s">
        <v>47</v>
      </c>
      <c r="B69" s="10"/>
      <c r="C69" s="14">
        <v>46364</v>
      </c>
      <c r="D69" s="11"/>
      <c r="E69" s="11"/>
      <c r="F69" s="12">
        <f t="shared" si="0"/>
        <v>0</v>
      </c>
      <c r="G69" s="20"/>
      <c r="H69" s="20"/>
      <c r="I69" s="9"/>
      <c r="J69" s="9"/>
      <c r="K69" s="9"/>
    </row>
    <row r="70" spans="1:11" s="13" customFormat="1" ht="29.25" thickBot="1" x14ac:dyDescent="0.3">
      <c r="A70" s="19" t="s">
        <v>47</v>
      </c>
      <c r="B70" s="10"/>
      <c r="C70" s="14">
        <v>46364</v>
      </c>
      <c r="D70" s="11"/>
      <c r="E70" s="11"/>
      <c r="F70" s="12">
        <f t="shared" ref="F70:F133" si="2">+(E70-D70)*24</f>
        <v>0</v>
      </c>
      <c r="G70" s="20"/>
      <c r="H70" s="20"/>
      <c r="I70" s="9"/>
      <c r="J70" s="9"/>
      <c r="K70" s="9"/>
    </row>
    <row r="71" spans="1:11" s="13" customFormat="1" ht="29.25" thickBot="1" x14ac:dyDescent="0.3">
      <c r="A71" s="19" t="s">
        <v>47</v>
      </c>
      <c r="B71" s="10"/>
      <c r="C71" s="14">
        <v>46364</v>
      </c>
      <c r="D71" s="11"/>
      <c r="E71" s="11"/>
      <c r="F71" s="12">
        <f t="shared" si="2"/>
        <v>0</v>
      </c>
      <c r="G71" s="20"/>
      <c r="H71" s="20"/>
      <c r="I71" s="9"/>
      <c r="J71" s="9"/>
      <c r="K71" s="9"/>
    </row>
    <row r="72" spans="1:11" s="13" customFormat="1" ht="29.25" thickBot="1" x14ac:dyDescent="0.3">
      <c r="A72" s="19" t="s">
        <v>47</v>
      </c>
      <c r="B72" s="10"/>
      <c r="C72" s="14">
        <v>46364</v>
      </c>
      <c r="D72" s="11"/>
      <c r="E72" s="11"/>
      <c r="F72" s="12">
        <f t="shared" si="2"/>
        <v>0</v>
      </c>
      <c r="G72" s="20"/>
      <c r="H72" s="20"/>
      <c r="I72" s="9"/>
      <c r="J72" s="9"/>
      <c r="K72" s="9"/>
    </row>
    <row r="73" spans="1:11" s="13" customFormat="1" ht="29.25" thickBot="1" x14ac:dyDescent="0.3">
      <c r="A73" s="19" t="s">
        <v>47</v>
      </c>
      <c r="B73" s="10"/>
      <c r="C73" s="14">
        <v>46364</v>
      </c>
      <c r="D73" s="11"/>
      <c r="E73" s="11"/>
      <c r="F73" s="12">
        <f t="shared" si="2"/>
        <v>0</v>
      </c>
      <c r="G73" s="20"/>
      <c r="H73" s="20"/>
      <c r="I73" s="9"/>
      <c r="J73" s="9"/>
      <c r="K73" s="9"/>
    </row>
    <row r="74" spans="1:11" s="13" customFormat="1" ht="29.25" thickBot="1" x14ac:dyDescent="0.3">
      <c r="A74" s="19" t="s">
        <v>47</v>
      </c>
      <c r="B74" s="10"/>
      <c r="C74" s="14">
        <v>46365</v>
      </c>
      <c r="D74" s="11"/>
      <c r="E74" s="11"/>
      <c r="F74" s="12">
        <f t="shared" si="2"/>
        <v>0</v>
      </c>
      <c r="G74" s="20"/>
      <c r="H74" s="20"/>
      <c r="I74" s="9"/>
      <c r="J74" s="9"/>
      <c r="K74" s="9"/>
    </row>
    <row r="75" spans="1:11" s="13" customFormat="1" ht="29.25" thickBot="1" x14ac:dyDescent="0.3">
      <c r="A75" s="19" t="s">
        <v>47</v>
      </c>
      <c r="B75" s="10"/>
      <c r="C75" s="14">
        <v>46365</v>
      </c>
      <c r="D75" s="11"/>
      <c r="E75" s="11"/>
      <c r="F75" s="12">
        <f t="shared" si="2"/>
        <v>0</v>
      </c>
      <c r="G75" s="20"/>
      <c r="H75" s="20"/>
      <c r="I75" s="9"/>
      <c r="J75" s="9"/>
      <c r="K75" s="9"/>
    </row>
    <row r="76" spans="1:11" s="13" customFormat="1" ht="29.25" thickBot="1" x14ac:dyDescent="0.3">
      <c r="A76" s="19" t="s">
        <v>47</v>
      </c>
      <c r="B76" s="10"/>
      <c r="C76" s="14">
        <v>46365</v>
      </c>
      <c r="D76" s="11"/>
      <c r="E76" s="11"/>
      <c r="F76" s="12">
        <f t="shared" si="2"/>
        <v>0</v>
      </c>
      <c r="G76" s="20"/>
      <c r="H76" s="20"/>
      <c r="I76" s="9"/>
      <c r="J76" s="9"/>
      <c r="K76" s="9"/>
    </row>
    <row r="77" spans="1:11" s="13" customFormat="1" ht="29.25" thickBot="1" x14ac:dyDescent="0.3">
      <c r="A77" s="19" t="s">
        <v>47</v>
      </c>
      <c r="B77" s="10"/>
      <c r="C77" s="14">
        <v>46365</v>
      </c>
      <c r="D77" s="11"/>
      <c r="E77" s="11"/>
      <c r="F77" s="12">
        <f t="shared" si="2"/>
        <v>0</v>
      </c>
      <c r="G77" s="20"/>
      <c r="H77" s="20"/>
      <c r="I77" s="9"/>
      <c r="J77" s="9"/>
      <c r="K77" s="9"/>
    </row>
    <row r="78" spans="1:11" s="13" customFormat="1" ht="29.25" thickBot="1" x14ac:dyDescent="0.3">
      <c r="A78" s="19" t="s">
        <v>47</v>
      </c>
      <c r="B78" s="10"/>
      <c r="C78" s="14">
        <v>46365</v>
      </c>
      <c r="D78" s="11"/>
      <c r="E78" s="11"/>
      <c r="F78" s="12">
        <f t="shared" si="2"/>
        <v>0</v>
      </c>
      <c r="G78" s="20"/>
      <c r="H78" s="20"/>
      <c r="I78" s="9"/>
      <c r="J78" s="9"/>
      <c r="K78" s="9"/>
    </row>
    <row r="79" spans="1:11" s="13" customFormat="1" ht="29.25" thickBot="1" x14ac:dyDescent="0.3">
      <c r="A79" s="19" t="s">
        <v>47</v>
      </c>
      <c r="B79" s="10"/>
      <c r="C79" s="14">
        <v>46365</v>
      </c>
      <c r="D79" s="11"/>
      <c r="E79" s="11"/>
      <c r="F79" s="12">
        <f t="shared" si="2"/>
        <v>0</v>
      </c>
      <c r="G79" s="20"/>
      <c r="H79" s="20"/>
      <c r="I79" s="9"/>
      <c r="J79" s="9"/>
      <c r="K79" s="9"/>
    </row>
    <row r="80" spans="1:11" s="13" customFormat="1" ht="29.25" thickBot="1" x14ac:dyDescent="0.3">
      <c r="A80" s="19" t="s">
        <v>47</v>
      </c>
      <c r="B80" s="10"/>
      <c r="C80" s="14">
        <v>46365</v>
      </c>
      <c r="D80" s="11"/>
      <c r="E80" s="11"/>
      <c r="F80" s="12">
        <f t="shared" si="2"/>
        <v>0</v>
      </c>
      <c r="G80" s="20"/>
      <c r="H80" s="20"/>
      <c r="I80" s="9"/>
      <c r="J80" s="9"/>
      <c r="K80" s="9"/>
    </row>
    <row r="81" spans="1:11" s="13" customFormat="1" ht="29.25" thickBot="1" x14ac:dyDescent="0.3">
      <c r="A81" s="19" t="s">
        <v>47</v>
      </c>
      <c r="B81" s="10"/>
      <c r="C81" s="14">
        <v>46365</v>
      </c>
      <c r="D81" s="11"/>
      <c r="E81" s="11"/>
      <c r="F81" s="12">
        <f t="shared" si="2"/>
        <v>0</v>
      </c>
      <c r="G81" s="20"/>
      <c r="H81" s="20"/>
      <c r="I81" s="9"/>
      <c r="J81" s="9"/>
      <c r="K81" s="9"/>
    </row>
    <row r="82" spans="1:11" s="13" customFormat="1" ht="29.25" thickBot="1" x14ac:dyDescent="0.3">
      <c r="A82" s="19" t="s">
        <v>47</v>
      </c>
      <c r="B82" s="10"/>
      <c r="C82" s="14">
        <v>46365</v>
      </c>
      <c r="D82" s="11"/>
      <c r="E82" s="11"/>
      <c r="F82" s="12">
        <f t="shared" si="2"/>
        <v>0</v>
      </c>
      <c r="G82" s="20"/>
      <c r="H82" s="20"/>
      <c r="I82" s="9"/>
      <c r="J82" s="9"/>
      <c r="K82" s="9"/>
    </row>
    <row r="83" spans="1:11" s="13" customFormat="1" ht="29.25" thickBot="1" x14ac:dyDescent="0.3">
      <c r="A83" s="19" t="s">
        <v>47</v>
      </c>
      <c r="B83" s="10"/>
      <c r="C83" s="14">
        <v>46366</v>
      </c>
      <c r="D83" s="11"/>
      <c r="E83" s="11"/>
      <c r="F83" s="12">
        <f t="shared" si="2"/>
        <v>0</v>
      </c>
      <c r="G83" s="20"/>
      <c r="H83" s="20"/>
      <c r="I83" s="9"/>
      <c r="J83" s="9"/>
      <c r="K83" s="9"/>
    </row>
    <row r="84" spans="1:11" s="13" customFormat="1" ht="29.25" thickBot="1" x14ac:dyDescent="0.3">
      <c r="A84" s="19" t="s">
        <v>47</v>
      </c>
      <c r="B84" s="10"/>
      <c r="C84" s="14">
        <v>46366</v>
      </c>
      <c r="D84" s="11"/>
      <c r="E84" s="11"/>
      <c r="F84" s="12">
        <f t="shared" si="2"/>
        <v>0</v>
      </c>
      <c r="G84" s="20"/>
      <c r="H84" s="20"/>
      <c r="I84" s="9"/>
      <c r="J84" s="9"/>
      <c r="K84" s="9"/>
    </row>
    <row r="85" spans="1:11" s="13" customFormat="1" ht="29.25" thickBot="1" x14ac:dyDescent="0.3">
      <c r="A85" s="19" t="s">
        <v>47</v>
      </c>
      <c r="B85" s="10"/>
      <c r="C85" s="14">
        <v>46366</v>
      </c>
      <c r="D85" s="11"/>
      <c r="E85" s="11"/>
      <c r="F85" s="12">
        <f t="shared" si="2"/>
        <v>0</v>
      </c>
      <c r="G85" s="20"/>
      <c r="H85" s="20"/>
      <c r="I85" s="9"/>
      <c r="J85" s="9"/>
      <c r="K85" s="9"/>
    </row>
    <row r="86" spans="1:11" s="13" customFormat="1" ht="29.25" thickBot="1" x14ac:dyDescent="0.3">
      <c r="A86" s="19" t="s">
        <v>47</v>
      </c>
      <c r="B86" s="10"/>
      <c r="C86" s="14">
        <v>46366</v>
      </c>
      <c r="D86" s="11"/>
      <c r="E86" s="11"/>
      <c r="F86" s="12">
        <f t="shared" si="2"/>
        <v>0</v>
      </c>
      <c r="G86" s="20"/>
      <c r="H86" s="20"/>
      <c r="I86" s="9"/>
      <c r="J86" s="9"/>
      <c r="K86" s="9"/>
    </row>
    <row r="87" spans="1:11" s="13" customFormat="1" ht="29.25" thickBot="1" x14ac:dyDescent="0.3">
      <c r="A87" s="19" t="s">
        <v>47</v>
      </c>
      <c r="B87" s="10"/>
      <c r="C87" s="14">
        <v>46366</v>
      </c>
      <c r="D87" s="11"/>
      <c r="E87" s="11"/>
      <c r="F87" s="12">
        <f t="shared" si="2"/>
        <v>0</v>
      </c>
      <c r="G87" s="20"/>
      <c r="H87" s="20"/>
      <c r="I87" s="9"/>
      <c r="J87" s="9"/>
      <c r="K87" s="9"/>
    </row>
    <row r="88" spans="1:11" s="13" customFormat="1" ht="29.25" thickBot="1" x14ac:dyDescent="0.3">
      <c r="A88" s="19" t="s">
        <v>47</v>
      </c>
      <c r="B88" s="10"/>
      <c r="C88" s="14">
        <v>46366</v>
      </c>
      <c r="D88" s="11"/>
      <c r="E88" s="11"/>
      <c r="F88" s="12">
        <f t="shared" si="2"/>
        <v>0</v>
      </c>
      <c r="G88" s="20"/>
      <c r="H88" s="20"/>
      <c r="I88" s="9"/>
      <c r="J88" s="9"/>
      <c r="K88" s="9"/>
    </row>
    <row r="89" spans="1:11" s="13" customFormat="1" ht="29.25" thickBot="1" x14ac:dyDescent="0.3">
      <c r="A89" s="19" t="s">
        <v>47</v>
      </c>
      <c r="B89" s="10"/>
      <c r="C89" s="14">
        <v>46366</v>
      </c>
      <c r="D89" s="11"/>
      <c r="E89" s="11"/>
      <c r="F89" s="12">
        <f t="shared" si="2"/>
        <v>0</v>
      </c>
      <c r="G89" s="20"/>
      <c r="H89" s="20"/>
      <c r="I89" s="9"/>
      <c r="J89" s="9"/>
      <c r="K89" s="9"/>
    </row>
    <row r="90" spans="1:11" s="13" customFormat="1" ht="29.25" thickBot="1" x14ac:dyDescent="0.3">
      <c r="A90" s="19" t="s">
        <v>47</v>
      </c>
      <c r="B90" s="10"/>
      <c r="C90" s="14">
        <v>46366</v>
      </c>
      <c r="D90" s="11"/>
      <c r="E90" s="11"/>
      <c r="F90" s="12">
        <f t="shared" si="2"/>
        <v>0</v>
      </c>
      <c r="G90" s="20"/>
      <c r="H90" s="20"/>
      <c r="I90" s="9"/>
      <c r="J90" s="9"/>
      <c r="K90" s="9"/>
    </row>
    <row r="91" spans="1:11" s="13" customFormat="1" ht="29.25" thickBot="1" x14ac:dyDescent="0.3">
      <c r="A91" s="19" t="s">
        <v>47</v>
      </c>
      <c r="B91" s="10"/>
      <c r="C91" s="14">
        <v>46366</v>
      </c>
      <c r="D91" s="11"/>
      <c r="E91" s="11"/>
      <c r="F91" s="12">
        <f t="shared" si="2"/>
        <v>0</v>
      </c>
      <c r="G91" s="20"/>
      <c r="H91" s="20"/>
      <c r="I91" s="9"/>
      <c r="J91" s="9"/>
      <c r="K91" s="9"/>
    </row>
    <row r="92" spans="1:11" s="13" customFormat="1" ht="29.25" thickBot="1" x14ac:dyDescent="0.3">
      <c r="A92" s="19" t="s">
        <v>47</v>
      </c>
      <c r="B92" s="10"/>
      <c r="C92" s="14">
        <v>46367</v>
      </c>
      <c r="D92" s="11"/>
      <c r="E92" s="11"/>
      <c r="F92" s="12">
        <f t="shared" si="2"/>
        <v>0</v>
      </c>
      <c r="G92" s="20"/>
      <c r="H92" s="20"/>
      <c r="I92" s="9"/>
      <c r="J92" s="9"/>
      <c r="K92" s="9"/>
    </row>
    <row r="93" spans="1:11" s="13" customFormat="1" ht="29.25" thickBot="1" x14ac:dyDescent="0.3">
      <c r="A93" s="19" t="s">
        <v>47</v>
      </c>
      <c r="B93" s="10"/>
      <c r="C93" s="14">
        <v>46367</v>
      </c>
      <c r="D93" s="11"/>
      <c r="E93" s="11"/>
      <c r="F93" s="12">
        <f t="shared" si="2"/>
        <v>0</v>
      </c>
      <c r="G93" s="20"/>
      <c r="H93" s="20"/>
      <c r="I93" s="9"/>
      <c r="J93" s="9"/>
      <c r="K93" s="9"/>
    </row>
    <row r="94" spans="1:11" s="13" customFormat="1" ht="29.25" thickBot="1" x14ac:dyDescent="0.3">
      <c r="A94" s="19" t="s">
        <v>47</v>
      </c>
      <c r="B94" s="10"/>
      <c r="C94" s="14">
        <v>46367</v>
      </c>
      <c r="D94" s="11"/>
      <c r="E94" s="11"/>
      <c r="F94" s="12">
        <f t="shared" si="2"/>
        <v>0</v>
      </c>
      <c r="G94" s="20"/>
      <c r="H94" s="20"/>
      <c r="I94" s="9"/>
      <c r="J94" s="9"/>
      <c r="K94" s="9"/>
    </row>
    <row r="95" spans="1:11" s="13" customFormat="1" ht="29.25" thickBot="1" x14ac:dyDescent="0.3">
      <c r="A95" s="19" t="s">
        <v>47</v>
      </c>
      <c r="B95" s="10"/>
      <c r="C95" s="14">
        <v>46367</v>
      </c>
      <c r="D95" s="11"/>
      <c r="E95" s="11"/>
      <c r="F95" s="12">
        <f t="shared" si="2"/>
        <v>0</v>
      </c>
      <c r="G95" s="20"/>
      <c r="H95" s="20"/>
      <c r="I95" s="9"/>
      <c r="J95" s="9"/>
      <c r="K95" s="9"/>
    </row>
    <row r="96" spans="1:11" s="13" customFormat="1" ht="29.25" thickBot="1" x14ac:dyDescent="0.3">
      <c r="A96" s="19" t="s">
        <v>47</v>
      </c>
      <c r="B96" s="10"/>
      <c r="C96" s="14">
        <v>46367</v>
      </c>
      <c r="D96" s="11"/>
      <c r="E96" s="11"/>
      <c r="F96" s="12">
        <f t="shared" si="2"/>
        <v>0</v>
      </c>
      <c r="G96" s="20"/>
      <c r="H96" s="20"/>
      <c r="I96" s="9"/>
      <c r="J96" s="9"/>
      <c r="K96" s="9"/>
    </row>
    <row r="97" spans="1:11" s="13" customFormat="1" ht="29.25" thickBot="1" x14ac:dyDescent="0.3">
      <c r="A97" s="19" t="s">
        <v>47</v>
      </c>
      <c r="B97" s="10"/>
      <c r="C97" s="14">
        <v>46367</v>
      </c>
      <c r="D97" s="11"/>
      <c r="E97" s="11"/>
      <c r="F97" s="12">
        <f t="shared" si="2"/>
        <v>0</v>
      </c>
      <c r="G97" s="20"/>
      <c r="H97" s="20"/>
      <c r="I97" s="9"/>
      <c r="J97" s="9"/>
      <c r="K97" s="9"/>
    </row>
    <row r="98" spans="1:11" s="13" customFormat="1" ht="29.25" thickBot="1" x14ac:dyDescent="0.3">
      <c r="A98" s="19" t="s">
        <v>47</v>
      </c>
      <c r="B98" s="10"/>
      <c r="C98" s="14">
        <v>46367</v>
      </c>
      <c r="D98" s="11"/>
      <c r="E98" s="11"/>
      <c r="F98" s="12">
        <f t="shared" si="2"/>
        <v>0</v>
      </c>
      <c r="G98" s="20"/>
      <c r="H98" s="20"/>
      <c r="I98" s="9"/>
      <c r="J98" s="9"/>
      <c r="K98" s="9"/>
    </row>
    <row r="99" spans="1:11" s="13" customFormat="1" ht="29.25" thickBot="1" x14ac:dyDescent="0.3">
      <c r="A99" s="19" t="s">
        <v>47</v>
      </c>
      <c r="B99" s="10"/>
      <c r="C99" s="14">
        <v>46367</v>
      </c>
      <c r="D99" s="11"/>
      <c r="E99" s="11"/>
      <c r="F99" s="12">
        <f t="shared" si="2"/>
        <v>0</v>
      </c>
      <c r="G99" s="20"/>
      <c r="H99" s="20"/>
      <c r="I99" s="9"/>
      <c r="J99" s="9"/>
      <c r="K99" s="9"/>
    </row>
    <row r="100" spans="1:11" s="13" customFormat="1" ht="29.25" thickBot="1" x14ac:dyDescent="0.3">
      <c r="A100" s="19" t="s">
        <v>47</v>
      </c>
      <c r="B100" s="10"/>
      <c r="C100" s="14">
        <v>46367</v>
      </c>
      <c r="D100" s="11"/>
      <c r="E100" s="11"/>
      <c r="F100" s="12">
        <f t="shared" si="2"/>
        <v>0</v>
      </c>
      <c r="G100" s="20"/>
      <c r="H100" s="20"/>
      <c r="I100" s="9"/>
      <c r="J100" s="9"/>
      <c r="K100" s="9"/>
    </row>
    <row r="101" spans="1:11" s="13" customFormat="1" ht="29.25" thickBot="1" x14ac:dyDescent="0.3">
      <c r="A101" s="19" t="s">
        <v>47</v>
      </c>
      <c r="B101" s="10"/>
      <c r="C101" s="14">
        <v>46368</v>
      </c>
      <c r="D101" s="11">
        <v>0.35416666666666669</v>
      </c>
      <c r="E101" s="11">
        <v>0.6875</v>
      </c>
      <c r="F101" s="12">
        <f>+(E101-D101)*24</f>
        <v>8</v>
      </c>
      <c r="G101" s="20" t="s">
        <v>21</v>
      </c>
      <c r="H101" s="20" t="s">
        <v>30</v>
      </c>
      <c r="I101" s="9"/>
      <c r="J101" s="9" t="s">
        <v>71</v>
      </c>
      <c r="K101" s="9"/>
    </row>
    <row r="102" spans="1:11" s="13" customFormat="1" ht="29.25" thickBot="1" x14ac:dyDescent="0.3">
      <c r="A102" s="19" t="s">
        <v>47</v>
      </c>
      <c r="B102" s="10"/>
      <c r="C102" s="14">
        <v>46368</v>
      </c>
      <c r="D102" s="11"/>
      <c r="E102" s="11"/>
      <c r="F102" s="12"/>
      <c r="G102" s="20"/>
      <c r="H102" s="20"/>
      <c r="I102" s="9"/>
      <c r="J102" s="9"/>
      <c r="K102" s="9"/>
    </row>
    <row r="103" spans="1:11" s="13" customFormat="1" ht="29.25" thickBot="1" x14ac:dyDescent="0.3">
      <c r="A103" s="19" t="s">
        <v>47</v>
      </c>
      <c r="B103" s="10"/>
      <c r="C103" s="14">
        <v>46368</v>
      </c>
      <c r="D103" s="11"/>
      <c r="E103" s="11"/>
      <c r="F103" s="12">
        <f t="shared" ref="F103:F109" si="3">+(E103-D103)*24</f>
        <v>0</v>
      </c>
      <c r="G103" s="20"/>
      <c r="H103" s="20"/>
      <c r="I103" s="9"/>
      <c r="J103" s="9"/>
      <c r="K103" s="9"/>
    </row>
    <row r="104" spans="1:11" s="13" customFormat="1" ht="29.25" thickBot="1" x14ac:dyDescent="0.3">
      <c r="A104" s="19" t="s">
        <v>47</v>
      </c>
      <c r="B104" s="10"/>
      <c r="C104" s="14">
        <v>46368</v>
      </c>
      <c r="D104" s="11"/>
      <c r="E104" s="11"/>
      <c r="F104" s="12">
        <f t="shared" si="3"/>
        <v>0</v>
      </c>
      <c r="G104" s="20"/>
      <c r="H104" s="20"/>
      <c r="I104" s="9"/>
      <c r="J104" s="9"/>
      <c r="K104" s="9"/>
    </row>
    <row r="105" spans="1:11" s="13" customFormat="1" ht="29.25" thickBot="1" x14ac:dyDescent="0.3">
      <c r="A105" s="19" t="s">
        <v>47</v>
      </c>
      <c r="B105" s="10"/>
      <c r="C105" s="14">
        <v>46368</v>
      </c>
      <c r="D105" s="11"/>
      <c r="E105" s="11"/>
      <c r="F105" s="12">
        <f t="shared" si="3"/>
        <v>0</v>
      </c>
      <c r="G105" s="20"/>
      <c r="H105" s="20"/>
      <c r="I105" s="9"/>
      <c r="J105" s="9"/>
      <c r="K105" s="9"/>
    </row>
    <row r="106" spans="1:11" s="13" customFormat="1" ht="29.25" thickBot="1" x14ac:dyDescent="0.3">
      <c r="A106" s="19" t="s">
        <v>47</v>
      </c>
      <c r="B106" s="10"/>
      <c r="C106" s="14">
        <v>46368</v>
      </c>
      <c r="D106" s="11"/>
      <c r="E106" s="11"/>
      <c r="F106" s="12">
        <f t="shared" si="3"/>
        <v>0</v>
      </c>
      <c r="G106" s="20"/>
      <c r="H106" s="20"/>
      <c r="I106" s="9"/>
      <c r="J106" s="9"/>
      <c r="K106" s="9"/>
    </row>
    <row r="107" spans="1:11" s="13" customFormat="1" ht="29.25" thickBot="1" x14ac:dyDescent="0.3">
      <c r="A107" s="19" t="s">
        <v>47</v>
      </c>
      <c r="B107" s="10"/>
      <c r="C107" s="14">
        <v>46368</v>
      </c>
      <c r="D107" s="11"/>
      <c r="E107" s="11"/>
      <c r="F107" s="12">
        <f t="shared" si="3"/>
        <v>0</v>
      </c>
      <c r="G107" s="20"/>
      <c r="H107" s="20"/>
      <c r="I107" s="9"/>
      <c r="J107" s="9"/>
      <c r="K107" s="9"/>
    </row>
    <row r="108" spans="1:11" s="13" customFormat="1" ht="29.25" thickBot="1" x14ac:dyDescent="0.3">
      <c r="A108" s="19" t="s">
        <v>47</v>
      </c>
      <c r="B108" s="10"/>
      <c r="C108" s="14">
        <v>46368</v>
      </c>
      <c r="D108" s="11"/>
      <c r="E108" s="11"/>
      <c r="F108" s="12">
        <f t="shared" si="3"/>
        <v>0</v>
      </c>
      <c r="G108" s="20"/>
      <c r="H108" s="20"/>
      <c r="I108" s="9"/>
      <c r="J108" s="9"/>
      <c r="K108" s="9"/>
    </row>
    <row r="109" spans="1:11" s="13" customFormat="1" ht="29.25" thickBot="1" x14ac:dyDescent="0.3">
      <c r="A109" s="19" t="s">
        <v>47</v>
      </c>
      <c r="B109" s="10"/>
      <c r="C109" s="14">
        <v>46368</v>
      </c>
      <c r="D109" s="11"/>
      <c r="E109" s="11"/>
      <c r="F109" s="12">
        <f t="shared" si="3"/>
        <v>0</v>
      </c>
      <c r="G109" s="20"/>
      <c r="H109" s="20"/>
      <c r="I109" s="9"/>
      <c r="J109" s="9"/>
      <c r="K109" s="9"/>
    </row>
    <row r="110" spans="1:11" s="13" customFormat="1" ht="29.25" thickBot="1" x14ac:dyDescent="0.3">
      <c r="A110" s="19" t="s">
        <v>47</v>
      </c>
      <c r="B110" s="10"/>
      <c r="C110" s="14">
        <v>46369</v>
      </c>
      <c r="D110" s="11">
        <v>0.35416666666666669</v>
      </c>
      <c r="E110" s="11">
        <v>0.6875</v>
      </c>
      <c r="F110" s="12">
        <f>+(E110-D110)*24</f>
        <v>8</v>
      </c>
      <c r="G110" s="20" t="s">
        <v>21</v>
      </c>
      <c r="H110" s="20" t="s">
        <v>30</v>
      </c>
      <c r="I110" s="9"/>
      <c r="J110" s="9" t="s">
        <v>71</v>
      </c>
      <c r="K110" s="9"/>
    </row>
    <row r="111" spans="1:11" s="13" customFormat="1" ht="29.25" thickBot="1" x14ac:dyDescent="0.3">
      <c r="A111" s="19" t="s">
        <v>47</v>
      </c>
      <c r="B111" s="10"/>
      <c r="C111" s="14">
        <v>46369</v>
      </c>
      <c r="D111" s="11"/>
      <c r="E111" s="11"/>
      <c r="F111" s="12">
        <f t="shared" si="2"/>
        <v>0</v>
      </c>
      <c r="G111" s="20"/>
      <c r="H111" s="20"/>
      <c r="I111" s="9"/>
      <c r="J111" s="9"/>
      <c r="K111" s="9"/>
    </row>
    <row r="112" spans="1:11" s="13" customFormat="1" ht="29.25" thickBot="1" x14ac:dyDescent="0.3">
      <c r="A112" s="19" t="s">
        <v>47</v>
      </c>
      <c r="B112" s="10"/>
      <c r="C112" s="14">
        <v>46369</v>
      </c>
      <c r="D112" s="11"/>
      <c r="E112" s="11"/>
      <c r="F112" s="12">
        <f t="shared" si="2"/>
        <v>0</v>
      </c>
      <c r="G112" s="20"/>
      <c r="H112" s="20"/>
      <c r="I112" s="9"/>
      <c r="J112" s="9"/>
      <c r="K112" s="9"/>
    </row>
    <row r="113" spans="1:11" s="13" customFormat="1" ht="29.25" thickBot="1" x14ac:dyDescent="0.3">
      <c r="A113" s="19" t="s">
        <v>47</v>
      </c>
      <c r="B113" s="10"/>
      <c r="C113" s="14">
        <v>46369</v>
      </c>
      <c r="D113" s="11"/>
      <c r="E113" s="11"/>
      <c r="F113" s="12">
        <f t="shared" si="2"/>
        <v>0</v>
      </c>
      <c r="G113" s="20"/>
      <c r="H113" s="20"/>
      <c r="I113" s="9"/>
      <c r="J113" s="9"/>
      <c r="K113" s="9"/>
    </row>
    <row r="114" spans="1:11" s="13" customFormat="1" ht="29.25" thickBot="1" x14ac:dyDescent="0.3">
      <c r="A114" s="19" t="s">
        <v>47</v>
      </c>
      <c r="B114" s="10"/>
      <c r="C114" s="14">
        <v>46369</v>
      </c>
      <c r="D114" s="11"/>
      <c r="E114" s="11"/>
      <c r="F114" s="12">
        <f t="shared" si="2"/>
        <v>0</v>
      </c>
      <c r="G114" s="20"/>
      <c r="H114" s="20"/>
      <c r="I114" s="9"/>
      <c r="J114" s="9"/>
      <c r="K114" s="9"/>
    </row>
    <row r="115" spans="1:11" s="13" customFormat="1" ht="29.25" thickBot="1" x14ac:dyDescent="0.3">
      <c r="A115" s="19" t="s">
        <v>47</v>
      </c>
      <c r="B115" s="10"/>
      <c r="C115" s="14">
        <v>46369</v>
      </c>
      <c r="D115" s="11"/>
      <c r="E115" s="11"/>
      <c r="F115" s="12">
        <f t="shared" si="2"/>
        <v>0</v>
      </c>
      <c r="G115" s="20"/>
      <c r="H115" s="20"/>
      <c r="I115" s="9"/>
      <c r="J115" s="9"/>
      <c r="K115" s="9"/>
    </row>
    <row r="116" spans="1:11" s="13" customFormat="1" ht="29.25" thickBot="1" x14ac:dyDescent="0.3">
      <c r="A116" s="19" t="s">
        <v>47</v>
      </c>
      <c r="B116" s="10"/>
      <c r="C116" s="14">
        <v>46369</v>
      </c>
      <c r="D116" s="11"/>
      <c r="E116" s="11"/>
      <c r="F116" s="12">
        <f t="shared" si="2"/>
        <v>0</v>
      </c>
      <c r="G116" s="20"/>
      <c r="H116" s="20"/>
      <c r="I116" s="9"/>
      <c r="J116" s="9"/>
      <c r="K116" s="9"/>
    </row>
    <row r="117" spans="1:11" s="13" customFormat="1" ht="29.25" thickBot="1" x14ac:dyDescent="0.3">
      <c r="A117" s="19" t="s">
        <v>47</v>
      </c>
      <c r="B117" s="10"/>
      <c r="C117" s="14">
        <v>46369</v>
      </c>
      <c r="D117" s="11"/>
      <c r="E117" s="11"/>
      <c r="F117" s="12">
        <f t="shared" si="2"/>
        <v>0</v>
      </c>
      <c r="G117" s="20"/>
      <c r="H117" s="20"/>
      <c r="I117" s="9"/>
      <c r="J117" s="9"/>
      <c r="K117" s="9"/>
    </row>
    <row r="118" spans="1:11" s="13" customFormat="1" ht="29.25" thickBot="1" x14ac:dyDescent="0.3">
      <c r="A118" s="19" t="s">
        <v>47</v>
      </c>
      <c r="B118" s="10"/>
      <c r="C118" s="14">
        <v>46369</v>
      </c>
      <c r="D118" s="11"/>
      <c r="E118" s="11"/>
      <c r="F118" s="12">
        <f t="shared" si="2"/>
        <v>0</v>
      </c>
      <c r="G118" s="20"/>
      <c r="H118" s="20"/>
      <c r="I118" s="9"/>
      <c r="J118" s="9"/>
      <c r="K118" s="9"/>
    </row>
    <row r="119" spans="1:11" s="13" customFormat="1" ht="29.25" thickBot="1" x14ac:dyDescent="0.3">
      <c r="A119" s="19" t="s">
        <v>47</v>
      </c>
      <c r="B119" s="10"/>
      <c r="C119" s="14">
        <v>46370</v>
      </c>
      <c r="D119" s="11"/>
      <c r="E119" s="11"/>
      <c r="F119" s="12">
        <f t="shared" si="2"/>
        <v>0</v>
      </c>
      <c r="G119" s="20"/>
      <c r="H119" s="20"/>
      <c r="I119" s="9"/>
      <c r="J119" s="9"/>
      <c r="K119" s="9"/>
    </row>
    <row r="120" spans="1:11" s="13" customFormat="1" ht="29.25" thickBot="1" x14ac:dyDescent="0.3">
      <c r="A120" s="19" t="s">
        <v>47</v>
      </c>
      <c r="B120" s="10"/>
      <c r="C120" s="14">
        <v>46370</v>
      </c>
      <c r="D120" s="11"/>
      <c r="E120" s="11"/>
      <c r="F120" s="12">
        <f t="shared" si="2"/>
        <v>0</v>
      </c>
      <c r="G120" s="20"/>
      <c r="H120" s="20"/>
      <c r="I120" s="9"/>
      <c r="J120" s="9"/>
      <c r="K120" s="9"/>
    </row>
    <row r="121" spans="1:11" s="13" customFormat="1" ht="29.25" thickBot="1" x14ac:dyDescent="0.3">
      <c r="A121" s="19" t="s">
        <v>47</v>
      </c>
      <c r="B121" s="10"/>
      <c r="C121" s="14">
        <v>46370</v>
      </c>
      <c r="D121" s="11"/>
      <c r="E121" s="11"/>
      <c r="F121" s="12">
        <f t="shared" si="2"/>
        <v>0</v>
      </c>
      <c r="G121" s="20"/>
      <c r="H121" s="20"/>
      <c r="I121" s="9"/>
      <c r="J121" s="9"/>
      <c r="K121" s="9"/>
    </row>
    <row r="122" spans="1:11" s="13" customFormat="1" ht="29.25" thickBot="1" x14ac:dyDescent="0.3">
      <c r="A122" s="19" t="s">
        <v>47</v>
      </c>
      <c r="B122" s="10"/>
      <c r="C122" s="14">
        <v>46370</v>
      </c>
      <c r="D122" s="11"/>
      <c r="E122" s="11"/>
      <c r="F122" s="12">
        <f t="shared" si="2"/>
        <v>0</v>
      </c>
      <c r="G122" s="20"/>
      <c r="H122" s="20"/>
      <c r="I122" s="9"/>
      <c r="J122" s="9"/>
      <c r="K122" s="9"/>
    </row>
    <row r="123" spans="1:11" s="13" customFormat="1" ht="29.25" thickBot="1" x14ac:dyDescent="0.3">
      <c r="A123" s="19" t="s">
        <v>47</v>
      </c>
      <c r="B123" s="10"/>
      <c r="C123" s="14">
        <v>46370</v>
      </c>
      <c r="D123" s="11"/>
      <c r="E123" s="11"/>
      <c r="F123" s="12">
        <f t="shared" si="2"/>
        <v>0</v>
      </c>
      <c r="G123" s="20"/>
      <c r="H123" s="20"/>
      <c r="I123" s="9"/>
      <c r="J123" s="9"/>
      <c r="K123" s="9"/>
    </row>
    <row r="124" spans="1:11" s="13" customFormat="1" ht="29.25" thickBot="1" x14ac:dyDescent="0.3">
      <c r="A124" s="19" t="s">
        <v>47</v>
      </c>
      <c r="B124" s="10"/>
      <c r="C124" s="14">
        <v>46370</v>
      </c>
      <c r="D124" s="11"/>
      <c r="E124" s="11"/>
      <c r="F124" s="12">
        <f t="shared" si="2"/>
        <v>0</v>
      </c>
      <c r="G124" s="20"/>
      <c r="H124" s="20"/>
      <c r="I124" s="9"/>
      <c r="J124" s="9"/>
      <c r="K124" s="9"/>
    </row>
    <row r="125" spans="1:11" s="13" customFormat="1" ht="29.25" thickBot="1" x14ac:dyDescent="0.3">
      <c r="A125" s="19" t="s">
        <v>47</v>
      </c>
      <c r="B125" s="10"/>
      <c r="C125" s="14">
        <v>46370</v>
      </c>
      <c r="D125" s="11"/>
      <c r="E125" s="11"/>
      <c r="F125" s="12">
        <f t="shared" si="2"/>
        <v>0</v>
      </c>
      <c r="G125" s="20"/>
      <c r="H125" s="20"/>
      <c r="I125" s="9"/>
      <c r="J125" s="9"/>
      <c r="K125" s="9"/>
    </row>
    <row r="126" spans="1:11" s="13" customFormat="1" ht="29.25" thickBot="1" x14ac:dyDescent="0.3">
      <c r="A126" s="19" t="s">
        <v>47</v>
      </c>
      <c r="B126" s="10"/>
      <c r="C126" s="14">
        <v>46370</v>
      </c>
      <c r="D126" s="11"/>
      <c r="E126" s="11"/>
      <c r="F126" s="12">
        <f t="shared" si="2"/>
        <v>0</v>
      </c>
      <c r="G126" s="20"/>
      <c r="H126" s="20"/>
      <c r="I126" s="9"/>
      <c r="J126" s="9"/>
      <c r="K126" s="9"/>
    </row>
    <row r="127" spans="1:11" s="13" customFormat="1" ht="29.25" thickBot="1" x14ac:dyDescent="0.3">
      <c r="A127" s="19" t="s">
        <v>47</v>
      </c>
      <c r="B127" s="10"/>
      <c r="C127" s="14">
        <v>46370</v>
      </c>
      <c r="D127" s="11"/>
      <c r="E127" s="11"/>
      <c r="F127" s="12">
        <f t="shared" si="2"/>
        <v>0</v>
      </c>
      <c r="G127" s="20"/>
      <c r="H127" s="20"/>
      <c r="I127" s="9"/>
      <c r="J127" s="9"/>
      <c r="K127" s="9"/>
    </row>
    <row r="128" spans="1:11" s="13" customFormat="1" ht="29.25" thickBot="1" x14ac:dyDescent="0.3">
      <c r="A128" s="19" t="s">
        <v>47</v>
      </c>
      <c r="B128" s="10"/>
      <c r="C128" s="14">
        <v>46371</v>
      </c>
      <c r="D128" s="11"/>
      <c r="E128" s="11"/>
      <c r="F128" s="12">
        <f t="shared" si="2"/>
        <v>0</v>
      </c>
      <c r="G128" s="20"/>
      <c r="H128" s="20"/>
      <c r="I128" s="9"/>
      <c r="J128" s="9"/>
      <c r="K128" s="9"/>
    </row>
    <row r="129" spans="1:11" s="13" customFormat="1" ht="29.25" thickBot="1" x14ac:dyDescent="0.3">
      <c r="A129" s="19" t="s">
        <v>47</v>
      </c>
      <c r="B129" s="10"/>
      <c r="C129" s="14">
        <v>46371</v>
      </c>
      <c r="D129" s="11"/>
      <c r="E129" s="11"/>
      <c r="F129" s="12">
        <f t="shared" si="2"/>
        <v>0</v>
      </c>
      <c r="G129" s="20"/>
      <c r="H129" s="20"/>
      <c r="I129" s="9"/>
      <c r="J129" s="9"/>
      <c r="K129" s="9"/>
    </row>
    <row r="130" spans="1:11" s="13" customFormat="1" ht="29.25" thickBot="1" x14ac:dyDescent="0.3">
      <c r="A130" s="19" t="s">
        <v>47</v>
      </c>
      <c r="B130" s="10"/>
      <c r="C130" s="14">
        <v>46371</v>
      </c>
      <c r="D130" s="11"/>
      <c r="E130" s="11"/>
      <c r="F130" s="12">
        <f t="shared" si="2"/>
        <v>0</v>
      </c>
      <c r="G130" s="20"/>
      <c r="H130" s="20"/>
      <c r="I130" s="9"/>
      <c r="J130" s="9"/>
      <c r="K130" s="9"/>
    </row>
    <row r="131" spans="1:11" s="13" customFormat="1" ht="29.25" thickBot="1" x14ac:dyDescent="0.3">
      <c r="A131" s="19" t="s">
        <v>47</v>
      </c>
      <c r="B131" s="10"/>
      <c r="C131" s="14">
        <v>46371</v>
      </c>
      <c r="D131" s="11"/>
      <c r="E131" s="11"/>
      <c r="F131" s="12">
        <f t="shared" si="2"/>
        <v>0</v>
      </c>
      <c r="G131" s="20"/>
      <c r="H131" s="20"/>
      <c r="I131" s="9"/>
      <c r="J131" s="9"/>
      <c r="K131" s="9"/>
    </row>
    <row r="132" spans="1:11" s="13" customFormat="1" ht="29.25" thickBot="1" x14ac:dyDescent="0.3">
      <c r="A132" s="19" t="s">
        <v>47</v>
      </c>
      <c r="B132" s="10"/>
      <c r="C132" s="14">
        <v>46371</v>
      </c>
      <c r="D132" s="11"/>
      <c r="E132" s="11"/>
      <c r="F132" s="12">
        <f t="shared" si="2"/>
        <v>0</v>
      </c>
      <c r="G132" s="20"/>
      <c r="H132" s="20"/>
      <c r="I132" s="9"/>
      <c r="J132" s="9"/>
      <c r="K132" s="9"/>
    </row>
    <row r="133" spans="1:11" s="13" customFormat="1" ht="29.25" thickBot="1" x14ac:dyDescent="0.3">
      <c r="A133" s="19" t="s">
        <v>47</v>
      </c>
      <c r="B133" s="10"/>
      <c r="C133" s="14">
        <v>46371</v>
      </c>
      <c r="D133" s="11"/>
      <c r="E133" s="11"/>
      <c r="F133" s="12">
        <f t="shared" si="2"/>
        <v>0</v>
      </c>
      <c r="G133" s="20"/>
      <c r="H133" s="20"/>
      <c r="I133" s="9"/>
      <c r="J133" s="9"/>
      <c r="K133" s="9"/>
    </row>
    <row r="134" spans="1:11" s="13" customFormat="1" ht="29.25" thickBot="1" x14ac:dyDescent="0.3">
      <c r="A134" s="19" t="s">
        <v>47</v>
      </c>
      <c r="B134" s="10"/>
      <c r="C134" s="14">
        <v>46371</v>
      </c>
      <c r="D134" s="11"/>
      <c r="E134" s="11"/>
      <c r="F134" s="12">
        <f t="shared" ref="F134:F197" si="4">+(E134-D134)*24</f>
        <v>0</v>
      </c>
      <c r="G134" s="20"/>
      <c r="H134" s="20"/>
      <c r="I134" s="9"/>
      <c r="J134" s="9"/>
      <c r="K134" s="9"/>
    </row>
    <row r="135" spans="1:11" s="13" customFormat="1" ht="29.25" thickBot="1" x14ac:dyDescent="0.3">
      <c r="A135" s="19" t="s">
        <v>47</v>
      </c>
      <c r="B135" s="10"/>
      <c r="C135" s="14">
        <v>46371</v>
      </c>
      <c r="D135" s="11"/>
      <c r="E135" s="11"/>
      <c r="F135" s="12">
        <f t="shared" si="4"/>
        <v>0</v>
      </c>
      <c r="G135" s="20"/>
      <c r="H135" s="20"/>
      <c r="I135" s="9"/>
      <c r="J135" s="9"/>
      <c r="K135" s="9"/>
    </row>
    <row r="136" spans="1:11" s="13" customFormat="1" ht="29.25" thickBot="1" x14ac:dyDescent="0.3">
      <c r="A136" s="19" t="s">
        <v>47</v>
      </c>
      <c r="B136" s="10"/>
      <c r="C136" s="14">
        <v>46371</v>
      </c>
      <c r="D136" s="11"/>
      <c r="E136" s="11"/>
      <c r="F136" s="12">
        <f t="shared" si="4"/>
        <v>0</v>
      </c>
      <c r="G136" s="20"/>
      <c r="H136" s="20"/>
      <c r="I136" s="9"/>
      <c r="J136" s="9"/>
      <c r="K136" s="9"/>
    </row>
    <row r="137" spans="1:11" s="13" customFormat="1" ht="29.25" thickBot="1" x14ac:dyDescent="0.3">
      <c r="A137" s="19" t="s">
        <v>47</v>
      </c>
      <c r="B137" s="10"/>
      <c r="C137" s="14">
        <v>46372</v>
      </c>
      <c r="D137" s="11"/>
      <c r="E137" s="11"/>
      <c r="F137" s="12">
        <f t="shared" si="4"/>
        <v>0</v>
      </c>
      <c r="G137" s="20"/>
      <c r="H137" s="20"/>
      <c r="I137" s="9"/>
      <c r="J137" s="9"/>
      <c r="K137" s="9"/>
    </row>
    <row r="138" spans="1:11" s="13" customFormat="1" ht="29.25" thickBot="1" x14ac:dyDescent="0.3">
      <c r="A138" s="19" t="s">
        <v>47</v>
      </c>
      <c r="B138" s="10"/>
      <c r="C138" s="14">
        <v>46372</v>
      </c>
      <c r="D138" s="11"/>
      <c r="E138" s="11"/>
      <c r="F138" s="12">
        <f t="shared" si="4"/>
        <v>0</v>
      </c>
      <c r="G138" s="20"/>
      <c r="H138" s="20"/>
      <c r="I138" s="9"/>
      <c r="J138" s="9"/>
      <c r="K138" s="9"/>
    </row>
    <row r="139" spans="1:11" s="13" customFormat="1" ht="29.25" thickBot="1" x14ac:dyDescent="0.3">
      <c r="A139" s="19" t="s">
        <v>47</v>
      </c>
      <c r="B139" s="10"/>
      <c r="C139" s="14">
        <v>46372</v>
      </c>
      <c r="D139" s="11"/>
      <c r="E139" s="11"/>
      <c r="F139" s="12">
        <f t="shared" si="4"/>
        <v>0</v>
      </c>
      <c r="G139" s="20"/>
      <c r="H139" s="20"/>
      <c r="I139" s="9"/>
      <c r="J139" s="9"/>
      <c r="K139" s="9"/>
    </row>
    <row r="140" spans="1:11" s="13" customFormat="1" ht="29.25" thickBot="1" x14ac:dyDescent="0.3">
      <c r="A140" s="19" t="s">
        <v>47</v>
      </c>
      <c r="B140" s="10"/>
      <c r="C140" s="14">
        <v>46372</v>
      </c>
      <c r="D140" s="11"/>
      <c r="E140" s="11"/>
      <c r="F140" s="12">
        <f t="shared" si="4"/>
        <v>0</v>
      </c>
      <c r="G140" s="20"/>
      <c r="H140" s="20"/>
      <c r="I140" s="9"/>
      <c r="J140" s="9"/>
      <c r="K140" s="9"/>
    </row>
    <row r="141" spans="1:11" s="13" customFormat="1" ht="29.25" thickBot="1" x14ac:dyDescent="0.3">
      <c r="A141" s="19" t="s">
        <v>47</v>
      </c>
      <c r="B141" s="10"/>
      <c r="C141" s="14">
        <v>46372</v>
      </c>
      <c r="D141" s="11"/>
      <c r="E141" s="11"/>
      <c r="F141" s="12">
        <f t="shared" si="4"/>
        <v>0</v>
      </c>
      <c r="G141" s="20"/>
      <c r="H141" s="20"/>
      <c r="I141" s="9"/>
      <c r="J141" s="9"/>
      <c r="K141" s="9"/>
    </row>
    <row r="142" spans="1:11" s="13" customFormat="1" ht="29.25" thickBot="1" x14ac:dyDescent="0.3">
      <c r="A142" s="19" t="s">
        <v>47</v>
      </c>
      <c r="B142" s="10"/>
      <c r="C142" s="14">
        <v>46372</v>
      </c>
      <c r="D142" s="11"/>
      <c r="E142" s="11"/>
      <c r="F142" s="12">
        <f t="shared" si="4"/>
        <v>0</v>
      </c>
      <c r="G142" s="20"/>
      <c r="H142" s="20"/>
      <c r="I142" s="9"/>
      <c r="J142" s="9"/>
      <c r="K142" s="9"/>
    </row>
    <row r="143" spans="1:11" s="13" customFormat="1" ht="29.25" thickBot="1" x14ac:dyDescent="0.3">
      <c r="A143" s="19" t="s">
        <v>47</v>
      </c>
      <c r="B143" s="10"/>
      <c r="C143" s="14">
        <v>46372</v>
      </c>
      <c r="D143" s="11"/>
      <c r="E143" s="11"/>
      <c r="F143" s="12">
        <f t="shared" si="4"/>
        <v>0</v>
      </c>
      <c r="G143" s="20"/>
      <c r="H143" s="20"/>
      <c r="I143" s="9"/>
      <c r="J143" s="9"/>
      <c r="K143" s="9"/>
    </row>
    <row r="144" spans="1:11" s="13" customFormat="1" ht="29.25" thickBot="1" x14ac:dyDescent="0.3">
      <c r="A144" s="19" t="s">
        <v>47</v>
      </c>
      <c r="B144" s="10"/>
      <c r="C144" s="14">
        <v>46372</v>
      </c>
      <c r="D144" s="11"/>
      <c r="E144" s="11"/>
      <c r="F144" s="12">
        <f t="shared" si="4"/>
        <v>0</v>
      </c>
      <c r="G144" s="20"/>
      <c r="H144" s="20"/>
      <c r="I144" s="9"/>
      <c r="J144" s="9"/>
      <c r="K144" s="9"/>
    </row>
    <row r="145" spans="1:11" s="13" customFormat="1" ht="29.25" thickBot="1" x14ac:dyDescent="0.3">
      <c r="A145" s="19" t="s">
        <v>47</v>
      </c>
      <c r="B145" s="10"/>
      <c r="C145" s="14">
        <v>46372</v>
      </c>
      <c r="D145" s="11"/>
      <c r="E145" s="11"/>
      <c r="F145" s="12">
        <f t="shared" si="4"/>
        <v>0</v>
      </c>
      <c r="G145" s="20"/>
      <c r="H145" s="20"/>
      <c r="I145" s="9"/>
      <c r="J145" s="9"/>
      <c r="K145" s="9"/>
    </row>
    <row r="146" spans="1:11" s="13" customFormat="1" ht="29.25" thickBot="1" x14ac:dyDescent="0.3">
      <c r="A146" s="19" t="s">
        <v>47</v>
      </c>
      <c r="B146" s="10"/>
      <c r="C146" s="14">
        <v>46373</v>
      </c>
      <c r="D146" s="11"/>
      <c r="E146" s="11"/>
      <c r="F146" s="12">
        <f t="shared" si="4"/>
        <v>0</v>
      </c>
      <c r="G146" s="20"/>
      <c r="H146" s="20"/>
      <c r="I146" s="9"/>
      <c r="J146" s="9"/>
      <c r="K146" s="9"/>
    </row>
    <row r="147" spans="1:11" s="13" customFormat="1" ht="29.25" thickBot="1" x14ac:dyDescent="0.3">
      <c r="A147" s="19" t="s">
        <v>47</v>
      </c>
      <c r="B147" s="10"/>
      <c r="C147" s="14">
        <v>46373</v>
      </c>
      <c r="D147" s="11"/>
      <c r="E147" s="11"/>
      <c r="F147" s="12">
        <f t="shared" si="4"/>
        <v>0</v>
      </c>
      <c r="G147" s="20"/>
      <c r="H147" s="20"/>
      <c r="I147" s="9"/>
      <c r="J147" s="9"/>
      <c r="K147" s="9"/>
    </row>
    <row r="148" spans="1:11" s="13" customFormat="1" ht="29.25" thickBot="1" x14ac:dyDescent="0.3">
      <c r="A148" s="19" t="s">
        <v>47</v>
      </c>
      <c r="B148" s="10"/>
      <c r="C148" s="14">
        <v>46373</v>
      </c>
      <c r="D148" s="11"/>
      <c r="E148" s="11"/>
      <c r="F148" s="12">
        <f t="shared" si="4"/>
        <v>0</v>
      </c>
      <c r="G148" s="20"/>
      <c r="H148" s="20"/>
      <c r="I148" s="9"/>
      <c r="J148" s="9"/>
      <c r="K148" s="9"/>
    </row>
    <row r="149" spans="1:11" s="13" customFormat="1" ht="29.25" thickBot="1" x14ac:dyDescent="0.3">
      <c r="A149" s="19" t="s">
        <v>47</v>
      </c>
      <c r="B149" s="10"/>
      <c r="C149" s="14">
        <v>46373</v>
      </c>
      <c r="D149" s="11"/>
      <c r="E149" s="11"/>
      <c r="F149" s="12">
        <f t="shared" si="4"/>
        <v>0</v>
      </c>
      <c r="G149" s="20"/>
      <c r="H149" s="20"/>
      <c r="I149" s="9"/>
      <c r="J149" s="9"/>
      <c r="K149" s="9"/>
    </row>
    <row r="150" spans="1:11" s="13" customFormat="1" ht="29.25" thickBot="1" x14ac:dyDescent="0.3">
      <c r="A150" s="19" t="s">
        <v>47</v>
      </c>
      <c r="B150" s="10"/>
      <c r="C150" s="14">
        <v>46373</v>
      </c>
      <c r="D150" s="11"/>
      <c r="E150" s="11"/>
      <c r="F150" s="12">
        <f t="shared" si="4"/>
        <v>0</v>
      </c>
      <c r="G150" s="20"/>
      <c r="H150" s="20"/>
      <c r="I150" s="9"/>
      <c r="J150" s="9"/>
      <c r="K150" s="9"/>
    </row>
    <row r="151" spans="1:11" s="13" customFormat="1" ht="29.25" thickBot="1" x14ac:dyDescent="0.3">
      <c r="A151" s="19" t="s">
        <v>47</v>
      </c>
      <c r="B151" s="10"/>
      <c r="C151" s="14">
        <v>46373</v>
      </c>
      <c r="D151" s="11"/>
      <c r="E151" s="11"/>
      <c r="F151" s="12">
        <f t="shared" si="4"/>
        <v>0</v>
      </c>
      <c r="G151" s="20"/>
      <c r="H151" s="20"/>
      <c r="I151" s="9"/>
      <c r="J151" s="9"/>
      <c r="K151" s="9"/>
    </row>
    <row r="152" spans="1:11" s="13" customFormat="1" ht="29.25" thickBot="1" x14ac:dyDescent="0.3">
      <c r="A152" s="19" t="s">
        <v>47</v>
      </c>
      <c r="B152" s="10"/>
      <c r="C152" s="14">
        <v>46373</v>
      </c>
      <c r="D152" s="11"/>
      <c r="E152" s="11"/>
      <c r="F152" s="12">
        <f t="shared" si="4"/>
        <v>0</v>
      </c>
      <c r="G152" s="20"/>
      <c r="H152" s="20"/>
      <c r="I152" s="9"/>
      <c r="J152" s="9"/>
      <c r="K152" s="9"/>
    </row>
    <row r="153" spans="1:11" s="13" customFormat="1" ht="29.25" thickBot="1" x14ac:dyDescent="0.3">
      <c r="A153" s="19" t="s">
        <v>47</v>
      </c>
      <c r="B153" s="10"/>
      <c r="C153" s="14">
        <v>46373</v>
      </c>
      <c r="D153" s="11"/>
      <c r="E153" s="11"/>
      <c r="F153" s="12">
        <f t="shared" si="4"/>
        <v>0</v>
      </c>
      <c r="G153" s="20"/>
      <c r="H153" s="20"/>
      <c r="I153" s="9"/>
      <c r="J153" s="9"/>
      <c r="K153" s="9"/>
    </row>
    <row r="154" spans="1:11" s="13" customFormat="1" ht="29.25" thickBot="1" x14ac:dyDescent="0.3">
      <c r="A154" s="19" t="s">
        <v>47</v>
      </c>
      <c r="B154" s="10"/>
      <c r="C154" s="14">
        <v>46373</v>
      </c>
      <c r="D154" s="11"/>
      <c r="E154" s="11"/>
      <c r="F154" s="12">
        <f t="shared" si="4"/>
        <v>0</v>
      </c>
      <c r="G154" s="20"/>
      <c r="H154" s="20"/>
      <c r="I154" s="9"/>
      <c r="J154" s="9"/>
      <c r="K154" s="9"/>
    </row>
    <row r="155" spans="1:11" s="13" customFormat="1" ht="29.25" thickBot="1" x14ac:dyDescent="0.3">
      <c r="A155" s="19" t="s">
        <v>47</v>
      </c>
      <c r="B155" s="10"/>
      <c r="C155" s="14">
        <v>46374</v>
      </c>
      <c r="D155" s="11"/>
      <c r="E155" s="11"/>
      <c r="F155" s="12">
        <f t="shared" si="4"/>
        <v>0</v>
      </c>
      <c r="G155" s="20"/>
      <c r="H155" s="20"/>
      <c r="I155" s="9"/>
      <c r="J155" s="9"/>
      <c r="K155" s="9"/>
    </row>
    <row r="156" spans="1:11" s="13" customFormat="1" ht="29.25" thickBot="1" x14ac:dyDescent="0.3">
      <c r="A156" s="19" t="s">
        <v>47</v>
      </c>
      <c r="B156" s="10"/>
      <c r="C156" s="14">
        <v>46374</v>
      </c>
      <c r="D156" s="11"/>
      <c r="E156" s="11"/>
      <c r="F156" s="12">
        <f t="shared" si="4"/>
        <v>0</v>
      </c>
      <c r="G156" s="20"/>
      <c r="H156" s="20"/>
      <c r="I156" s="9"/>
      <c r="J156" s="9"/>
      <c r="K156" s="9"/>
    </row>
    <row r="157" spans="1:11" s="13" customFormat="1" ht="29.25" thickBot="1" x14ac:dyDescent="0.3">
      <c r="A157" s="19" t="s">
        <v>47</v>
      </c>
      <c r="B157" s="10"/>
      <c r="C157" s="14">
        <v>46374</v>
      </c>
      <c r="D157" s="11"/>
      <c r="E157" s="11"/>
      <c r="F157" s="12">
        <f t="shared" si="4"/>
        <v>0</v>
      </c>
      <c r="G157" s="20"/>
      <c r="H157" s="20"/>
      <c r="I157" s="9"/>
      <c r="J157" s="9"/>
      <c r="K157" s="9"/>
    </row>
    <row r="158" spans="1:11" s="13" customFormat="1" ht="29.25" thickBot="1" x14ac:dyDescent="0.3">
      <c r="A158" s="19" t="s">
        <v>47</v>
      </c>
      <c r="B158" s="10"/>
      <c r="C158" s="14">
        <v>46374</v>
      </c>
      <c r="D158" s="11"/>
      <c r="E158" s="11"/>
      <c r="F158" s="12">
        <f t="shared" si="4"/>
        <v>0</v>
      </c>
      <c r="G158" s="20"/>
      <c r="H158" s="20"/>
      <c r="I158" s="9"/>
      <c r="J158" s="9"/>
      <c r="K158" s="9"/>
    </row>
    <row r="159" spans="1:11" s="13" customFormat="1" ht="29.25" thickBot="1" x14ac:dyDescent="0.3">
      <c r="A159" s="19" t="s">
        <v>47</v>
      </c>
      <c r="B159" s="10"/>
      <c r="C159" s="14">
        <v>46374</v>
      </c>
      <c r="D159" s="11"/>
      <c r="E159" s="11"/>
      <c r="F159" s="12">
        <f t="shared" si="4"/>
        <v>0</v>
      </c>
      <c r="G159" s="20"/>
      <c r="H159" s="20"/>
      <c r="I159" s="9"/>
      <c r="J159" s="9"/>
      <c r="K159" s="9"/>
    </row>
    <row r="160" spans="1:11" s="13" customFormat="1" ht="29.25" thickBot="1" x14ac:dyDescent="0.3">
      <c r="A160" s="19" t="s">
        <v>47</v>
      </c>
      <c r="B160" s="10"/>
      <c r="C160" s="14">
        <v>46374</v>
      </c>
      <c r="D160" s="11"/>
      <c r="E160" s="11"/>
      <c r="F160" s="12">
        <f t="shared" si="4"/>
        <v>0</v>
      </c>
      <c r="G160" s="20"/>
      <c r="H160" s="20"/>
      <c r="I160" s="9"/>
      <c r="J160" s="9"/>
      <c r="K160" s="9"/>
    </row>
    <row r="161" spans="1:11" s="13" customFormat="1" ht="29.25" thickBot="1" x14ac:dyDescent="0.3">
      <c r="A161" s="19" t="s">
        <v>47</v>
      </c>
      <c r="B161" s="10"/>
      <c r="C161" s="14">
        <v>46374</v>
      </c>
      <c r="D161" s="11"/>
      <c r="E161" s="11"/>
      <c r="F161" s="12">
        <f t="shared" si="4"/>
        <v>0</v>
      </c>
      <c r="G161" s="20"/>
      <c r="H161" s="20"/>
      <c r="I161" s="9"/>
      <c r="J161" s="9"/>
      <c r="K161" s="9"/>
    </row>
    <row r="162" spans="1:11" s="13" customFormat="1" ht="29.25" thickBot="1" x14ac:dyDescent="0.3">
      <c r="A162" s="19" t="s">
        <v>47</v>
      </c>
      <c r="B162" s="10"/>
      <c r="C162" s="14">
        <v>46374</v>
      </c>
      <c r="D162" s="11"/>
      <c r="E162" s="11"/>
      <c r="F162" s="12">
        <f t="shared" si="4"/>
        <v>0</v>
      </c>
      <c r="G162" s="20"/>
      <c r="H162" s="20"/>
      <c r="I162" s="9"/>
      <c r="J162" s="9"/>
      <c r="K162" s="9"/>
    </row>
    <row r="163" spans="1:11" s="13" customFormat="1" ht="29.25" thickBot="1" x14ac:dyDescent="0.3">
      <c r="A163" s="19" t="s">
        <v>47</v>
      </c>
      <c r="B163" s="10"/>
      <c r="C163" s="14">
        <v>46374</v>
      </c>
      <c r="D163" s="11"/>
      <c r="E163" s="11"/>
      <c r="F163" s="12">
        <f t="shared" si="4"/>
        <v>0</v>
      </c>
      <c r="G163" s="20"/>
      <c r="H163" s="20"/>
      <c r="I163" s="9"/>
      <c r="J163" s="9"/>
      <c r="K163" s="9"/>
    </row>
    <row r="164" spans="1:11" s="13" customFormat="1" ht="29.25" thickBot="1" x14ac:dyDescent="0.3">
      <c r="A164" s="19" t="s">
        <v>47</v>
      </c>
      <c r="B164" s="10"/>
      <c r="C164" s="14">
        <v>46375</v>
      </c>
      <c r="D164" s="11">
        <v>0.35416666666666669</v>
      </c>
      <c r="E164" s="11">
        <v>0.6875</v>
      </c>
      <c r="F164" s="12">
        <f>+(E164-D164)*24</f>
        <v>8</v>
      </c>
      <c r="G164" s="20" t="s">
        <v>21</v>
      </c>
      <c r="H164" s="20" t="s">
        <v>30</v>
      </c>
      <c r="I164" s="9"/>
      <c r="J164" s="9" t="s">
        <v>71</v>
      </c>
      <c r="K164" s="9"/>
    </row>
    <row r="165" spans="1:11" s="13" customFormat="1" ht="29.25" thickBot="1" x14ac:dyDescent="0.3">
      <c r="A165" s="19" t="s">
        <v>47</v>
      </c>
      <c r="B165" s="10"/>
      <c r="C165" s="14">
        <v>46375</v>
      </c>
      <c r="D165" s="11"/>
      <c r="E165" s="11"/>
      <c r="F165" s="12"/>
      <c r="G165" s="20"/>
      <c r="H165" s="20"/>
      <c r="I165" s="9"/>
      <c r="J165" s="9"/>
      <c r="K165" s="9"/>
    </row>
    <row r="166" spans="1:11" s="13" customFormat="1" ht="29.25" thickBot="1" x14ac:dyDescent="0.3">
      <c r="A166" s="19" t="s">
        <v>47</v>
      </c>
      <c r="B166" s="10"/>
      <c r="C166" s="14">
        <v>46375</v>
      </c>
      <c r="D166" s="11"/>
      <c r="E166" s="11"/>
      <c r="F166" s="12">
        <f t="shared" ref="F166:F172" si="5">+(E166-D166)*24</f>
        <v>0</v>
      </c>
      <c r="G166" s="20"/>
      <c r="H166" s="20"/>
      <c r="I166" s="9"/>
      <c r="J166" s="9"/>
      <c r="K166" s="9"/>
    </row>
    <row r="167" spans="1:11" s="13" customFormat="1" ht="29.25" thickBot="1" x14ac:dyDescent="0.3">
      <c r="A167" s="19" t="s">
        <v>47</v>
      </c>
      <c r="B167" s="10"/>
      <c r="C167" s="14">
        <v>46375</v>
      </c>
      <c r="D167" s="11"/>
      <c r="E167" s="11"/>
      <c r="F167" s="12">
        <f t="shared" si="5"/>
        <v>0</v>
      </c>
      <c r="G167" s="20"/>
      <c r="H167" s="20"/>
      <c r="I167" s="9"/>
      <c r="J167" s="9"/>
      <c r="K167" s="9"/>
    </row>
    <row r="168" spans="1:11" s="13" customFormat="1" ht="29.25" thickBot="1" x14ac:dyDescent="0.3">
      <c r="A168" s="19" t="s">
        <v>47</v>
      </c>
      <c r="B168" s="10"/>
      <c r="C168" s="14">
        <v>46375</v>
      </c>
      <c r="D168" s="11"/>
      <c r="E168" s="11"/>
      <c r="F168" s="12">
        <f t="shared" si="5"/>
        <v>0</v>
      </c>
      <c r="G168" s="20"/>
      <c r="H168" s="20"/>
      <c r="I168" s="9"/>
      <c r="J168" s="9"/>
      <c r="K168" s="9"/>
    </row>
    <row r="169" spans="1:11" s="13" customFormat="1" ht="29.25" thickBot="1" x14ac:dyDescent="0.3">
      <c r="A169" s="19" t="s">
        <v>47</v>
      </c>
      <c r="B169" s="10"/>
      <c r="C169" s="14">
        <v>46375</v>
      </c>
      <c r="D169" s="11"/>
      <c r="E169" s="11"/>
      <c r="F169" s="12">
        <f t="shared" si="5"/>
        <v>0</v>
      </c>
      <c r="G169" s="20"/>
      <c r="H169" s="20"/>
      <c r="I169" s="9"/>
      <c r="J169" s="9"/>
      <c r="K169" s="9"/>
    </row>
    <row r="170" spans="1:11" s="13" customFormat="1" ht="29.25" thickBot="1" x14ac:dyDescent="0.3">
      <c r="A170" s="19" t="s">
        <v>47</v>
      </c>
      <c r="B170" s="10"/>
      <c r="C170" s="14">
        <v>46375</v>
      </c>
      <c r="D170" s="11"/>
      <c r="E170" s="11"/>
      <c r="F170" s="12">
        <f t="shared" si="5"/>
        <v>0</v>
      </c>
      <c r="G170" s="20"/>
      <c r="H170" s="20"/>
      <c r="I170" s="9"/>
      <c r="J170" s="9"/>
      <c r="K170" s="9"/>
    </row>
    <row r="171" spans="1:11" s="13" customFormat="1" ht="29.25" thickBot="1" x14ac:dyDescent="0.3">
      <c r="A171" s="19" t="s">
        <v>47</v>
      </c>
      <c r="B171" s="10"/>
      <c r="C171" s="14">
        <v>46375</v>
      </c>
      <c r="D171" s="11"/>
      <c r="E171" s="11"/>
      <c r="F171" s="12">
        <f t="shared" si="5"/>
        <v>0</v>
      </c>
      <c r="G171" s="20"/>
      <c r="H171" s="20"/>
      <c r="I171" s="9"/>
      <c r="J171" s="9"/>
      <c r="K171" s="9"/>
    </row>
    <row r="172" spans="1:11" s="13" customFormat="1" ht="29.25" thickBot="1" x14ac:dyDescent="0.3">
      <c r="A172" s="19" t="s">
        <v>47</v>
      </c>
      <c r="B172" s="10"/>
      <c r="C172" s="14">
        <v>46375</v>
      </c>
      <c r="D172" s="11"/>
      <c r="E172" s="11"/>
      <c r="F172" s="12">
        <f t="shared" si="5"/>
        <v>0</v>
      </c>
      <c r="G172" s="20"/>
      <c r="H172" s="20"/>
      <c r="I172" s="9"/>
      <c r="J172" s="9"/>
      <c r="K172" s="9"/>
    </row>
    <row r="173" spans="1:11" s="13" customFormat="1" ht="29.25" thickBot="1" x14ac:dyDescent="0.3">
      <c r="A173" s="19" t="s">
        <v>47</v>
      </c>
      <c r="B173" s="10"/>
      <c r="C173" s="14">
        <v>46376</v>
      </c>
      <c r="D173" s="11">
        <v>0.35416666666666669</v>
      </c>
      <c r="E173" s="11">
        <v>0.6875</v>
      </c>
      <c r="F173" s="12">
        <f>+(E173-D173)*24</f>
        <v>8</v>
      </c>
      <c r="G173" s="20" t="s">
        <v>21</v>
      </c>
      <c r="H173" s="20" t="s">
        <v>30</v>
      </c>
      <c r="I173" s="9"/>
      <c r="J173" s="9" t="s">
        <v>71</v>
      </c>
      <c r="K173" s="9"/>
    </row>
    <row r="174" spans="1:11" s="13" customFormat="1" ht="29.25" thickBot="1" x14ac:dyDescent="0.3">
      <c r="A174" s="19" t="s">
        <v>47</v>
      </c>
      <c r="B174" s="10"/>
      <c r="C174" s="14">
        <v>46376</v>
      </c>
      <c r="D174" s="11"/>
      <c r="E174" s="11"/>
      <c r="F174" s="12">
        <f t="shared" si="4"/>
        <v>0</v>
      </c>
      <c r="G174" s="20"/>
      <c r="H174" s="20"/>
      <c r="I174" s="9"/>
      <c r="J174" s="9"/>
      <c r="K174" s="9"/>
    </row>
    <row r="175" spans="1:11" s="13" customFormat="1" ht="29.25" thickBot="1" x14ac:dyDescent="0.3">
      <c r="A175" s="19" t="s">
        <v>47</v>
      </c>
      <c r="B175" s="10"/>
      <c r="C175" s="14">
        <v>46376</v>
      </c>
      <c r="D175" s="11"/>
      <c r="E175" s="11"/>
      <c r="F175" s="12">
        <f t="shared" si="4"/>
        <v>0</v>
      </c>
      <c r="G175" s="20"/>
      <c r="H175" s="20"/>
      <c r="I175" s="9"/>
      <c r="J175" s="9"/>
      <c r="K175" s="9"/>
    </row>
    <row r="176" spans="1:11" s="13" customFormat="1" ht="29.25" thickBot="1" x14ac:dyDescent="0.3">
      <c r="A176" s="19" t="s">
        <v>47</v>
      </c>
      <c r="B176" s="10"/>
      <c r="C176" s="14">
        <v>46376</v>
      </c>
      <c r="D176" s="11"/>
      <c r="E176" s="11"/>
      <c r="F176" s="12">
        <f t="shared" si="4"/>
        <v>0</v>
      </c>
      <c r="G176" s="20"/>
      <c r="H176" s="20"/>
      <c r="I176" s="9"/>
      <c r="J176" s="9"/>
      <c r="K176" s="9"/>
    </row>
    <row r="177" spans="1:11" s="13" customFormat="1" ht="29.25" thickBot="1" x14ac:dyDescent="0.3">
      <c r="A177" s="19" t="s">
        <v>47</v>
      </c>
      <c r="B177" s="10"/>
      <c r="C177" s="14">
        <v>46376</v>
      </c>
      <c r="D177" s="11"/>
      <c r="E177" s="11"/>
      <c r="F177" s="12">
        <f t="shared" si="4"/>
        <v>0</v>
      </c>
      <c r="G177" s="20"/>
      <c r="H177" s="20"/>
      <c r="I177" s="9"/>
      <c r="J177" s="9"/>
      <c r="K177" s="9"/>
    </row>
    <row r="178" spans="1:11" s="13" customFormat="1" ht="29.25" thickBot="1" x14ac:dyDescent="0.3">
      <c r="A178" s="19" t="s">
        <v>47</v>
      </c>
      <c r="B178" s="10"/>
      <c r="C178" s="14">
        <v>46376</v>
      </c>
      <c r="D178" s="11"/>
      <c r="E178" s="11"/>
      <c r="F178" s="12">
        <f t="shared" si="4"/>
        <v>0</v>
      </c>
      <c r="G178" s="20"/>
      <c r="H178" s="20"/>
      <c r="I178" s="9"/>
      <c r="J178" s="9"/>
      <c r="K178" s="9"/>
    </row>
    <row r="179" spans="1:11" s="13" customFormat="1" ht="29.25" thickBot="1" x14ac:dyDescent="0.3">
      <c r="A179" s="19" t="s">
        <v>47</v>
      </c>
      <c r="B179" s="10"/>
      <c r="C179" s="14">
        <v>46376</v>
      </c>
      <c r="D179" s="11"/>
      <c r="E179" s="11"/>
      <c r="F179" s="12">
        <f t="shared" si="4"/>
        <v>0</v>
      </c>
      <c r="G179" s="20"/>
      <c r="H179" s="20"/>
      <c r="I179" s="9"/>
      <c r="J179" s="9"/>
      <c r="K179" s="9"/>
    </row>
    <row r="180" spans="1:11" s="13" customFormat="1" ht="29.25" thickBot="1" x14ac:dyDescent="0.3">
      <c r="A180" s="19" t="s">
        <v>47</v>
      </c>
      <c r="B180" s="10"/>
      <c r="C180" s="14">
        <v>46376</v>
      </c>
      <c r="D180" s="11"/>
      <c r="E180" s="11"/>
      <c r="F180" s="12">
        <f t="shared" si="4"/>
        <v>0</v>
      </c>
      <c r="G180" s="20"/>
      <c r="H180" s="20"/>
      <c r="I180" s="9"/>
      <c r="J180" s="9"/>
      <c r="K180" s="9"/>
    </row>
    <row r="181" spans="1:11" s="13" customFormat="1" ht="29.25" thickBot="1" x14ac:dyDescent="0.3">
      <c r="A181" s="19" t="s">
        <v>47</v>
      </c>
      <c r="B181" s="10"/>
      <c r="C181" s="14">
        <v>46376</v>
      </c>
      <c r="D181" s="11"/>
      <c r="E181" s="11"/>
      <c r="F181" s="12">
        <f t="shared" si="4"/>
        <v>0</v>
      </c>
      <c r="G181" s="20"/>
      <c r="H181" s="20"/>
      <c r="I181" s="9"/>
      <c r="J181" s="9"/>
      <c r="K181" s="9"/>
    </row>
    <row r="182" spans="1:11" s="13" customFormat="1" ht="29.25" thickBot="1" x14ac:dyDescent="0.3">
      <c r="A182" s="19" t="s">
        <v>47</v>
      </c>
      <c r="B182" s="10"/>
      <c r="C182" s="14">
        <v>46377</v>
      </c>
      <c r="D182" s="11"/>
      <c r="E182" s="11"/>
      <c r="F182" s="12">
        <f t="shared" si="4"/>
        <v>0</v>
      </c>
      <c r="G182" s="20"/>
      <c r="H182" s="20"/>
      <c r="I182" s="9"/>
      <c r="J182" s="9"/>
      <c r="K182" s="9"/>
    </row>
    <row r="183" spans="1:11" s="13" customFormat="1" ht="29.25" thickBot="1" x14ac:dyDescent="0.3">
      <c r="A183" s="19" t="s">
        <v>47</v>
      </c>
      <c r="B183" s="10"/>
      <c r="C183" s="14">
        <v>46377</v>
      </c>
      <c r="D183" s="11"/>
      <c r="E183" s="11"/>
      <c r="F183" s="12">
        <f t="shared" si="4"/>
        <v>0</v>
      </c>
      <c r="G183" s="20"/>
      <c r="H183" s="20"/>
      <c r="I183" s="9"/>
      <c r="J183" s="9"/>
      <c r="K183" s="9"/>
    </row>
    <row r="184" spans="1:11" s="13" customFormat="1" ht="29.25" thickBot="1" x14ac:dyDescent="0.3">
      <c r="A184" s="19" t="s">
        <v>47</v>
      </c>
      <c r="B184" s="10"/>
      <c r="C184" s="14">
        <v>46377</v>
      </c>
      <c r="D184" s="11"/>
      <c r="E184" s="11"/>
      <c r="F184" s="12">
        <f t="shared" si="4"/>
        <v>0</v>
      </c>
      <c r="G184" s="20"/>
      <c r="H184" s="20"/>
      <c r="I184" s="9"/>
      <c r="J184" s="9"/>
      <c r="K184" s="9"/>
    </row>
    <row r="185" spans="1:11" s="13" customFormat="1" ht="29.25" thickBot="1" x14ac:dyDescent="0.3">
      <c r="A185" s="19" t="s">
        <v>47</v>
      </c>
      <c r="B185" s="10"/>
      <c r="C185" s="14">
        <v>46377</v>
      </c>
      <c r="D185" s="11"/>
      <c r="E185" s="11"/>
      <c r="F185" s="12">
        <f t="shared" si="4"/>
        <v>0</v>
      </c>
      <c r="G185" s="20"/>
      <c r="H185" s="20"/>
      <c r="I185" s="9"/>
      <c r="J185" s="9"/>
      <c r="K185" s="9"/>
    </row>
    <row r="186" spans="1:11" s="13" customFormat="1" ht="29.25" thickBot="1" x14ac:dyDescent="0.3">
      <c r="A186" s="19" t="s">
        <v>47</v>
      </c>
      <c r="B186" s="10"/>
      <c r="C186" s="14">
        <v>46377</v>
      </c>
      <c r="D186" s="11"/>
      <c r="E186" s="11"/>
      <c r="F186" s="12">
        <f t="shared" si="4"/>
        <v>0</v>
      </c>
      <c r="G186" s="20"/>
      <c r="H186" s="20"/>
      <c r="I186" s="9"/>
      <c r="J186" s="9"/>
      <c r="K186" s="9"/>
    </row>
    <row r="187" spans="1:11" s="13" customFormat="1" ht="29.25" thickBot="1" x14ac:dyDescent="0.3">
      <c r="A187" s="19" t="s">
        <v>47</v>
      </c>
      <c r="B187" s="10"/>
      <c r="C187" s="14">
        <v>46377</v>
      </c>
      <c r="D187" s="11"/>
      <c r="E187" s="11"/>
      <c r="F187" s="12">
        <f t="shared" si="4"/>
        <v>0</v>
      </c>
      <c r="G187" s="20"/>
      <c r="H187" s="20"/>
      <c r="I187" s="9"/>
      <c r="J187" s="9"/>
      <c r="K187" s="9"/>
    </row>
    <row r="188" spans="1:11" s="13" customFormat="1" ht="29.25" thickBot="1" x14ac:dyDescent="0.3">
      <c r="A188" s="19" t="s">
        <v>47</v>
      </c>
      <c r="B188" s="10"/>
      <c r="C188" s="14">
        <v>46377</v>
      </c>
      <c r="D188" s="11"/>
      <c r="E188" s="11"/>
      <c r="F188" s="12">
        <f t="shared" si="4"/>
        <v>0</v>
      </c>
      <c r="G188" s="20"/>
      <c r="H188" s="20"/>
      <c r="I188" s="9"/>
      <c r="J188" s="9"/>
      <c r="K188" s="9"/>
    </row>
    <row r="189" spans="1:11" s="13" customFormat="1" ht="29.25" thickBot="1" x14ac:dyDescent="0.3">
      <c r="A189" s="19" t="s">
        <v>47</v>
      </c>
      <c r="B189" s="10"/>
      <c r="C189" s="14">
        <v>46377</v>
      </c>
      <c r="D189" s="11"/>
      <c r="E189" s="11"/>
      <c r="F189" s="12">
        <f t="shared" si="4"/>
        <v>0</v>
      </c>
      <c r="G189" s="20"/>
      <c r="H189" s="20"/>
      <c r="I189" s="9"/>
      <c r="J189" s="9"/>
      <c r="K189" s="9"/>
    </row>
    <row r="190" spans="1:11" s="13" customFormat="1" ht="29.25" thickBot="1" x14ac:dyDescent="0.3">
      <c r="A190" s="19" t="s">
        <v>47</v>
      </c>
      <c r="B190" s="10"/>
      <c r="C190" s="14">
        <v>46378</v>
      </c>
      <c r="D190" s="11"/>
      <c r="E190" s="11"/>
      <c r="F190" s="12">
        <f t="shared" si="4"/>
        <v>0</v>
      </c>
      <c r="G190" s="20"/>
      <c r="H190" s="20"/>
      <c r="I190" s="9"/>
      <c r="J190" s="9"/>
      <c r="K190" s="9"/>
    </row>
    <row r="191" spans="1:11" s="13" customFormat="1" ht="29.25" thickBot="1" x14ac:dyDescent="0.3">
      <c r="A191" s="19" t="s">
        <v>47</v>
      </c>
      <c r="B191" s="10"/>
      <c r="C191" s="14">
        <v>46378</v>
      </c>
      <c r="D191" s="11"/>
      <c r="E191" s="11"/>
      <c r="F191" s="12">
        <f t="shared" si="4"/>
        <v>0</v>
      </c>
      <c r="G191" s="20"/>
      <c r="H191" s="20"/>
      <c r="I191" s="9"/>
      <c r="J191" s="9"/>
      <c r="K191" s="9"/>
    </row>
    <row r="192" spans="1:11" s="13" customFormat="1" ht="29.25" thickBot="1" x14ac:dyDescent="0.3">
      <c r="A192" s="19" t="s">
        <v>47</v>
      </c>
      <c r="B192" s="10"/>
      <c r="C192" s="14">
        <v>46378</v>
      </c>
      <c r="D192" s="11"/>
      <c r="E192" s="11"/>
      <c r="F192" s="12">
        <f t="shared" si="4"/>
        <v>0</v>
      </c>
      <c r="G192" s="20"/>
      <c r="H192" s="20"/>
      <c r="I192" s="9"/>
      <c r="J192" s="9"/>
      <c r="K192" s="9"/>
    </row>
    <row r="193" spans="1:11" s="13" customFormat="1" ht="29.25" thickBot="1" x14ac:dyDescent="0.3">
      <c r="A193" s="19" t="s">
        <v>47</v>
      </c>
      <c r="B193" s="10"/>
      <c r="C193" s="14">
        <v>46378</v>
      </c>
      <c r="D193" s="11"/>
      <c r="E193" s="11"/>
      <c r="F193" s="12">
        <f t="shared" si="4"/>
        <v>0</v>
      </c>
      <c r="G193" s="20"/>
      <c r="H193" s="20"/>
      <c r="I193" s="9"/>
      <c r="J193" s="9"/>
      <c r="K193" s="9"/>
    </row>
    <row r="194" spans="1:11" s="13" customFormat="1" ht="29.25" thickBot="1" x14ac:dyDescent="0.3">
      <c r="A194" s="19" t="s">
        <v>47</v>
      </c>
      <c r="B194" s="10"/>
      <c r="C194" s="14">
        <v>46378</v>
      </c>
      <c r="D194" s="11"/>
      <c r="E194" s="11"/>
      <c r="F194" s="12">
        <f t="shared" si="4"/>
        <v>0</v>
      </c>
      <c r="G194" s="20"/>
      <c r="H194" s="20"/>
      <c r="I194" s="9"/>
      <c r="J194" s="9"/>
      <c r="K194" s="9"/>
    </row>
    <row r="195" spans="1:11" s="13" customFormat="1" ht="29.25" thickBot="1" x14ac:dyDescent="0.3">
      <c r="A195" s="19" t="s">
        <v>47</v>
      </c>
      <c r="B195" s="10"/>
      <c r="C195" s="14">
        <v>46378</v>
      </c>
      <c r="D195" s="11"/>
      <c r="E195" s="11"/>
      <c r="F195" s="12">
        <f t="shared" si="4"/>
        <v>0</v>
      </c>
      <c r="G195" s="20"/>
      <c r="H195" s="20"/>
      <c r="I195" s="9"/>
      <c r="J195" s="9"/>
      <c r="K195" s="9"/>
    </row>
    <row r="196" spans="1:11" s="13" customFormat="1" ht="29.25" thickBot="1" x14ac:dyDescent="0.3">
      <c r="A196" s="19" t="s">
        <v>47</v>
      </c>
      <c r="B196" s="10"/>
      <c r="C196" s="14">
        <v>46378</v>
      </c>
      <c r="D196" s="11"/>
      <c r="E196" s="11"/>
      <c r="F196" s="12">
        <f t="shared" si="4"/>
        <v>0</v>
      </c>
      <c r="G196" s="20"/>
      <c r="H196" s="20"/>
      <c r="I196" s="9"/>
      <c r="J196" s="9"/>
      <c r="K196" s="9"/>
    </row>
    <row r="197" spans="1:11" s="13" customFormat="1" ht="29.25" thickBot="1" x14ac:dyDescent="0.3">
      <c r="A197" s="19" t="s">
        <v>47</v>
      </c>
      <c r="B197" s="10"/>
      <c r="C197" s="14">
        <v>46378</v>
      </c>
      <c r="D197" s="11"/>
      <c r="E197" s="11"/>
      <c r="F197" s="12">
        <f t="shared" si="4"/>
        <v>0</v>
      </c>
      <c r="G197" s="20"/>
      <c r="H197" s="20"/>
      <c r="I197" s="9"/>
      <c r="J197" s="9"/>
      <c r="K197" s="9"/>
    </row>
    <row r="198" spans="1:11" s="13" customFormat="1" ht="29.25" thickBot="1" x14ac:dyDescent="0.3">
      <c r="A198" s="19" t="s">
        <v>47</v>
      </c>
      <c r="B198" s="10"/>
      <c r="C198" s="14">
        <v>46378</v>
      </c>
      <c r="D198" s="11"/>
      <c r="E198" s="11"/>
      <c r="F198" s="12">
        <f t="shared" ref="F198:F261" si="6">+(E198-D198)*24</f>
        <v>0</v>
      </c>
      <c r="G198" s="20"/>
      <c r="H198" s="20"/>
      <c r="I198" s="9"/>
      <c r="J198" s="9"/>
      <c r="K198" s="9"/>
    </row>
    <row r="199" spans="1:11" s="13" customFormat="1" ht="29.25" thickBot="1" x14ac:dyDescent="0.3">
      <c r="A199" s="19" t="s">
        <v>47</v>
      </c>
      <c r="B199" s="10"/>
      <c r="C199" s="14">
        <v>46379</v>
      </c>
      <c r="D199" s="11"/>
      <c r="E199" s="11"/>
      <c r="F199" s="12">
        <f t="shared" si="6"/>
        <v>0</v>
      </c>
      <c r="G199" s="20"/>
      <c r="H199" s="20"/>
      <c r="I199" s="9"/>
      <c r="J199" s="9"/>
      <c r="K199" s="9"/>
    </row>
    <row r="200" spans="1:11" s="13" customFormat="1" ht="29.25" thickBot="1" x14ac:dyDescent="0.3">
      <c r="A200" s="19" t="s">
        <v>47</v>
      </c>
      <c r="B200" s="10"/>
      <c r="C200" s="14">
        <v>46379</v>
      </c>
      <c r="D200" s="11"/>
      <c r="E200" s="11"/>
      <c r="F200" s="12">
        <f t="shared" si="6"/>
        <v>0</v>
      </c>
      <c r="G200" s="20"/>
      <c r="H200" s="20"/>
      <c r="I200" s="9"/>
      <c r="J200" s="9"/>
      <c r="K200" s="9"/>
    </row>
    <row r="201" spans="1:11" s="13" customFormat="1" ht="29.25" thickBot="1" x14ac:dyDescent="0.3">
      <c r="A201" s="19" t="s">
        <v>47</v>
      </c>
      <c r="B201" s="10"/>
      <c r="C201" s="14">
        <v>46379</v>
      </c>
      <c r="D201" s="11"/>
      <c r="E201" s="11"/>
      <c r="F201" s="12">
        <f t="shared" si="6"/>
        <v>0</v>
      </c>
      <c r="G201" s="20"/>
      <c r="H201" s="20"/>
      <c r="I201" s="9"/>
      <c r="J201" s="9"/>
      <c r="K201" s="9"/>
    </row>
    <row r="202" spans="1:11" s="13" customFormat="1" ht="29.25" thickBot="1" x14ac:dyDescent="0.3">
      <c r="A202" s="19" t="s">
        <v>47</v>
      </c>
      <c r="B202" s="10"/>
      <c r="C202" s="14">
        <v>46379</v>
      </c>
      <c r="D202" s="11"/>
      <c r="E202" s="11"/>
      <c r="F202" s="12">
        <f t="shared" si="6"/>
        <v>0</v>
      </c>
      <c r="G202" s="20"/>
      <c r="H202" s="20"/>
      <c r="I202" s="9"/>
      <c r="J202" s="9"/>
      <c r="K202" s="9"/>
    </row>
    <row r="203" spans="1:11" s="13" customFormat="1" ht="29.25" thickBot="1" x14ac:dyDescent="0.3">
      <c r="A203" s="19" t="s">
        <v>47</v>
      </c>
      <c r="B203" s="10"/>
      <c r="C203" s="14">
        <v>46379</v>
      </c>
      <c r="D203" s="11"/>
      <c r="E203" s="11"/>
      <c r="F203" s="12">
        <f t="shared" si="6"/>
        <v>0</v>
      </c>
      <c r="G203" s="20"/>
      <c r="H203" s="20"/>
      <c r="I203" s="9"/>
      <c r="J203" s="9"/>
      <c r="K203" s="9"/>
    </row>
    <row r="204" spans="1:11" s="13" customFormat="1" ht="29.25" thickBot="1" x14ac:dyDescent="0.3">
      <c r="A204" s="19" t="s">
        <v>47</v>
      </c>
      <c r="B204" s="10"/>
      <c r="C204" s="14">
        <v>46379</v>
      </c>
      <c r="D204" s="11"/>
      <c r="E204" s="11"/>
      <c r="F204" s="12">
        <f t="shared" si="6"/>
        <v>0</v>
      </c>
      <c r="G204" s="20"/>
      <c r="H204" s="20"/>
      <c r="I204" s="9"/>
      <c r="J204" s="9"/>
      <c r="K204" s="9"/>
    </row>
    <row r="205" spans="1:11" s="13" customFormat="1" ht="29.25" thickBot="1" x14ac:dyDescent="0.3">
      <c r="A205" s="19" t="s">
        <v>47</v>
      </c>
      <c r="B205" s="10"/>
      <c r="C205" s="14">
        <v>46379</v>
      </c>
      <c r="D205" s="11"/>
      <c r="E205" s="11"/>
      <c r="F205" s="12">
        <f t="shared" si="6"/>
        <v>0</v>
      </c>
      <c r="G205" s="20"/>
      <c r="H205" s="20"/>
      <c r="I205" s="9"/>
      <c r="J205" s="9"/>
      <c r="K205" s="9"/>
    </row>
    <row r="206" spans="1:11" s="13" customFormat="1" ht="29.25" thickBot="1" x14ac:dyDescent="0.3">
      <c r="A206" s="19" t="s">
        <v>47</v>
      </c>
      <c r="B206" s="10"/>
      <c r="C206" s="14">
        <v>46379</v>
      </c>
      <c r="D206" s="11"/>
      <c r="E206" s="11"/>
      <c r="F206" s="12">
        <f t="shared" si="6"/>
        <v>0</v>
      </c>
      <c r="G206" s="20"/>
      <c r="H206" s="20"/>
      <c r="I206" s="9"/>
      <c r="J206" s="9"/>
      <c r="K206" s="9"/>
    </row>
    <row r="207" spans="1:11" s="13" customFormat="1" ht="29.25" thickBot="1" x14ac:dyDescent="0.3">
      <c r="A207" s="19" t="s">
        <v>47</v>
      </c>
      <c r="B207" s="10"/>
      <c r="C207" s="14">
        <v>46379</v>
      </c>
      <c r="D207" s="11"/>
      <c r="E207" s="11"/>
      <c r="F207" s="12">
        <f t="shared" si="6"/>
        <v>0</v>
      </c>
      <c r="G207" s="20"/>
      <c r="H207" s="20"/>
      <c r="I207" s="9"/>
      <c r="J207" s="9"/>
      <c r="K207" s="9"/>
    </row>
    <row r="208" spans="1:11" s="13" customFormat="1" ht="29.25" thickBot="1" x14ac:dyDescent="0.3">
      <c r="A208" s="19" t="s">
        <v>47</v>
      </c>
      <c r="B208" s="10"/>
      <c r="C208" s="14">
        <v>46380</v>
      </c>
      <c r="D208" s="11">
        <v>0.52083333333333337</v>
      </c>
      <c r="E208" s="11">
        <v>0.6875</v>
      </c>
      <c r="F208" s="12">
        <f>+(E208-D208)*24</f>
        <v>3.9999999999999991</v>
      </c>
      <c r="G208" s="20" t="s">
        <v>21</v>
      </c>
      <c r="H208" s="20" t="s">
        <v>30</v>
      </c>
      <c r="I208" s="9"/>
      <c r="J208" s="9" t="s">
        <v>86</v>
      </c>
      <c r="K208" s="9"/>
    </row>
    <row r="209" spans="1:11" s="13" customFormat="1" ht="29.25" thickBot="1" x14ac:dyDescent="0.3">
      <c r="A209" s="19" t="s">
        <v>47</v>
      </c>
      <c r="B209" s="10"/>
      <c r="C209" s="14">
        <v>46380</v>
      </c>
      <c r="D209" s="11"/>
      <c r="E209" s="11"/>
      <c r="F209" s="12">
        <f t="shared" si="6"/>
        <v>0</v>
      </c>
      <c r="G209" s="20"/>
      <c r="H209" s="20"/>
      <c r="I209" s="9"/>
      <c r="J209" s="9"/>
      <c r="K209" s="9"/>
    </row>
    <row r="210" spans="1:11" s="13" customFormat="1" ht="29.25" thickBot="1" x14ac:dyDescent="0.3">
      <c r="A210" s="19" t="s">
        <v>47</v>
      </c>
      <c r="B210" s="10"/>
      <c r="C210" s="14">
        <v>46380</v>
      </c>
      <c r="D210" s="11"/>
      <c r="E210" s="11"/>
      <c r="F210" s="12">
        <f t="shared" si="6"/>
        <v>0</v>
      </c>
      <c r="G210" s="20"/>
      <c r="H210" s="20"/>
      <c r="I210" s="9"/>
      <c r="J210" s="9"/>
      <c r="K210" s="9"/>
    </row>
    <row r="211" spans="1:11" s="13" customFormat="1" ht="29.25" thickBot="1" x14ac:dyDescent="0.3">
      <c r="A211" s="19" t="s">
        <v>47</v>
      </c>
      <c r="B211" s="10"/>
      <c r="C211" s="14">
        <v>46380</v>
      </c>
      <c r="D211" s="11"/>
      <c r="E211" s="11"/>
      <c r="F211" s="12">
        <f t="shared" si="6"/>
        <v>0</v>
      </c>
      <c r="G211" s="20"/>
      <c r="H211" s="20"/>
      <c r="I211" s="9"/>
      <c r="J211" s="9"/>
      <c r="K211" s="9"/>
    </row>
    <row r="212" spans="1:11" s="13" customFormat="1" ht="29.25" thickBot="1" x14ac:dyDescent="0.3">
      <c r="A212" s="19" t="s">
        <v>47</v>
      </c>
      <c r="B212" s="10"/>
      <c r="C212" s="14">
        <v>46380</v>
      </c>
      <c r="D212" s="11"/>
      <c r="E212" s="11"/>
      <c r="F212" s="12">
        <f t="shared" si="6"/>
        <v>0</v>
      </c>
      <c r="G212" s="20"/>
      <c r="H212" s="20"/>
      <c r="I212" s="9"/>
      <c r="J212" s="9"/>
      <c r="K212" s="9"/>
    </row>
    <row r="213" spans="1:11" s="13" customFormat="1" ht="29.25" thickBot="1" x14ac:dyDescent="0.3">
      <c r="A213" s="19" t="s">
        <v>47</v>
      </c>
      <c r="B213" s="10"/>
      <c r="C213" s="14">
        <v>46380</v>
      </c>
      <c r="D213" s="11"/>
      <c r="E213" s="11"/>
      <c r="F213" s="12">
        <f t="shared" si="6"/>
        <v>0</v>
      </c>
      <c r="G213" s="20"/>
      <c r="H213" s="20"/>
      <c r="I213" s="9"/>
      <c r="J213" s="9"/>
      <c r="K213" s="9"/>
    </row>
    <row r="214" spans="1:11" s="13" customFormat="1" ht="29.25" thickBot="1" x14ac:dyDescent="0.3">
      <c r="A214" s="19" t="s">
        <v>47</v>
      </c>
      <c r="B214" s="10"/>
      <c r="C214" s="14">
        <v>46380</v>
      </c>
      <c r="D214" s="11"/>
      <c r="E214" s="11"/>
      <c r="F214" s="12">
        <f t="shared" si="6"/>
        <v>0</v>
      </c>
      <c r="G214" s="20"/>
      <c r="H214" s="20"/>
      <c r="I214" s="9"/>
      <c r="J214" s="9"/>
      <c r="K214" s="9"/>
    </row>
    <row r="215" spans="1:11" s="13" customFormat="1" ht="29.25" thickBot="1" x14ac:dyDescent="0.3">
      <c r="A215" s="19" t="s">
        <v>47</v>
      </c>
      <c r="B215" s="10"/>
      <c r="C215" s="14">
        <v>46380</v>
      </c>
      <c r="D215" s="11"/>
      <c r="E215" s="11"/>
      <c r="F215" s="12">
        <f t="shared" si="6"/>
        <v>0</v>
      </c>
      <c r="G215" s="20"/>
      <c r="H215" s="20"/>
      <c r="I215" s="9"/>
      <c r="J215" s="9"/>
      <c r="K215" s="9"/>
    </row>
    <row r="216" spans="1:11" s="13" customFormat="1" ht="29.25" thickBot="1" x14ac:dyDescent="0.3">
      <c r="A216" s="19" t="s">
        <v>47</v>
      </c>
      <c r="B216" s="10"/>
      <c r="C216" s="14">
        <v>46380</v>
      </c>
      <c r="D216" s="11"/>
      <c r="E216" s="11"/>
      <c r="F216" s="12">
        <f t="shared" si="6"/>
        <v>0</v>
      </c>
      <c r="G216" s="20"/>
      <c r="H216" s="20"/>
      <c r="I216" s="9"/>
      <c r="J216" s="9"/>
      <c r="K216" s="9"/>
    </row>
    <row r="217" spans="1:11" s="13" customFormat="1" ht="29.25" thickBot="1" x14ac:dyDescent="0.3">
      <c r="A217" s="19" t="s">
        <v>47</v>
      </c>
      <c r="B217" s="10"/>
      <c r="C217" s="14">
        <v>46381</v>
      </c>
      <c r="D217" s="11">
        <v>0.35416666666666669</v>
      </c>
      <c r="E217" s="11">
        <v>0.6875</v>
      </c>
      <c r="F217" s="12">
        <f>+(E217-D217)*24</f>
        <v>8</v>
      </c>
      <c r="G217" s="20" t="s">
        <v>21</v>
      </c>
      <c r="H217" s="20" t="s">
        <v>30</v>
      </c>
      <c r="I217" s="9"/>
      <c r="J217" s="9" t="s">
        <v>85</v>
      </c>
      <c r="K217" s="9"/>
    </row>
    <row r="218" spans="1:11" s="13" customFormat="1" ht="29.25" thickBot="1" x14ac:dyDescent="0.3">
      <c r="A218" s="19" t="s">
        <v>47</v>
      </c>
      <c r="B218" s="10"/>
      <c r="C218" s="14">
        <v>46381</v>
      </c>
      <c r="D218" s="11"/>
      <c r="E218" s="11"/>
      <c r="F218" s="12">
        <f t="shared" si="6"/>
        <v>0</v>
      </c>
      <c r="G218" s="20"/>
      <c r="H218" s="20"/>
      <c r="I218" s="9"/>
      <c r="J218" s="9"/>
      <c r="K218" s="9"/>
    </row>
    <row r="219" spans="1:11" ht="29.25" thickBot="1" x14ac:dyDescent="0.25">
      <c r="A219" s="19" t="s">
        <v>47</v>
      </c>
      <c r="B219" s="10"/>
      <c r="C219" s="14">
        <v>46381</v>
      </c>
      <c r="D219" s="11"/>
      <c r="E219" s="11"/>
      <c r="F219" s="12">
        <f t="shared" si="6"/>
        <v>0</v>
      </c>
      <c r="G219" s="20"/>
      <c r="H219" s="20"/>
      <c r="I219" s="9"/>
      <c r="J219" s="9"/>
      <c r="K219" s="9"/>
    </row>
    <row r="220" spans="1:11" ht="29.25" thickBot="1" x14ac:dyDescent="0.25">
      <c r="A220" s="19" t="s">
        <v>47</v>
      </c>
      <c r="B220" s="10"/>
      <c r="C220" s="14">
        <v>46381</v>
      </c>
      <c r="D220" s="11"/>
      <c r="E220" s="11"/>
      <c r="F220" s="12">
        <f t="shared" si="6"/>
        <v>0</v>
      </c>
      <c r="G220" s="20"/>
      <c r="H220" s="20"/>
      <c r="I220" s="9"/>
      <c r="J220" s="9"/>
      <c r="K220" s="9"/>
    </row>
    <row r="221" spans="1:11" ht="29.25" thickBot="1" x14ac:dyDescent="0.25">
      <c r="A221" s="19" t="s">
        <v>47</v>
      </c>
      <c r="B221" s="10"/>
      <c r="C221" s="14">
        <v>46381</v>
      </c>
      <c r="D221" s="11"/>
      <c r="E221" s="11"/>
      <c r="F221" s="12">
        <f t="shared" si="6"/>
        <v>0</v>
      </c>
      <c r="G221" s="20"/>
      <c r="H221" s="20"/>
      <c r="I221" s="9"/>
      <c r="J221" s="9"/>
      <c r="K221" s="9"/>
    </row>
    <row r="222" spans="1:11" ht="29.25" thickBot="1" x14ac:dyDescent="0.25">
      <c r="A222" s="19" t="s">
        <v>47</v>
      </c>
      <c r="B222" s="10"/>
      <c r="C222" s="14">
        <v>46381</v>
      </c>
      <c r="D222" s="11"/>
      <c r="E222" s="11"/>
      <c r="F222" s="12">
        <f t="shared" si="6"/>
        <v>0</v>
      </c>
      <c r="G222" s="20"/>
      <c r="H222" s="20"/>
      <c r="I222" s="9"/>
      <c r="J222" s="9"/>
      <c r="K222" s="9"/>
    </row>
    <row r="223" spans="1:11" ht="29.25" thickBot="1" x14ac:dyDescent="0.25">
      <c r="A223" s="19" t="s">
        <v>47</v>
      </c>
      <c r="B223" s="10"/>
      <c r="C223" s="14">
        <v>46381</v>
      </c>
      <c r="D223" s="11"/>
      <c r="E223" s="11"/>
      <c r="F223" s="12">
        <f t="shared" si="6"/>
        <v>0</v>
      </c>
      <c r="G223" s="20"/>
      <c r="H223" s="20"/>
      <c r="I223" s="9"/>
      <c r="J223" s="9"/>
      <c r="K223" s="9"/>
    </row>
    <row r="224" spans="1:11" ht="29.25" thickBot="1" x14ac:dyDescent="0.25">
      <c r="A224" s="19" t="s">
        <v>47</v>
      </c>
      <c r="B224" s="10"/>
      <c r="C224" s="14">
        <v>46381</v>
      </c>
      <c r="D224" s="11"/>
      <c r="E224" s="11"/>
      <c r="F224" s="12">
        <f t="shared" si="6"/>
        <v>0</v>
      </c>
      <c r="G224" s="20"/>
      <c r="H224" s="20"/>
      <c r="I224" s="9"/>
      <c r="J224" s="9"/>
      <c r="K224" s="9"/>
    </row>
    <row r="225" spans="1:11" ht="29.25" thickBot="1" x14ac:dyDescent="0.25">
      <c r="A225" s="19" t="s">
        <v>47</v>
      </c>
      <c r="B225" s="10"/>
      <c r="C225" s="14">
        <v>46381</v>
      </c>
      <c r="D225" s="11"/>
      <c r="E225" s="11"/>
      <c r="F225" s="12">
        <f t="shared" si="6"/>
        <v>0</v>
      </c>
      <c r="G225" s="20"/>
      <c r="H225" s="20"/>
      <c r="I225" s="9"/>
      <c r="J225" s="9"/>
      <c r="K225" s="9"/>
    </row>
    <row r="226" spans="1:11" ht="29.25" thickBot="1" x14ac:dyDescent="0.25">
      <c r="A226" s="19" t="s">
        <v>47</v>
      </c>
      <c r="B226" s="10"/>
      <c r="C226" s="14">
        <v>46382</v>
      </c>
      <c r="D226" s="11">
        <v>0.35416666666666669</v>
      </c>
      <c r="E226" s="11">
        <v>0.6875</v>
      </c>
      <c r="F226" s="12">
        <f>+(E226-D226)*24</f>
        <v>8</v>
      </c>
      <c r="G226" s="20" t="s">
        <v>21</v>
      </c>
      <c r="H226" s="20" t="s">
        <v>30</v>
      </c>
      <c r="I226" s="9"/>
      <c r="J226" s="9" t="s">
        <v>84</v>
      </c>
      <c r="K226" s="9"/>
    </row>
    <row r="227" spans="1:11" ht="29.25" thickBot="1" x14ac:dyDescent="0.25">
      <c r="A227" s="19" t="s">
        <v>47</v>
      </c>
      <c r="B227" s="10"/>
      <c r="C227" s="14">
        <v>46382</v>
      </c>
      <c r="D227" s="11"/>
      <c r="E227" s="11"/>
      <c r="F227" s="12"/>
      <c r="G227" s="20"/>
      <c r="H227" s="20"/>
      <c r="I227" s="9"/>
      <c r="J227" s="9"/>
      <c r="K227" s="9"/>
    </row>
    <row r="228" spans="1:11" ht="29.25" thickBot="1" x14ac:dyDescent="0.25">
      <c r="A228" s="19" t="s">
        <v>47</v>
      </c>
      <c r="B228" s="10"/>
      <c r="C228" s="14">
        <v>46382</v>
      </c>
      <c r="D228" s="11"/>
      <c r="E228" s="11"/>
      <c r="F228" s="12">
        <f t="shared" ref="F228:F234" si="7">+(E228-D228)*24</f>
        <v>0</v>
      </c>
      <c r="G228" s="20"/>
      <c r="H228" s="20"/>
      <c r="I228" s="9"/>
      <c r="J228" s="9"/>
      <c r="K228" s="9"/>
    </row>
    <row r="229" spans="1:11" ht="29.25" thickBot="1" x14ac:dyDescent="0.25">
      <c r="A229" s="19" t="s">
        <v>47</v>
      </c>
      <c r="B229" s="10"/>
      <c r="C229" s="14">
        <v>46382</v>
      </c>
      <c r="D229" s="11"/>
      <c r="E229" s="11"/>
      <c r="F229" s="12">
        <f t="shared" si="7"/>
        <v>0</v>
      </c>
      <c r="G229" s="20"/>
      <c r="H229" s="20"/>
      <c r="I229" s="9"/>
      <c r="J229" s="9"/>
      <c r="K229" s="9"/>
    </row>
    <row r="230" spans="1:11" ht="29.25" thickBot="1" x14ac:dyDescent="0.25">
      <c r="A230" s="19" t="s">
        <v>47</v>
      </c>
      <c r="B230" s="10"/>
      <c r="C230" s="14">
        <v>46382</v>
      </c>
      <c r="D230" s="11"/>
      <c r="E230" s="11"/>
      <c r="F230" s="12">
        <f t="shared" si="7"/>
        <v>0</v>
      </c>
      <c r="G230" s="20"/>
      <c r="H230" s="20"/>
      <c r="I230" s="9"/>
      <c r="J230" s="9"/>
      <c r="K230" s="9"/>
    </row>
    <row r="231" spans="1:11" ht="29.25" thickBot="1" x14ac:dyDescent="0.25">
      <c r="A231" s="19" t="s">
        <v>47</v>
      </c>
      <c r="B231" s="10"/>
      <c r="C231" s="14">
        <v>46382</v>
      </c>
      <c r="D231" s="11"/>
      <c r="E231" s="11"/>
      <c r="F231" s="12">
        <f t="shared" si="7"/>
        <v>0</v>
      </c>
      <c r="G231" s="20"/>
      <c r="H231" s="20"/>
      <c r="I231" s="9"/>
      <c r="J231" s="9"/>
      <c r="K231" s="9"/>
    </row>
    <row r="232" spans="1:11" ht="29.25" thickBot="1" x14ac:dyDescent="0.25">
      <c r="A232" s="19" t="s">
        <v>47</v>
      </c>
      <c r="B232" s="10"/>
      <c r="C232" s="14">
        <v>46382</v>
      </c>
      <c r="D232" s="11"/>
      <c r="E232" s="11"/>
      <c r="F232" s="12">
        <f t="shared" si="7"/>
        <v>0</v>
      </c>
      <c r="G232" s="20"/>
      <c r="H232" s="20"/>
      <c r="I232" s="9"/>
      <c r="J232" s="9"/>
      <c r="K232" s="9"/>
    </row>
    <row r="233" spans="1:11" ht="29.25" thickBot="1" x14ac:dyDescent="0.25">
      <c r="A233" s="19" t="s">
        <v>47</v>
      </c>
      <c r="B233" s="10"/>
      <c r="C233" s="14">
        <v>46382</v>
      </c>
      <c r="D233" s="11"/>
      <c r="E233" s="11"/>
      <c r="F233" s="12">
        <f t="shared" si="7"/>
        <v>0</v>
      </c>
      <c r="G233" s="20"/>
      <c r="H233" s="20"/>
      <c r="I233" s="9"/>
      <c r="J233" s="9"/>
      <c r="K233" s="9"/>
    </row>
    <row r="234" spans="1:11" ht="29.25" thickBot="1" x14ac:dyDescent="0.25">
      <c r="A234" s="19" t="s">
        <v>47</v>
      </c>
      <c r="B234" s="10"/>
      <c r="C234" s="14">
        <v>46382</v>
      </c>
      <c r="D234" s="11"/>
      <c r="E234" s="11"/>
      <c r="F234" s="12">
        <f t="shared" si="7"/>
        <v>0</v>
      </c>
      <c r="G234" s="20"/>
      <c r="H234" s="20"/>
      <c r="I234" s="9"/>
      <c r="J234" s="9"/>
      <c r="K234" s="9"/>
    </row>
    <row r="235" spans="1:11" ht="29.25" thickBot="1" x14ac:dyDescent="0.25">
      <c r="A235" s="19" t="s">
        <v>47</v>
      </c>
      <c r="B235" s="10"/>
      <c r="C235" s="14">
        <v>46383</v>
      </c>
      <c r="D235" s="11">
        <v>0.35416666666666669</v>
      </c>
      <c r="E235" s="11">
        <v>0.6875</v>
      </c>
      <c r="F235" s="12">
        <f>+(E235-D235)*24</f>
        <v>8</v>
      </c>
      <c r="G235" s="20" t="s">
        <v>21</v>
      </c>
      <c r="H235" s="20" t="s">
        <v>30</v>
      </c>
      <c r="I235" s="9"/>
      <c r="J235" s="9" t="s">
        <v>71</v>
      </c>
      <c r="K235" s="9"/>
    </row>
    <row r="236" spans="1:11" ht="29.25" thickBot="1" x14ac:dyDescent="0.25">
      <c r="A236" s="19" t="s">
        <v>47</v>
      </c>
      <c r="B236" s="10"/>
      <c r="C236" s="14">
        <v>46383</v>
      </c>
      <c r="D236" s="11"/>
      <c r="E236" s="11"/>
      <c r="F236" s="12">
        <f t="shared" si="6"/>
        <v>0</v>
      </c>
      <c r="G236" s="20"/>
      <c r="H236" s="20"/>
      <c r="I236" s="9"/>
      <c r="J236" s="9"/>
      <c r="K236" s="9"/>
    </row>
    <row r="237" spans="1:11" ht="29.25" thickBot="1" x14ac:dyDescent="0.25">
      <c r="A237" s="19" t="s">
        <v>47</v>
      </c>
      <c r="B237" s="10"/>
      <c r="C237" s="14">
        <v>46383</v>
      </c>
      <c r="D237" s="11"/>
      <c r="E237" s="11"/>
      <c r="F237" s="12">
        <f t="shared" si="6"/>
        <v>0</v>
      </c>
      <c r="G237" s="20"/>
      <c r="H237" s="20"/>
      <c r="I237" s="9"/>
      <c r="J237" s="9"/>
      <c r="K237" s="9"/>
    </row>
    <row r="238" spans="1:11" ht="29.25" thickBot="1" x14ac:dyDescent="0.25">
      <c r="A238" s="19" t="s">
        <v>47</v>
      </c>
      <c r="B238" s="10"/>
      <c r="C238" s="14">
        <v>46383</v>
      </c>
      <c r="D238" s="11"/>
      <c r="E238" s="11"/>
      <c r="F238" s="12">
        <f t="shared" si="6"/>
        <v>0</v>
      </c>
      <c r="G238" s="20"/>
      <c r="H238" s="20"/>
      <c r="I238" s="9"/>
      <c r="J238" s="9"/>
      <c r="K238" s="9"/>
    </row>
    <row r="239" spans="1:11" ht="29.25" thickBot="1" x14ac:dyDescent="0.25">
      <c r="A239" s="19" t="s">
        <v>47</v>
      </c>
      <c r="B239" s="10"/>
      <c r="C239" s="14">
        <v>46383</v>
      </c>
      <c r="D239" s="11"/>
      <c r="E239" s="11"/>
      <c r="F239" s="12">
        <f t="shared" si="6"/>
        <v>0</v>
      </c>
      <c r="G239" s="20"/>
      <c r="H239" s="20"/>
      <c r="I239" s="9"/>
      <c r="J239" s="9"/>
      <c r="K239" s="9"/>
    </row>
    <row r="240" spans="1:11" ht="29.25" thickBot="1" x14ac:dyDescent="0.25">
      <c r="A240" s="19" t="s">
        <v>47</v>
      </c>
      <c r="B240" s="10"/>
      <c r="C240" s="14">
        <v>46383</v>
      </c>
      <c r="D240" s="11"/>
      <c r="E240" s="11"/>
      <c r="F240" s="12">
        <f t="shared" si="6"/>
        <v>0</v>
      </c>
      <c r="G240" s="20"/>
      <c r="H240" s="20"/>
      <c r="I240" s="9"/>
      <c r="J240" s="9"/>
      <c r="K240" s="9"/>
    </row>
    <row r="241" spans="1:11" ht="29.25" thickBot="1" x14ac:dyDescent="0.25">
      <c r="A241" s="19" t="s">
        <v>47</v>
      </c>
      <c r="B241" s="10"/>
      <c r="C241" s="14">
        <v>46383</v>
      </c>
      <c r="D241" s="11"/>
      <c r="E241" s="11"/>
      <c r="F241" s="12">
        <f t="shared" si="6"/>
        <v>0</v>
      </c>
      <c r="G241" s="20"/>
      <c r="H241" s="20"/>
      <c r="I241" s="9"/>
      <c r="J241" s="9"/>
      <c r="K241" s="9"/>
    </row>
    <row r="242" spans="1:11" ht="29.25" thickBot="1" x14ac:dyDescent="0.25">
      <c r="A242" s="19" t="s">
        <v>47</v>
      </c>
      <c r="B242" s="10"/>
      <c r="C242" s="14">
        <v>46383</v>
      </c>
      <c r="D242" s="11"/>
      <c r="E242" s="11"/>
      <c r="F242" s="12">
        <f t="shared" si="6"/>
        <v>0</v>
      </c>
      <c r="G242" s="20"/>
      <c r="H242" s="20"/>
      <c r="I242" s="9"/>
      <c r="J242" s="9"/>
      <c r="K242" s="9"/>
    </row>
    <row r="243" spans="1:11" ht="29.25" thickBot="1" x14ac:dyDescent="0.25">
      <c r="A243" s="19" t="s">
        <v>47</v>
      </c>
      <c r="B243" s="10"/>
      <c r="C243" s="14">
        <v>46383</v>
      </c>
      <c r="D243" s="11"/>
      <c r="E243" s="11"/>
      <c r="F243" s="12">
        <f t="shared" si="6"/>
        <v>0</v>
      </c>
      <c r="G243" s="20"/>
      <c r="H243" s="20"/>
      <c r="I243" s="9"/>
      <c r="J243" s="9"/>
      <c r="K243" s="9"/>
    </row>
    <row r="244" spans="1:11" ht="29.25" thickBot="1" x14ac:dyDescent="0.25">
      <c r="A244" s="19" t="s">
        <v>47</v>
      </c>
      <c r="B244" s="10"/>
      <c r="C244" s="14">
        <v>46384</v>
      </c>
      <c r="D244" s="11"/>
      <c r="E244" s="11"/>
      <c r="F244" s="12">
        <f t="shared" si="6"/>
        <v>0</v>
      </c>
      <c r="G244" s="20"/>
      <c r="H244" s="20"/>
      <c r="I244" s="9"/>
      <c r="J244" s="9"/>
      <c r="K244" s="9"/>
    </row>
    <row r="245" spans="1:11" ht="29.25" thickBot="1" x14ac:dyDescent="0.25">
      <c r="A245" s="19" t="s">
        <v>47</v>
      </c>
      <c r="B245" s="10"/>
      <c r="C245" s="14">
        <v>46384</v>
      </c>
      <c r="D245" s="11"/>
      <c r="E245" s="11"/>
      <c r="F245" s="12">
        <f t="shared" si="6"/>
        <v>0</v>
      </c>
      <c r="G245" s="20"/>
      <c r="H245" s="20"/>
      <c r="I245" s="9"/>
      <c r="J245" s="9"/>
      <c r="K245" s="9"/>
    </row>
    <row r="246" spans="1:11" ht="29.25" thickBot="1" x14ac:dyDescent="0.25">
      <c r="A246" s="19" t="s">
        <v>47</v>
      </c>
      <c r="B246" s="10"/>
      <c r="C246" s="14">
        <v>46384</v>
      </c>
      <c r="D246" s="11"/>
      <c r="E246" s="11"/>
      <c r="F246" s="12">
        <f t="shared" si="6"/>
        <v>0</v>
      </c>
      <c r="G246" s="20"/>
      <c r="H246" s="20"/>
      <c r="I246" s="9"/>
      <c r="J246" s="9"/>
      <c r="K246" s="9"/>
    </row>
    <row r="247" spans="1:11" ht="29.25" thickBot="1" x14ac:dyDescent="0.25">
      <c r="A247" s="19" t="s">
        <v>47</v>
      </c>
      <c r="B247" s="10"/>
      <c r="C247" s="14">
        <v>46384</v>
      </c>
      <c r="D247" s="11"/>
      <c r="E247" s="11"/>
      <c r="F247" s="12">
        <f t="shared" si="6"/>
        <v>0</v>
      </c>
      <c r="G247" s="20"/>
      <c r="H247" s="20"/>
      <c r="I247" s="9"/>
      <c r="J247" s="9"/>
      <c r="K247" s="9"/>
    </row>
    <row r="248" spans="1:11" ht="29.25" thickBot="1" x14ac:dyDescent="0.25">
      <c r="A248" s="19" t="s">
        <v>47</v>
      </c>
      <c r="B248" s="10"/>
      <c r="C248" s="14">
        <v>46384</v>
      </c>
      <c r="D248" s="11"/>
      <c r="E248" s="11"/>
      <c r="F248" s="12">
        <f t="shared" si="6"/>
        <v>0</v>
      </c>
      <c r="G248" s="20"/>
      <c r="H248" s="20"/>
      <c r="I248" s="9"/>
      <c r="J248" s="9"/>
      <c r="K248" s="9"/>
    </row>
    <row r="249" spans="1:11" ht="29.25" thickBot="1" x14ac:dyDescent="0.25">
      <c r="A249" s="19" t="s">
        <v>47</v>
      </c>
      <c r="B249" s="10"/>
      <c r="C249" s="14">
        <v>46384</v>
      </c>
      <c r="D249" s="11"/>
      <c r="E249" s="11"/>
      <c r="F249" s="12">
        <f t="shared" si="6"/>
        <v>0</v>
      </c>
      <c r="G249" s="20"/>
      <c r="H249" s="20"/>
      <c r="I249" s="9"/>
      <c r="J249" s="9"/>
      <c r="K249" s="9"/>
    </row>
    <row r="250" spans="1:11" ht="29.25" thickBot="1" x14ac:dyDescent="0.25">
      <c r="A250" s="19" t="s">
        <v>47</v>
      </c>
      <c r="B250" s="10"/>
      <c r="C250" s="14">
        <v>46384</v>
      </c>
      <c r="D250" s="11"/>
      <c r="E250" s="11"/>
      <c r="F250" s="12">
        <f t="shared" si="6"/>
        <v>0</v>
      </c>
      <c r="G250" s="20"/>
      <c r="H250" s="20"/>
      <c r="I250" s="9"/>
      <c r="J250" s="9"/>
      <c r="K250" s="9"/>
    </row>
    <row r="251" spans="1:11" ht="29.25" thickBot="1" x14ac:dyDescent="0.25">
      <c r="A251" s="19" t="s">
        <v>47</v>
      </c>
      <c r="B251" s="10"/>
      <c r="C251" s="14">
        <v>46384</v>
      </c>
      <c r="D251" s="11"/>
      <c r="E251" s="11"/>
      <c r="F251" s="12">
        <f t="shared" si="6"/>
        <v>0</v>
      </c>
      <c r="G251" s="20"/>
      <c r="H251" s="20"/>
      <c r="I251" s="9"/>
      <c r="J251" s="9"/>
      <c r="K251" s="9"/>
    </row>
    <row r="252" spans="1:11" ht="29.25" thickBot="1" x14ac:dyDescent="0.25">
      <c r="A252" s="19" t="s">
        <v>47</v>
      </c>
      <c r="B252" s="10"/>
      <c r="C252" s="14">
        <v>46384</v>
      </c>
      <c r="D252" s="11"/>
      <c r="E252" s="11"/>
      <c r="F252" s="12">
        <f t="shared" si="6"/>
        <v>0</v>
      </c>
      <c r="G252" s="20"/>
      <c r="H252" s="20"/>
      <c r="I252" s="9"/>
      <c r="J252" s="9"/>
      <c r="K252" s="9"/>
    </row>
    <row r="253" spans="1:11" ht="29.25" thickBot="1" x14ac:dyDescent="0.25">
      <c r="A253" s="19" t="s">
        <v>47</v>
      </c>
      <c r="B253" s="10"/>
      <c r="C253" s="14">
        <v>46385</v>
      </c>
      <c r="D253" s="11"/>
      <c r="E253" s="11"/>
      <c r="F253" s="12">
        <f t="shared" si="6"/>
        <v>0</v>
      </c>
      <c r="G253" s="20"/>
      <c r="H253" s="20"/>
      <c r="I253" s="9"/>
      <c r="J253" s="9"/>
      <c r="K253" s="9"/>
    </row>
    <row r="254" spans="1:11" ht="29.25" thickBot="1" x14ac:dyDescent="0.25">
      <c r="A254" s="19" t="s">
        <v>47</v>
      </c>
      <c r="B254" s="10"/>
      <c r="C254" s="14">
        <v>46385</v>
      </c>
      <c r="D254" s="11"/>
      <c r="E254" s="11"/>
      <c r="F254" s="12">
        <f t="shared" si="6"/>
        <v>0</v>
      </c>
      <c r="G254" s="20"/>
      <c r="H254" s="20"/>
      <c r="I254" s="9"/>
      <c r="J254" s="9"/>
      <c r="K254" s="9"/>
    </row>
    <row r="255" spans="1:11" ht="29.25" thickBot="1" x14ac:dyDescent="0.25">
      <c r="A255" s="19" t="s">
        <v>47</v>
      </c>
      <c r="B255" s="10"/>
      <c r="C255" s="14">
        <v>46385</v>
      </c>
      <c r="D255" s="11"/>
      <c r="E255" s="11"/>
      <c r="F255" s="12">
        <f t="shared" si="6"/>
        <v>0</v>
      </c>
      <c r="G255" s="20"/>
      <c r="H255" s="20"/>
      <c r="I255" s="9"/>
      <c r="J255" s="9"/>
      <c r="K255" s="9"/>
    </row>
    <row r="256" spans="1:11" ht="29.25" thickBot="1" x14ac:dyDescent="0.25">
      <c r="A256" s="19" t="s">
        <v>47</v>
      </c>
      <c r="B256" s="10"/>
      <c r="C256" s="14">
        <v>46385</v>
      </c>
      <c r="D256" s="11"/>
      <c r="E256" s="11"/>
      <c r="F256" s="12">
        <f t="shared" si="6"/>
        <v>0</v>
      </c>
      <c r="G256" s="20"/>
      <c r="H256" s="20"/>
      <c r="I256" s="9"/>
      <c r="J256" s="9"/>
      <c r="K256" s="9"/>
    </row>
    <row r="257" spans="1:11" ht="29.25" thickBot="1" x14ac:dyDescent="0.25">
      <c r="A257" s="19" t="s">
        <v>47</v>
      </c>
      <c r="B257" s="10"/>
      <c r="C257" s="14">
        <v>46385</v>
      </c>
      <c r="D257" s="11"/>
      <c r="E257" s="11"/>
      <c r="F257" s="12">
        <f t="shared" si="6"/>
        <v>0</v>
      </c>
      <c r="G257" s="20"/>
      <c r="H257" s="20"/>
      <c r="I257" s="9"/>
      <c r="J257" s="9"/>
      <c r="K257" s="9"/>
    </row>
    <row r="258" spans="1:11" s="7" customFormat="1" ht="29.25" thickBot="1" x14ac:dyDescent="0.25">
      <c r="A258" s="19" t="s">
        <v>47</v>
      </c>
      <c r="B258" s="10"/>
      <c r="C258" s="14">
        <v>46385</v>
      </c>
      <c r="D258" s="11"/>
      <c r="E258" s="11"/>
      <c r="F258" s="12">
        <f t="shared" si="6"/>
        <v>0</v>
      </c>
      <c r="G258" s="20"/>
      <c r="H258" s="20"/>
      <c r="I258" s="9"/>
      <c r="J258" s="9"/>
      <c r="K258" s="9"/>
    </row>
    <row r="259" spans="1:11" s="7" customFormat="1" ht="29.25" thickBot="1" x14ac:dyDescent="0.25">
      <c r="A259" s="19" t="s">
        <v>47</v>
      </c>
      <c r="B259" s="10"/>
      <c r="C259" s="14">
        <v>46385</v>
      </c>
      <c r="D259" s="11"/>
      <c r="E259" s="11"/>
      <c r="F259" s="12">
        <f t="shared" si="6"/>
        <v>0</v>
      </c>
      <c r="G259" s="20"/>
      <c r="H259" s="20"/>
      <c r="I259" s="9"/>
      <c r="J259" s="9"/>
      <c r="K259" s="9"/>
    </row>
    <row r="260" spans="1:11" s="7" customFormat="1" ht="29.25" thickBot="1" x14ac:dyDescent="0.25">
      <c r="A260" s="19" t="s">
        <v>47</v>
      </c>
      <c r="B260" s="10"/>
      <c r="C260" s="14">
        <v>46385</v>
      </c>
      <c r="D260" s="11"/>
      <c r="E260" s="11"/>
      <c r="F260" s="12">
        <f t="shared" si="6"/>
        <v>0</v>
      </c>
      <c r="G260" s="20"/>
      <c r="H260" s="20"/>
      <c r="I260" s="9"/>
      <c r="J260" s="9"/>
      <c r="K260" s="9"/>
    </row>
    <row r="261" spans="1:11" s="7" customFormat="1" ht="29.25" thickBot="1" x14ac:dyDescent="0.25">
      <c r="A261" s="19" t="s">
        <v>47</v>
      </c>
      <c r="B261" s="10"/>
      <c r="C261" s="14">
        <v>46385</v>
      </c>
      <c r="D261" s="11"/>
      <c r="E261" s="11"/>
      <c r="F261" s="12">
        <f t="shared" si="6"/>
        <v>0</v>
      </c>
      <c r="G261" s="20"/>
      <c r="H261" s="20"/>
      <c r="I261" s="9"/>
      <c r="J261" s="9"/>
      <c r="K261" s="9"/>
    </row>
    <row r="262" spans="1:11" s="7" customFormat="1" ht="29.25" thickBot="1" x14ac:dyDescent="0.25">
      <c r="A262" s="19" t="s">
        <v>47</v>
      </c>
      <c r="B262" s="10"/>
      <c r="C262" s="14">
        <v>46386</v>
      </c>
      <c r="D262" s="11"/>
      <c r="E262" s="11"/>
      <c r="F262" s="12">
        <f t="shared" ref="F262:F298" si="8">+(E262-D262)*24</f>
        <v>0</v>
      </c>
      <c r="G262" s="20"/>
      <c r="H262" s="20"/>
      <c r="I262" s="9"/>
      <c r="J262" s="9"/>
      <c r="K262" s="9"/>
    </row>
    <row r="263" spans="1:11" s="7" customFormat="1" ht="29.25" thickBot="1" x14ac:dyDescent="0.25">
      <c r="A263" s="19" t="s">
        <v>47</v>
      </c>
      <c r="B263" s="10"/>
      <c r="C263" s="14">
        <v>46386</v>
      </c>
      <c r="D263" s="11"/>
      <c r="E263" s="11"/>
      <c r="F263" s="12">
        <f t="shared" si="8"/>
        <v>0</v>
      </c>
      <c r="G263" s="20"/>
      <c r="H263" s="20"/>
      <c r="I263" s="9"/>
      <c r="J263" s="9"/>
      <c r="K263" s="9"/>
    </row>
    <row r="264" spans="1:11" s="7" customFormat="1" ht="29.25" thickBot="1" x14ac:dyDescent="0.25">
      <c r="A264" s="19" t="s">
        <v>47</v>
      </c>
      <c r="B264" s="10"/>
      <c r="C264" s="14">
        <v>46386</v>
      </c>
      <c r="D264" s="11"/>
      <c r="E264" s="11"/>
      <c r="F264" s="12">
        <f t="shared" si="8"/>
        <v>0</v>
      </c>
      <c r="G264" s="20"/>
      <c r="H264" s="20"/>
      <c r="I264" s="9"/>
      <c r="J264" s="9"/>
      <c r="K264" s="9"/>
    </row>
    <row r="265" spans="1:11" s="7" customFormat="1" ht="29.25" thickBot="1" x14ac:dyDescent="0.25">
      <c r="A265" s="19" t="s">
        <v>47</v>
      </c>
      <c r="B265" s="10"/>
      <c r="C265" s="14">
        <v>46386</v>
      </c>
      <c r="D265" s="11"/>
      <c r="E265" s="11"/>
      <c r="F265" s="12">
        <f t="shared" si="8"/>
        <v>0</v>
      </c>
      <c r="G265" s="20"/>
      <c r="H265" s="20"/>
      <c r="I265" s="9"/>
      <c r="J265" s="9"/>
      <c r="K265" s="9"/>
    </row>
    <row r="266" spans="1:11" s="7" customFormat="1" ht="29.25" thickBot="1" x14ac:dyDescent="0.25">
      <c r="A266" s="19" t="s">
        <v>47</v>
      </c>
      <c r="B266" s="10"/>
      <c r="C266" s="14">
        <v>46386</v>
      </c>
      <c r="D266" s="11"/>
      <c r="E266" s="11"/>
      <c r="F266" s="12">
        <f t="shared" si="8"/>
        <v>0</v>
      </c>
      <c r="G266" s="20"/>
      <c r="H266" s="20"/>
      <c r="I266" s="9"/>
      <c r="J266" s="9"/>
      <c r="K266" s="9"/>
    </row>
    <row r="267" spans="1:11" s="7" customFormat="1" ht="29.25" thickBot="1" x14ac:dyDescent="0.25">
      <c r="A267" s="19" t="s">
        <v>47</v>
      </c>
      <c r="B267" s="10"/>
      <c r="C267" s="14">
        <v>46386</v>
      </c>
      <c r="D267" s="11"/>
      <c r="E267" s="11"/>
      <c r="F267" s="12">
        <f t="shared" si="8"/>
        <v>0</v>
      </c>
      <c r="G267" s="20"/>
      <c r="H267" s="20"/>
      <c r="I267" s="9"/>
      <c r="J267" s="9"/>
      <c r="K267" s="9"/>
    </row>
    <row r="268" spans="1:11" s="7" customFormat="1" ht="29.25" thickBot="1" x14ac:dyDescent="0.25">
      <c r="A268" s="19" t="s">
        <v>47</v>
      </c>
      <c r="B268" s="10"/>
      <c r="C268" s="14">
        <v>46386</v>
      </c>
      <c r="D268" s="11"/>
      <c r="E268" s="11"/>
      <c r="F268" s="12">
        <f t="shared" si="8"/>
        <v>0</v>
      </c>
      <c r="G268" s="20"/>
      <c r="H268" s="20"/>
      <c r="I268" s="9"/>
      <c r="J268" s="9"/>
      <c r="K268" s="9"/>
    </row>
    <row r="269" spans="1:11" s="7" customFormat="1" ht="29.25" thickBot="1" x14ac:dyDescent="0.25">
      <c r="A269" s="19" t="s">
        <v>47</v>
      </c>
      <c r="B269" s="10"/>
      <c r="C269" s="14">
        <v>46386</v>
      </c>
      <c r="D269" s="11"/>
      <c r="E269" s="11"/>
      <c r="F269" s="12">
        <f t="shared" si="8"/>
        <v>0</v>
      </c>
      <c r="G269" s="20"/>
      <c r="H269" s="20"/>
      <c r="I269" s="9"/>
      <c r="J269" s="9"/>
      <c r="K269" s="9"/>
    </row>
    <row r="270" spans="1:11" s="7" customFormat="1" ht="29.25" thickBot="1" x14ac:dyDescent="0.25">
      <c r="A270" s="19" t="s">
        <v>47</v>
      </c>
      <c r="B270" s="10"/>
      <c r="C270" s="14">
        <v>46386</v>
      </c>
      <c r="D270" s="11"/>
      <c r="E270" s="11"/>
      <c r="F270" s="12">
        <f t="shared" si="8"/>
        <v>0</v>
      </c>
      <c r="G270" s="20"/>
      <c r="H270" s="20"/>
      <c r="I270" s="9"/>
      <c r="J270" s="9"/>
      <c r="K270" s="9"/>
    </row>
    <row r="271" spans="1:11" s="7" customFormat="1" ht="29.25" thickBot="1" x14ac:dyDescent="0.25">
      <c r="A271" s="19" t="s">
        <v>47</v>
      </c>
      <c r="B271" s="10"/>
      <c r="C271" s="14">
        <v>46387</v>
      </c>
      <c r="D271" s="11">
        <v>0.52083333333333337</v>
      </c>
      <c r="E271" s="11">
        <v>0.6875</v>
      </c>
      <c r="F271" s="12">
        <f>+(E271-D271)*24</f>
        <v>3.9999999999999991</v>
      </c>
      <c r="G271" s="20" t="s">
        <v>21</v>
      </c>
      <c r="H271" s="20" t="s">
        <v>30</v>
      </c>
      <c r="I271" s="9"/>
      <c r="J271" s="9" t="s">
        <v>87</v>
      </c>
      <c r="K271" s="9"/>
    </row>
    <row r="272" spans="1:11" s="7" customFormat="1" ht="29.25" thickBot="1" x14ac:dyDescent="0.25">
      <c r="A272" s="19" t="s">
        <v>47</v>
      </c>
      <c r="B272" s="10"/>
      <c r="C272" s="14">
        <v>46387</v>
      </c>
      <c r="D272" s="11"/>
      <c r="E272" s="11"/>
      <c r="F272" s="12">
        <f t="shared" si="8"/>
        <v>0</v>
      </c>
      <c r="G272" s="20"/>
      <c r="H272" s="20"/>
      <c r="I272" s="9"/>
      <c r="J272" s="9"/>
      <c r="K272" s="9"/>
    </row>
    <row r="273" spans="1:11" s="7" customFormat="1" ht="29.25" thickBot="1" x14ac:dyDescent="0.25">
      <c r="A273" s="19" t="s">
        <v>47</v>
      </c>
      <c r="B273" s="10"/>
      <c r="C273" s="14">
        <v>46387</v>
      </c>
      <c r="D273" s="11"/>
      <c r="E273" s="11"/>
      <c r="F273" s="12">
        <f t="shared" si="8"/>
        <v>0</v>
      </c>
      <c r="G273" s="20"/>
      <c r="H273" s="20"/>
      <c r="I273" s="9"/>
      <c r="J273" s="9"/>
      <c r="K273" s="9"/>
    </row>
    <row r="274" spans="1:11" s="7" customFormat="1" ht="29.25" thickBot="1" x14ac:dyDescent="0.25">
      <c r="A274" s="19" t="s">
        <v>47</v>
      </c>
      <c r="B274" s="10"/>
      <c r="C274" s="14">
        <v>46387</v>
      </c>
      <c r="D274" s="11"/>
      <c r="E274" s="11"/>
      <c r="F274" s="12">
        <f t="shared" si="8"/>
        <v>0</v>
      </c>
      <c r="G274" s="20"/>
      <c r="H274" s="20"/>
      <c r="I274" s="9"/>
      <c r="J274" s="9"/>
      <c r="K274" s="9"/>
    </row>
    <row r="275" spans="1:11" s="7" customFormat="1" ht="29.25" thickBot="1" x14ac:dyDescent="0.25">
      <c r="A275" s="19" t="s">
        <v>47</v>
      </c>
      <c r="B275" s="10"/>
      <c r="C275" s="14">
        <v>46387</v>
      </c>
      <c r="D275" s="11"/>
      <c r="E275" s="11"/>
      <c r="F275" s="12">
        <f t="shared" si="8"/>
        <v>0</v>
      </c>
      <c r="G275" s="20"/>
      <c r="H275" s="20"/>
      <c r="I275" s="9"/>
      <c r="J275" s="9"/>
      <c r="K275" s="9"/>
    </row>
    <row r="276" spans="1:11" s="7" customFormat="1" ht="29.25" thickBot="1" x14ac:dyDescent="0.25">
      <c r="A276" s="19" t="s">
        <v>47</v>
      </c>
      <c r="B276" s="10"/>
      <c r="C276" s="14">
        <v>46387</v>
      </c>
      <c r="D276" s="11"/>
      <c r="E276" s="11"/>
      <c r="F276" s="12">
        <f t="shared" si="8"/>
        <v>0</v>
      </c>
      <c r="G276" s="20"/>
      <c r="H276" s="20"/>
      <c r="I276" s="9"/>
      <c r="J276" s="9"/>
      <c r="K276" s="9"/>
    </row>
    <row r="277" spans="1:11" s="7" customFormat="1" ht="29.25" thickBot="1" x14ac:dyDescent="0.25">
      <c r="A277" s="19" t="s">
        <v>47</v>
      </c>
      <c r="B277" s="10"/>
      <c r="C277" s="14">
        <v>46387</v>
      </c>
      <c r="D277" s="11"/>
      <c r="E277" s="11"/>
      <c r="F277" s="12">
        <f t="shared" si="8"/>
        <v>0</v>
      </c>
      <c r="G277" s="20"/>
      <c r="H277" s="20"/>
      <c r="I277" s="9"/>
      <c r="J277" s="9"/>
      <c r="K277" s="9"/>
    </row>
    <row r="278" spans="1:11" s="7" customFormat="1" ht="29.25" thickBot="1" x14ac:dyDescent="0.25">
      <c r="A278" s="19" t="s">
        <v>47</v>
      </c>
      <c r="B278" s="10"/>
      <c r="C278" s="14">
        <v>46387</v>
      </c>
      <c r="D278" s="11"/>
      <c r="E278" s="11"/>
      <c r="F278" s="12">
        <f t="shared" si="8"/>
        <v>0</v>
      </c>
      <c r="G278" s="20"/>
      <c r="H278" s="20"/>
      <c r="I278" s="9"/>
      <c r="J278" s="9"/>
      <c r="K278" s="9"/>
    </row>
    <row r="279" spans="1:11" s="7" customFormat="1" ht="29.25" thickBot="1" x14ac:dyDescent="0.25">
      <c r="A279" s="19" t="s">
        <v>47</v>
      </c>
      <c r="B279" s="10"/>
      <c r="C279" s="14">
        <v>46387</v>
      </c>
      <c r="D279" s="11"/>
      <c r="E279" s="11"/>
      <c r="F279" s="12">
        <f t="shared" si="8"/>
        <v>0</v>
      </c>
      <c r="G279" s="20"/>
      <c r="H279" s="20"/>
      <c r="I279" s="9"/>
      <c r="J279" s="9"/>
      <c r="K279" s="9"/>
    </row>
    <row r="280" spans="1:11" s="7" customFormat="1" ht="29.25" thickBot="1" x14ac:dyDescent="0.25">
      <c r="A280" s="19" t="s">
        <v>47</v>
      </c>
      <c r="B280" s="10"/>
      <c r="C280" s="14"/>
      <c r="D280" s="11"/>
      <c r="E280" s="11"/>
      <c r="F280" s="12">
        <f t="shared" si="8"/>
        <v>0</v>
      </c>
      <c r="G280" s="20"/>
      <c r="H280" s="20"/>
      <c r="I280" s="9"/>
      <c r="J280" s="9"/>
      <c r="K280" s="9"/>
    </row>
    <row r="281" spans="1:11" s="7" customFormat="1" ht="29.25" thickBot="1" x14ac:dyDescent="0.25">
      <c r="A281" s="19" t="s">
        <v>47</v>
      </c>
      <c r="B281" s="10"/>
      <c r="C281" s="14"/>
      <c r="D281" s="11"/>
      <c r="E281" s="11"/>
      <c r="F281" s="12">
        <f t="shared" si="8"/>
        <v>0</v>
      </c>
      <c r="G281" s="20"/>
      <c r="H281" s="20"/>
      <c r="I281" s="9"/>
      <c r="J281" s="9"/>
      <c r="K281" s="9"/>
    </row>
    <row r="282" spans="1:11" s="7" customFormat="1" ht="29.25" thickBot="1" x14ac:dyDescent="0.25">
      <c r="A282" s="19" t="s">
        <v>47</v>
      </c>
      <c r="B282" s="10"/>
      <c r="C282" s="14"/>
      <c r="D282" s="11"/>
      <c r="E282" s="11"/>
      <c r="F282" s="12">
        <f t="shared" si="8"/>
        <v>0</v>
      </c>
      <c r="G282" s="20"/>
      <c r="H282" s="20"/>
      <c r="I282" s="9"/>
      <c r="J282" s="9"/>
      <c r="K282" s="9"/>
    </row>
    <row r="283" spans="1:11" s="7" customFormat="1" ht="29.25" thickBot="1" x14ac:dyDescent="0.25">
      <c r="A283" s="19" t="s">
        <v>47</v>
      </c>
      <c r="B283" s="10"/>
      <c r="C283" s="14"/>
      <c r="D283" s="11"/>
      <c r="E283" s="11"/>
      <c r="F283" s="12">
        <f t="shared" si="8"/>
        <v>0</v>
      </c>
      <c r="G283" s="20"/>
      <c r="H283" s="20"/>
      <c r="I283" s="9"/>
      <c r="J283" s="9"/>
      <c r="K283" s="9"/>
    </row>
    <row r="284" spans="1:11" s="7" customFormat="1" ht="29.25" thickBot="1" x14ac:dyDescent="0.25">
      <c r="A284" s="19" t="s">
        <v>47</v>
      </c>
      <c r="B284" s="10"/>
      <c r="C284" s="14"/>
      <c r="D284" s="11"/>
      <c r="E284" s="11"/>
      <c r="F284" s="12">
        <f t="shared" si="8"/>
        <v>0</v>
      </c>
      <c r="G284" s="20"/>
      <c r="H284" s="20"/>
      <c r="I284" s="9"/>
      <c r="J284" s="9"/>
      <c r="K284" s="9"/>
    </row>
    <row r="285" spans="1:11" s="7" customFormat="1" ht="29.25" thickBot="1" x14ac:dyDescent="0.25">
      <c r="A285" s="19" t="s">
        <v>47</v>
      </c>
      <c r="B285" s="10"/>
      <c r="C285" s="14"/>
      <c r="D285" s="11"/>
      <c r="E285" s="11"/>
      <c r="F285" s="12">
        <f t="shared" si="8"/>
        <v>0</v>
      </c>
      <c r="G285" s="20"/>
      <c r="H285" s="20"/>
      <c r="I285" s="9"/>
      <c r="J285" s="9"/>
      <c r="K285" s="9"/>
    </row>
    <row r="286" spans="1:11" s="7" customFormat="1" ht="29.25" thickBot="1" x14ac:dyDescent="0.25">
      <c r="A286" s="19" t="s">
        <v>47</v>
      </c>
      <c r="B286" s="10"/>
      <c r="C286" s="14"/>
      <c r="D286" s="11"/>
      <c r="E286" s="11"/>
      <c r="F286" s="12">
        <f t="shared" si="8"/>
        <v>0</v>
      </c>
      <c r="G286" s="20"/>
      <c r="H286" s="20"/>
      <c r="I286" s="9"/>
      <c r="J286" s="9"/>
      <c r="K286" s="9"/>
    </row>
    <row r="287" spans="1:11" s="7" customFormat="1" ht="29.25" thickBot="1" x14ac:dyDescent="0.25">
      <c r="A287" s="19" t="s">
        <v>47</v>
      </c>
      <c r="B287" s="10"/>
      <c r="C287" s="14"/>
      <c r="D287" s="11"/>
      <c r="E287" s="11"/>
      <c r="F287" s="12">
        <f t="shared" si="8"/>
        <v>0</v>
      </c>
      <c r="G287" s="20"/>
      <c r="H287" s="20"/>
      <c r="I287" s="9"/>
      <c r="J287" s="9"/>
      <c r="K287" s="9"/>
    </row>
    <row r="288" spans="1:11" s="7" customFormat="1" ht="29.25" thickBot="1" x14ac:dyDescent="0.25">
      <c r="A288" s="19" t="s">
        <v>47</v>
      </c>
      <c r="B288" s="10"/>
      <c r="C288" s="14"/>
      <c r="D288" s="11"/>
      <c r="E288" s="11"/>
      <c r="F288" s="12">
        <f t="shared" si="8"/>
        <v>0</v>
      </c>
      <c r="G288" s="20"/>
      <c r="H288" s="20"/>
      <c r="I288" s="9"/>
      <c r="J288" s="9"/>
      <c r="K288" s="9"/>
    </row>
    <row r="289" spans="1:11" s="7" customFormat="1" ht="29.25" thickBot="1" x14ac:dyDescent="0.25">
      <c r="A289" s="19" t="s">
        <v>47</v>
      </c>
      <c r="B289" s="10"/>
      <c r="C289" s="14"/>
      <c r="D289" s="11"/>
      <c r="E289" s="11"/>
      <c r="F289" s="12">
        <f t="shared" si="8"/>
        <v>0</v>
      </c>
      <c r="G289" s="20"/>
      <c r="H289" s="20"/>
      <c r="I289" s="9"/>
      <c r="J289" s="9"/>
      <c r="K289" s="9"/>
    </row>
    <row r="290" spans="1:11" s="7" customFormat="1" ht="29.25" thickBot="1" x14ac:dyDescent="0.25">
      <c r="A290" s="19" t="s">
        <v>47</v>
      </c>
      <c r="B290" s="10"/>
      <c r="C290" s="14"/>
      <c r="D290" s="11"/>
      <c r="E290" s="11"/>
      <c r="F290" s="12">
        <f t="shared" si="8"/>
        <v>0</v>
      </c>
      <c r="G290" s="20"/>
      <c r="H290" s="20"/>
      <c r="I290" s="9"/>
      <c r="J290" s="9"/>
      <c r="K290" s="9"/>
    </row>
    <row r="291" spans="1:11" s="7" customFormat="1" ht="29.25" thickBot="1" x14ac:dyDescent="0.25">
      <c r="A291" s="19" t="s">
        <v>47</v>
      </c>
      <c r="B291" s="10"/>
      <c r="C291" s="14"/>
      <c r="D291" s="11"/>
      <c r="E291" s="11"/>
      <c r="F291" s="12">
        <f t="shared" si="8"/>
        <v>0</v>
      </c>
      <c r="G291" s="20"/>
      <c r="H291" s="20"/>
      <c r="I291" s="9"/>
      <c r="J291" s="9"/>
      <c r="K291" s="9"/>
    </row>
    <row r="292" spans="1:11" s="7" customFormat="1" ht="29.25" thickBot="1" x14ac:dyDescent="0.25">
      <c r="A292" s="19" t="s">
        <v>47</v>
      </c>
      <c r="B292" s="10"/>
      <c r="C292" s="14"/>
      <c r="D292" s="11"/>
      <c r="E292" s="11"/>
      <c r="F292" s="12">
        <f t="shared" si="8"/>
        <v>0</v>
      </c>
      <c r="G292" s="20"/>
      <c r="H292" s="20"/>
      <c r="I292" s="9"/>
      <c r="J292" s="9"/>
      <c r="K292" s="9"/>
    </row>
    <row r="293" spans="1:11" s="7" customFormat="1" ht="29.25" thickBot="1" x14ac:dyDescent="0.25">
      <c r="A293" s="19" t="s">
        <v>47</v>
      </c>
      <c r="B293" s="10"/>
      <c r="C293" s="14"/>
      <c r="D293" s="11"/>
      <c r="E293" s="11"/>
      <c r="F293" s="12">
        <f t="shared" si="8"/>
        <v>0</v>
      </c>
      <c r="G293" s="20"/>
      <c r="H293" s="20"/>
      <c r="I293" s="9"/>
      <c r="J293" s="9"/>
      <c r="K293" s="9"/>
    </row>
    <row r="294" spans="1:11" s="7" customFormat="1" ht="29.25" thickBot="1" x14ac:dyDescent="0.25">
      <c r="A294" s="19" t="s">
        <v>47</v>
      </c>
      <c r="B294" s="10"/>
      <c r="C294" s="14"/>
      <c r="D294" s="11"/>
      <c r="E294" s="11"/>
      <c r="F294" s="12">
        <f t="shared" si="8"/>
        <v>0</v>
      </c>
      <c r="G294" s="20"/>
      <c r="H294" s="20"/>
      <c r="I294" s="9"/>
      <c r="J294" s="9"/>
      <c r="K294" s="9"/>
    </row>
    <row r="295" spans="1:11" s="7" customFormat="1" ht="29.25" thickBot="1" x14ac:dyDescent="0.25">
      <c r="A295" s="19" t="s">
        <v>47</v>
      </c>
      <c r="B295" s="10"/>
      <c r="C295" s="14"/>
      <c r="D295" s="11"/>
      <c r="E295" s="11"/>
      <c r="F295" s="12">
        <f t="shared" si="8"/>
        <v>0</v>
      </c>
      <c r="G295" s="20"/>
      <c r="H295" s="20"/>
      <c r="I295" s="9"/>
      <c r="J295" s="9"/>
      <c r="K295" s="9"/>
    </row>
    <row r="296" spans="1:11" s="7" customFormat="1" ht="29.25" thickBot="1" x14ac:dyDescent="0.25">
      <c r="A296" s="19" t="s">
        <v>47</v>
      </c>
      <c r="B296" s="10"/>
      <c r="C296" s="14"/>
      <c r="D296" s="11"/>
      <c r="E296" s="11"/>
      <c r="F296" s="12">
        <f t="shared" si="8"/>
        <v>0</v>
      </c>
      <c r="G296" s="20"/>
      <c r="H296" s="20"/>
      <c r="I296" s="9"/>
      <c r="J296" s="9"/>
      <c r="K296" s="9"/>
    </row>
    <row r="297" spans="1:11" s="7" customFormat="1" ht="29.25" thickBot="1" x14ac:dyDescent="0.25">
      <c r="A297" s="19" t="s">
        <v>47</v>
      </c>
      <c r="B297" s="10"/>
      <c r="C297" s="14"/>
      <c r="D297" s="11"/>
      <c r="E297" s="11"/>
      <c r="F297" s="12">
        <f t="shared" si="8"/>
        <v>0</v>
      </c>
      <c r="G297" s="20"/>
      <c r="H297" s="20"/>
      <c r="I297" s="9"/>
      <c r="J297" s="9"/>
      <c r="K297" s="9"/>
    </row>
    <row r="298" spans="1:11" s="7" customFormat="1" ht="29.25" thickBot="1" x14ac:dyDescent="0.25">
      <c r="A298" s="19" t="s">
        <v>47</v>
      </c>
      <c r="B298" s="10"/>
      <c r="C298" s="14"/>
      <c r="D298" s="11"/>
      <c r="E298" s="11"/>
      <c r="F298" s="12">
        <f t="shared" si="8"/>
        <v>0</v>
      </c>
      <c r="G298" s="20"/>
      <c r="H298" s="20"/>
      <c r="I298" s="9"/>
      <c r="J298" s="9"/>
      <c r="K298" s="9"/>
    </row>
    <row r="299" spans="1:11" s="7" customFormat="1" ht="15" thickBot="1" x14ac:dyDescent="0.25">
      <c r="A299" s="19"/>
      <c r="B299" s="10"/>
      <c r="C299" s="14"/>
      <c r="D299" s="11"/>
      <c r="E299" s="11"/>
      <c r="F299" s="12"/>
      <c r="G299" s="9"/>
      <c r="H299" s="20"/>
      <c r="I299" s="9"/>
      <c r="J299" s="9"/>
      <c r="K299" s="9"/>
    </row>
    <row r="300" spans="1:11" s="7" customFormat="1" ht="15" thickBot="1" x14ac:dyDescent="0.25">
      <c r="A300" s="9"/>
      <c r="B300" s="9"/>
      <c r="C300" s="9"/>
      <c r="D300" s="9"/>
      <c r="E300" s="9"/>
      <c r="F300" s="9">
        <f>SUBTOTAL(9,$F$2:$F$299)</f>
        <v>80</v>
      </c>
      <c r="G300" s="9" t="s">
        <v>11</v>
      </c>
      <c r="H300" s="9"/>
      <c r="I300" s="9"/>
      <c r="J300" s="9"/>
      <c r="K300" s="9"/>
    </row>
    <row r="301" spans="1:11" s="7" customFormat="1" ht="15" thickBot="1" x14ac:dyDescent="0.25">
      <c r="A301" s="9"/>
      <c r="B301" s="9"/>
      <c r="C301" s="9"/>
      <c r="D301" s="9"/>
      <c r="E301" s="9"/>
      <c r="F301" s="9">
        <v>0</v>
      </c>
      <c r="G301" s="9" t="s">
        <v>19</v>
      </c>
      <c r="H301" s="9"/>
      <c r="I301" s="9"/>
      <c r="J301" s="9"/>
      <c r="K301" s="9"/>
    </row>
    <row r="302" spans="1:11" s="7" customFormat="1" ht="15" thickBot="1" x14ac:dyDescent="0.25">
      <c r="A302" s="9"/>
      <c r="B302" s="9"/>
      <c r="C302" s="9"/>
      <c r="D302" s="9"/>
      <c r="E302" s="9"/>
      <c r="F302" s="9">
        <v>0</v>
      </c>
      <c r="G302" s="9" t="s">
        <v>20</v>
      </c>
      <c r="H302" s="9"/>
      <c r="I302" s="9"/>
      <c r="J302" s="9"/>
      <c r="K302" s="9"/>
    </row>
    <row r="303" spans="1:11" s="7" customFormat="1" ht="15" thickBot="1" x14ac:dyDescent="0.25">
      <c r="A303" s="9"/>
      <c r="B303" s="9"/>
      <c r="C303" s="9"/>
      <c r="D303" s="9"/>
      <c r="E303" s="9"/>
      <c r="F303" s="9">
        <v>0</v>
      </c>
      <c r="G303" s="9" t="s">
        <v>22</v>
      </c>
      <c r="H303" s="9"/>
      <c r="I303" s="9"/>
      <c r="J303" s="9"/>
      <c r="K303" s="9"/>
    </row>
    <row r="304" spans="1:11" s="7" customFormat="1" ht="15" thickBot="1" x14ac:dyDescent="0.25">
      <c r="A304" s="9"/>
      <c r="B304" s="9"/>
      <c r="C304" s="9"/>
      <c r="D304" s="9"/>
      <c r="E304" s="9"/>
      <c r="F304" s="9">
        <v>0</v>
      </c>
      <c r="G304" s="9" t="s">
        <v>45</v>
      </c>
      <c r="H304" s="9"/>
      <c r="I304" s="9"/>
      <c r="J304" s="9"/>
      <c r="K304" s="9"/>
    </row>
    <row r="305" spans="1:11" s="7" customFormat="1" ht="15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s="7" customFormat="1" ht="15" thickBot="1" x14ac:dyDescent="0.25">
      <c r="A306" s="9"/>
      <c r="B306" s="9"/>
      <c r="C306" s="9"/>
      <c r="D306" s="9"/>
      <c r="E306" s="9"/>
      <c r="F306" s="9">
        <f>SUBTOTAL(9,F301:F304)</f>
        <v>0</v>
      </c>
      <c r="G306" s="9" t="s">
        <v>12</v>
      </c>
      <c r="H306" s="9"/>
      <c r="I306" s="9"/>
      <c r="J306" s="9"/>
      <c r="K306" s="9"/>
    </row>
    <row r="307" spans="1:11" s="7" customFormat="1" ht="15" thickBot="1" x14ac:dyDescent="0.25">
      <c r="A307" s="9"/>
      <c r="B307" s="9"/>
      <c r="C307" s="9"/>
      <c r="D307" s="9"/>
      <c r="E307" s="9"/>
      <c r="F307" s="9">
        <f>F306/8</f>
        <v>0</v>
      </c>
      <c r="G307" s="9" t="s">
        <v>13</v>
      </c>
      <c r="H307" s="9"/>
      <c r="I307" s="9"/>
      <c r="J307" s="9"/>
      <c r="K307" s="9"/>
    </row>
    <row r="308" spans="1:11" s="7" customFormat="1" ht="15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s="7" customFormat="1" ht="15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s="7" customFormat="1" ht="15" thickBot="1" x14ac:dyDescent="0.25">
      <c r="A310" s="9"/>
      <c r="B310" s="9"/>
      <c r="C310" s="9"/>
      <c r="D310" s="9"/>
      <c r="E310" s="9"/>
      <c r="F310" s="9">
        <v>0</v>
      </c>
      <c r="G310" s="9" t="s">
        <v>74</v>
      </c>
      <c r="H310" s="9"/>
      <c r="I310" s="9"/>
      <c r="J310" s="9"/>
      <c r="K310" s="9"/>
    </row>
    <row r="311" spans="1:11" s="7" customFormat="1" ht="15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s="7" customFormat="1" ht="15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s="7" customFormat="1" ht="15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s="7" customFormat="1" ht="15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s="7" customFormat="1" ht="15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s="7" customFormat="1" ht="15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s="7" customFormat="1" ht="15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s="7" customFormat="1" ht="15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s="7" customFormat="1" ht="15" thickBo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s="7" customFormat="1" ht="15" thickBo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s="7" customFormat="1" ht="15" thickBo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s="7" customFormat="1" ht="15" thickBo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s="7" customFormat="1" ht="15" thickBo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s="7" customFormat="1" ht="15" thickBo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s="7" customFormat="1" ht="15" thickBo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s="7" customFormat="1" ht="15" thickBo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s="7" customFormat="1" ht="15" thickBo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s="7" customFormat="1" ht="15" thickBo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s="7" customFormat="1" ht="15" thickBo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s="7" customFormat="1" ht="15" thickBo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s="7" customFormat="1" ht="15" thickBo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s="7" customFormat="1" ht="15" thickBo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s="7" customFormat="1" ht="15" thickBo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s="7" customFormat="1" ht="15" thickBo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s="7" customFormat="1" ht="15" thickBo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s="7" customFormat="1" ht="15" thickBo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s="7" customFormat="1" ht="15" thickBo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s="7" customFormat="1" ht="15" thickBo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s="7" customFormat="1" ht="15" thickBo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s="7" customFormat="1" ht="15" thickBo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s="7" customFormat="1" ht="15" thickBo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s="7" customFormat="1" ht="15" thickBo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s="7" customFormat="1" ht="15" thickBo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s="7" customFormat="1" ht="15" thickBo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s="7" customFormat="1" ht="15" thickBo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s="7" customFormat="1" ht="15" thickBo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s="7" customFormat="1" ht="15" thickBo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s="7" customFormat="1" ht="15" thickBo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s="7" customFormat="1" ht="15" thickBo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s="7" customFormat="1" ht="15" thickBo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s="7" customFormat="1" x14ac:dyDescent="0.2">
      <c r="B351" s="5"/>
      <c r="C351" s="5"/>
      <c r="D351" s="5"/>
      <c r="E351" s="5"/>
      <c r="F351" s="5"/>
      <c r="I351" s="5"/>
      <c r="J351" s="5"/>
    </row>
    <row r="352" spans="1:11" s="7" customFormat="1" x14ac:dyDescent="0.2">
      <c r="B352" s="5"/>
      <c r="C352" s="5"/>
      <c r="D352" s="5"/>
      <c r="E352" s="5"/>
      <c r="F352" s="5"/>
      <c r="I352" s="5"/>
      <c r="J352" s="5"/>
    </row>
    <row r="353" spans="2:10" s="7" customFormat="1" x14ac:dyDescent="0.2">
      <c r="B353" s="5"/>
      <c r="C353" s="5"/>
      <c r="D353" s="5"/>
      <c r="E353" s="5"/>
      <c r="F353" s="5"/>
      <c r="I353" s="5"/>
      <c r="J353" s="5"/>
    </row>
    <row r="354" spans="2:10" s="7" customFormat="1" x14ac:dyDescent="0.2">
      <c r="B354" s="5"/>
      <c r="C354" s="5"/>
      <c r="D354" s="5"/>
      <c r="E354" s="5"/>
      <c r="F354" s="5"/>
      <c r="I354" s="5"/>
      <c r="J354" s="5"/>
    </row>
    <row r="355" spans="2:10" s="7" customFormat="1" x14ac:dyDescent="0.2">
      <c r="B355" s="5"/>
      <c r="C355" s="5"/>
      <c r="D355" s="5"/>
      <c r="E355" s="5"/>
      <c r="F355" s="5"/>
      <c r="I355" s="5"/>
      <c r="J355" s="5"/>
    </row>
    <row r="356" spans="2:10" s="7" customFormat="1" x14ac:dyDescent="0.2">
      <c r="B356" s="5"/>
      <c r="C356" s="5"/>
      <c r="D356" s="5"/>
      <c r="E356" s="5"/>
      <c r="F356" s="5"/>
      <c r="I356" s="5"/>
      <c r="J356" s="5"/>
    </row>
    <row r="357" spans="2:10" s="7" customFormat="1" x14ac:dyDescent="0.2">
      <c r="B357" s="5"/>
      <c r="C357" s="5"/>
      <c r="D357" s="5"/>
      <c r="E357" s="5"/>
      <c r="F357" s="5"/>
      <c r="I357" s="5"/>
      <c r="J357" s="5"/>
    </row>
    <row r="358" spans="2:10" s="7" customFormat="1" x14ac:dyDescent="0.2">
      <c r="B358" s="5"/>
      <c r="C358" s="5"/>
      <c r="D358" s="5"/>
      <c r="E358" s="5"/>
      <c r="F358" s="5"/>
      <c r="I358" s="5"/>
      <c r="J358" s="5"/>
    </row>
    <row r="359" spans="2:10" s="7" customFormat="1" x14ac:dyDescent="0.2">
      <c r="B359" s="5"/>
      <c r="C359" s="5"/>
      <c r="D359" s="5"/>
      <c r="E359" s="5"/>
      <c r="F359" s="5"/>
      <c r="I359" s="5"/>
      <c r="J359" s="5"/>
    </row>
    <row r="360" spans="2:10" s="7" customFormat="1" x14ac:dyDescent="0.2">
      <c r="B360" s="5"/>
      <c r="C360" s="5"/>
      <c r="D360" s="5"/>
      <c r="E360" s="5"/>
      <c r="F360" s="5"/>
      <c r="I360" s="5"/>
      <c r="J360" s="5"/>
    </row>
    <row r="361" spans="2:10" s="7" customFormat="1" x14ac:dyDescent="0.2">
      <c r="B361" s="5"/>
      <c r="C361" s="5"/>
      <c r="D361" s="5"/>
      <c r="E361" s="5"/>
      <c r="F361" s="5"/>
      <c r="I361" s="5"/>
      <c r="J361" s="5"/>
    </row>
    <row r="362" spans="2:10" s="7" customFormat="1" x14ac:dyDescent="0.2">
      <c r="B362" s="5"/>
      <c r="C362" s="5"/>
      <c r="D362" s="5"/>
      <c r="E362" s="5"/>
      <c r="F362" s="5"/>
      <c r="I362" s="5"/>
      <c r="J362" s="5"/>
    </row>
    <row r="363" spans="2:10" s="7" customFormat="1" x14ac:dyDescent="0.2">
      <c r="B363" s="5"/>
      <c r="C363" s="5"/>
      <c r="D363" s="5"/>
      <c r="E363" s="5"/>
      <c r="F363" s="5"/>
      <c r="I363" s="5"/>
      <c r="J363" s="5"/>
    </row>
    <row r="364" spans="2:10" s="7" customFormat="1" x14ac:dyDescent="0.2">
      <c r="B364" s="5"/>
      <c r="C364" s="5"/>
      <c r="D364" s="5"/>
      <c r="E364" s="5"/>
      <c r="F364" s="5"/>
      <c r="I364" s="5"/>
      <c r="J364" s="5"/>
    </row>
    <row r="365" spans="2:10" s="7" customFormat="1" x14ac:dyDescent="0.2">
      <c r="B365" s="5"/>
      <c r="C365" s="5"/>
      <c r="D365" s="5"/>
      <c r="E365" s="5"/>
      <c r="F365" s="5"/>
      <c r="I365" s="5"/>
      <c r="J365" s="5"/>
    </row>
    <row r="366" spans="2:10" s="7" customFormat="1" x14ac:dyDescent="0.2">
      <c r="B366" s="5"/>
      <c r="C366" s="5"/>
      <c r="D366" s="5"/>
      <c r="E366" s="5"/>
      <c r="F366" s="5"/>
      <c r="I366" s="5"/>
      <c r="J366" s="5"/>
    </row>
    <row r="367" spans="2:10" s="7" customFormat="1" x14ac:dyDescent="0.2">
      <c r="B367" s="5"/>
      <c r="C367" s="5"/>
      <c r="D367" s="5"/>
      <c r="E367" s="5"/>
      <c r="F367" s="5"/>
      <c r="I367" s="5"/>
      <c r="J367" s="5"/>
    </row>
    <row r="368" spans="2:10" s="7" customFormat="1" x14ac:dyDescent="0.2">
      <c r="B368" s="5"/>
      <c r="C368" s="5"/>
      <c r="D368" s="5"/>
      <c r="E368" s="5"/>
      <c r="F368" s="5"/>
      <c r="I368" s="5"/>
      <c r="J368" s="5"/>
    </row>
    <row r="369" spans="2:10" s="7" customFormat="1" x14ac:dyDescent="0.2">
      <c r="B369" s="5"/>
      <c r="C369" s="5"/>
      <c r="D369" s="5"/>
      <c r="E369" s="5"/>
      <c r="F369" s="5"/>
      <c r="I369" s="5"/>
      <c r="J369" s="5"/>
    </row>
    <row r="370" spans="2:10" s="7" customFormat="1" x14ac:dyDescent="0.2">
      <c r="B370" s="5"/>
      <c r="C370" s="5"/>
      <c r="D370" s="5"/>
      <c r="E370" s="5"/>
      <c r="F370" s="5"/>
      <c r="I370" s="5"/>
      <c r="J370" s="5"/>
    </row>
    <row r="371" spans="2:10" s="7" customFormat="1" x14ac:dyDescent="0.2">
      <c r="B371" s="5"/>
      <c r="C371" s="5"/>
      <c r="D371" s="5"/>
      <c r="E371" s="5"/>
      <c r="F371" s="5"/>
      <c r="I371" s="5"/>
      <c r="J371" s="5"/>
    </row>
    <row r="372" spans="2:10" s="7" customFormat="1" x14ac:dyDescent="0.2">
      <c r="B372" s="5"/>
      <c r="C372" s="5"/>
      <c r="D372" s="5"/>
      <c r="E372" s="5"/>
      <c r="F372" s="5"/>
      <c r="I372" s="5"/>
      <c r="J372" s="5"/>
    </row>
    <row r="373" spans="2:10" s="7" customFormat="1" x14ac:dyDescent="0.2">
      <c r="B373" s="5"/>
      <c r="C373" s="5"/>
      <c r="D373" s="5"/>
      <c r="E373" s="5"/>
      <c r="F373" s="5"/>
      <c r="I373" s="5"/>
      <c r="J373" s="5"/>
    </row>
    <row r="374" spans="2:10" s="7" customFormat="1" x14ac:dyDescent="0.2">
      <c r="B374" s="5"/>
      <c r="C374" s="5"/>
      <c r="D374" s="5"/>
      <c r="E374" s="5"/>
      <c r="F374" s="5"/>
      <c r="I374" s="5"/>
      <c r="J374" s="5"/>
    </row>
    <row r="375" spans="2:10" s="7" customFormat="1" x14ac:dyDescent="0.2">
      <c r="B375" s="5"/>
      <c r="C375" s="5"/>
      <c r="D375" s="5"/>
      <c r="E375" s="5"/>
      <c r="F375" s="5"/>
      <c r="I375" s="5"/>
      <c r="J375" s="5"/>
    </row>
    <row r="376" spans="2:10" s="7" customFormat="1" x14ac:dyDescent="0.2">
      <c r="B376" s="5"/>
      <c r="C376" s="5"/>
      <c r="D376" s="5"/>
      <c r="E376" s="5"/>
      <c r="F376" s="5"/>
      <c r="I376" s="5"/>
      <c r="J376" s="5"/>
    </row>
    <row r="377" spans="2:10" s="7" customFormat="1" x14ac:dyDescent="0.2">
      <c r="B377" s="5"/>
      <c r="C377" s="5"/>
      <c r="D377" s="5"/>
      <c r="E377" s="5"/>
      <c r="F377" s="5"/>
      <c r="I377" s="5"/>
      <c r="J377" s="5"/>
    </row>
    <row r="378" spans="2:10" s="7" customFormat="1" x14ac:dyDescent="0.2">
      <c r="B378" s="5"/>
      <c r="C378" s="5"/>
      <c r="D378" s="5"/>
      <c r="E378" s="5"/>
      <c r="F378" s="5"/>
      <c r="I378" s="5"/>
      <c r="J378" s="5"/>
    </row>
    <row r="379" spans="2:10" s="7" customFormat="1" x14ac:dyDescent="0.2">
      <c r="B379" s="5"/>
      <c r="C379" s="5"/>
      <c r="D379" s="5"/>
      <c r="E379" s="5"/>
      <c r="F379" s="5"/>
      <c r="I379" s="5"/>
      <c r="J379" s="5"/>
    </row>
    <row r="380" spans="2:10" s="7" customFormat="1" x14ac:dyDescent="0.2">
      <c r="B380" s="5"/>
      <c r="C380" s="5"/>
      <c r="D380" s="5"/>
      <c r="E380" s="5"/>
      <c r="F380" s="5"/>
      <c r="I380" s="5"/>
      <c r="J380" s="5"/>
    </row>
    <row r="381" spans="2:10" s="7" customFormat="1" x14ac:dyDescent="0.2">
      <c r="B381" s="5"/>
      <c r="C381" s="5"/>
      <c r="D381" s="5"/>
      <c r="E381" s="5"/>
      <c r="F381" s="5"/>
      <c r="I381" s="5"/>
      <c r="J381" s="5"/>
    </row>
    <row r="382" spans="2:10" s="7" customFormat="1" x14ac:dyDescent="0.2">
      <c r="B382" s="5"/>
      <c r="C382" s="5"/>
      <c r="D382" s="5"/>
      <c r="E382" s="5"/>
      <c r="F382" s="5"/>
      <c r="I382" s="5"/>
      <c r="J382" s="5"/>
    </row>
    <row r="383" spans="2:10" s="7" customFormat="1" x14ac:dyDescent="0.2">
      <c r="B383" s="5"/>
      <c r="C383" s="5"/>
      <c r="D383" s="5"/>
      <c r="E383" s="5"/>
      <c r="F383" s="5"/>
      <c r="I383" s="5"/>
      <c r="J383" s="5"/>
    </row>
    <row r="384" spans="2:10" s="7" customFormat="1" x14ac:dyDescent="0.2">
      <c r="B384" s="5"/>
      <c r="C384" s="5"/>
      <c r="D384" s="5"/>
      <c r="E384" s="5"/>
      <c r="F384" s="5"/>
      <c r="I384" s="5"/>
      <c r="J384" s="5"/>
    </row>
    <row r="385" spans="2:10" s="7" customFormat="1" x14ac:dyDescent="0.2">
      <c r="B385" s="5"/>
      <c r="C385" s="5"/>
      <c r="D385" s="5"/>
      <c r="E385" s="5"/>
      <c r="F385" s="5"/>
      <c r="I385" s="5"/>
      <c r="J385" s="5"/>
    </row>
    <row r="386" spans="2:10" s="7" customFormat="1" x14ac:dyDescent="0.2">
      <c r="B386" s="5"/>
      <c r="C386" s="5"/>
      <c r="D386" s="5"/>
      <c r="E386" s="5"/>
      <c r="F386" s="5"/>
      <c r="I386" s="5"/>
      <c r="J386" s="5"/>
    </row>
    <row r="387" spans="2:10" s="7" customFormat="1" x14ac:dyDescent="0.2">
      <c r="B387" s="5"/>
      <c r="C387" s="5"/>
      <c r="D387" s="5"/>
      <c r="E387" s="5"/>
      <c r="F387" s="5"/>
      <c r="I387" s="5"/>
      <c r="J387" s="5"/>
    </row>
    <row r="388" spans="2:10" s="7" customFormat="1" x14ac:dyDescent="0.2">
      <c r="B388" s="5"/>
      <c r="C388" s="5"/>
      <c r="D388" s="5"/>
      <c r="E388" s="5"/>
      <c r="F388" s="5"/>
      <c r="I388" s="5"/>
      <c r="J388" s="5"/>
    </row>
    <row r="389" spans="2:10" s="7" customFormat="1" x14ac:dyDescent="0.2">
      <c r="B389" s="5"/>
      <c r="C389" s="5"/>
      <c r="D389" s="5"/>
      <c r="E389" s="5"/>
      <c r="F389" s="5"/>
      <c r="I389" s="5"/>
      <c r="J389" s="5"/>
    </row>
    <row r="390" spans="2:10" s="7" customFormat="1" x14ac:dyDescent="0.2">
      <c r="B390" s="5"/>
      <c r="C390" s="5"/>
      <c r="D390" s="5"/>
      <c r="E390" s="5"/>
      <c r="F390" s="5"/>
      <c r="I390" s="5"/>
      <c r="J390" s="5"/>
    </row>
    <row r="391" spans="2:10" s="7" customFormat="1" x14ac:dyDescent="0.2">
      <c r="B391" s="5"/>
      <c r="C391" s="5"/>
      <c r="D391" s="5"/>
      <c r="E391" s="5"/>
      <c r="F391" s="5"/>
      <c r="I391" s="5"/>
      <c r="J391" s="5"/>
    </row>
    <row r="392" spans="2:10" s="7" customFormat="1" x14ac:dyDescent="0.2">
      <c r="B392" s="5"/>
      <c r="C392" s="5"/>
      <c r="D392" s="5"/>
      <c r="E392" s="5"/>
      <c r="F392" s="5"/>
      <c r="I392" s="5"/>
      <c r="J392" s="5"/>
    </row>
    <row r="393" spans="2:10" s="7" customFormat="1" x14ac:dyDescent="0.2">
      <c r="B393" s="5"/>
      <c r="C393" s="5"/>
      <c r="D393" s="5"/>
      <c r="E393" s="5"/>
      <c r="F393" s="5"/>
      <c r="I393" s="5"/>
      <c r="J393" s="5"/>
    </row>
    <row r="394" spans="2:10" s="7" customFormat="1" x14ac:dyDescent="0.2">
      <c r="B394" s="5"/>
      <c r="C394" s="5"/>
      <c r="D394" s="5"/>
      <c r="E394" s="5"/>
      <c r="F394" s="5"/>
      <c r="I394" s="5"/>
      <c r="J394" s="5"/>
    </row>
    <row r="395" spans="2:10" s="7" customFormat="1" x14ac:dyDescent="0.2">
      <c r="B395" s="5"/>
      <c r="C395" s="5"/>
      <c r="D395" s="5"/>
      <c r="E395" s="5"/>
      <c r="F395" s="5"/>
      <c r="I395" s="5"/>
      <c r="J395" s="5"/>
    </row>
    <row r="396" spans="2:10" s="7" customFormat="1" x14ac:dyDescent="0.2">
      <c r="B396" s="5"/>
      <c r="C396" s="5"/>
      <c r="D396" s="5"/>
      <c r="E396" s="5"/>
      <c r="F396" s="5"/>
      <c r="I396" s="5"/>
      <c r="J396" s="5"/>
    </row>
    <row r="397" spans="2:10" s="7" customFormat="1" x14ac:dyDescent="0.2">
      <c r="B397" s="5"/>
      <c r="C397" s="5"/>
      <c r="D397" s="5"/>
      <c r="E397" s="5"/>
      <c r="F397" s="5"/>
      <c r="I397" s="5"/>
      <c r="J397" s="5"/>
    </row>
    <row r="398" spans="2:10" s="7" customFormat="1" x14ac:dyDescent="0.2">
      <c r="B398" s="5"/>
      <c r="C398" s="5"/>
      <c r="D398" s="5"/>
      <c r="E398" s="5"/>
      <c r="F398" s="5"/>
      <c r="I398" s="5"/>
      <c r="J398" s="5"/>
    </row>
    <row r="399" spans="2:10" s="7" customFormat="1" x14ac:dyDescent="0.2">
      <c r="B399" s="5"/>
      <c r="C399" s="5"/>
      <c r="D399" s="5"/>
      <c r="E399" s="5"/>
      <c r="F399" s="5"/>
      <c r="I399" s="5"/>
      <c r="J399" s="5"/>
    </row>
    <row r="400" spans="2:10" s="7" customFormat="1" x14ac:dyDescent="0.2">
      <c r="B400" s="5"/>
      <c r="C400" s="5"/>
      <c r="D400" s="5"/>
      <c r="E400" s="5"/>
      <c r="F400" s="5"/>
      <c r="I400" s="5"/>
      <c r="J400" s="5"/>
    </row>
    <row r="401" spans="2:10" s="7" customFormat="1" x14ac:dyDescent="0.2">
      <c r="B401" s="5"/>
      <c r="C401" s="5"/>
      <c r="D401" s="5"/>
      <c r="E401" s="5"/>
      <c r="F401" s="5"/>
      <c r="I401" s="5"/>
      <c r="J401" s="5"/>
    </row>
    <row r="402" spans="2:10" s="7" customFormat="1" x14ac:dyDescent="0.2">
      <c r="B402" s="5"/>
      <c r="C402" s="5"/>
      <c r="D402" s="5"/>
      <c r="E402" s="5"/>
      <c r="F402" s="5"/>
      <c r="I402" s="5"/>
      <c r="J402" s="5"/>
    </row>
    <row r="403" spans="2:10" s="7" customFormat="1" x14ac:dyDescent="0.2">
      <c r="B403" s="5"/>
      <c r="C403" s="5"/>
      <c r="D403" s="5"/>
      <c r="E403" s="5"/>
      <c r="F403" s="5"/>
      <c r="I403" s="5"/>
      <c r="J403" s="5"/>
    </row>
    <row r="404" spans="2:10" s="7" customFormat="1" x14ac:dyDescent="0.2">
      <c r="B404" s="5"/>
      <c r="C404" s="5"/>
      <c r="D404" s="5"/>
      <c r="E404" s="5"/>
      <c r="F404" s="5"/>
      <c r="I404" s="5"/>
      <c r="J404" s="5"/>
    </row>
    <row r="405" spans="2:10" s="7" customFormat="1" x14ac:dyDescent="0.2">
      <c r="B405" s="5"/>
      <c r="C405" s="5"/>
      <c r="D405" s="5"/>
      <c r="E405" s="5"/>
      <c r="F405" s="5"/>
      <c r="I405" s="5"/>
      <c r="J405" s="5"/>
    </row>
    <row r="406" spans="2:10" s="7" customFormat="1" x14ac:dyDescent="0.2">
      <c r="B406" s="5"/>
      <c r="C406" s="5"/>
      <c r="D406" s="5"/>
      <c r="E406" s="5"/>
      <c r="F406" s="5"/>
      <c r="I406" s="5"/>
      <c r="J406" s="5"/>
    </row>
    <row r="407" spans="2:10" s="7" customFormat="1" x14ac:dyDescent="0.2">
      <c r="B407" s="5"/>
      <c r="C407" s="5"/>
      <c r="D407" s="5"/>
      <c r="E407" s="5"/>
      <c r="F407" s="5"/>
      <c r="I407" s="5"/>
      <c r="J407" s="5"/>
    </row>
    <row r="408" spans="2:10" s="7" customFormat="1" x14ac:dyDescent="0.2">
      <c r="B408" s="5"/>
      <c r="C408" s="5"/>
      <c r="D408" s="5"/>
      <c r="E408" s="5"/>
      <c r="F408" s="5"/>
      <c r="I408" s="5"/>
      <c r="J408" s="5"/>
    </row>
    <row r="409" spans="2:10" s="7" customFormat="1" x14ac:dyDescent="0.2">
      <c r="B409" s="5"/>
      <c r="C409" s="5"/>
      <c r="D409" s="5"/>
      <c r="E409" s="5"/>
      <c r="F409" s="5"/>
      <c r="I409" s="5"/>
      <c r="J409" s="5"/>
    </row>
    <row r="410" spans="2:10" s="7" customFormat="1" x14ac:dyDescent="0.2">
      <c r="B410" s="5"/>
      <c r="C410" s="5"/>
      <c r="D410" s="5"/>
      <c r="E410" s="5"/>
      <c r="F410" s="5"/>
      <c r="I410" s="5"/>
      <c r="J410" s="5"/>
    </row>
    <row r="411" spans="2:10" s="7" customFormat="1" x14ac:dyDescent="0.2">
      <c r="B411" s="5"/>
      <c r="C411" s="5"/>
      <c r="D411" s="5"/>
      <c r="E411" s="5"/>
      <c r="F411" s="5"/>
      <c r="I411" s="5"/>
      <c r="J411" s="5"/>
    </row>
    <row r="412" spans="2:10" s="7" customFormat="1" x14ac:dyDescent="0.2">
      <c r="B412" s="5"/>
      <c r="C412" s="5"/>
      <c r="D412" s="5"/>
      <c r="E412" s="5"/>
      <c r="F412" s="5"/>
      <c r="I412" s="5"/>
      <c r="J412" s="5"/>
    </row>
    <row r="413" spans="2:10" s="7" customFormat="1" x14ac:dyDescent="0.2">
      <c r="B413" s="5"/>
      <c r="C413" s="5"/>
      <c r="D413" s="5"/>
      <c r="E413" s="5"/>
      <c r="F413" s="5"/>
      <c r="I413" s="5"/>
      <c r="J413" s="5"/>
    </row>
    <row r="414" spans="2:10" s="7" customFormat="1" x14ac:dyDescent="0.2">
      <c r="B414" s="5"/>
      <c r="C414" s="5"/>
      <c r="D414" s="5"/>
      <c r="E414" s="5"/>
      <c r="F414" s="5"/>
      <c r="I414" s="5"/>
      <c r="J414" s="5"/>
    </row>
    <row r="415" spans="2:10" s="7" customFormat="1" x14ac:dyDescent="0.2">
      <c r="B415" s="5"/>
      <c r="C415" s="5"/>
      <c r="D415" s="5"/>
      <c r="E415" s="5"/>
      <c r="F415" s="5"/>
      <c r="I415" s="5"/>
      <c r="J415" s="5"/>
    </row>
    <row r="416" spans="2:10" s="7" customFormat="1" x14ac:dyDescent="0.2">
      <c r="B416" s="5"/>
      <c r="C416" s="5"/>
      <c r="D416" s="5"/>
      <c r="E416" s="5"/>
      <c r="F416" s="5"/>
      <c r="I416" s="5"/>
      <c r="J416" s="5"/>
    </row>
    <row r="417" spans="2:10" s="7" customFormat="1" x14ac:dyDescent="0.2">
      <c r="B417" s="5"/>
      <c r="C417" s="5"/>
      <c r="D417" s="5"/>
      <c r="E417" s="5"/>
      <c r="F417" s="5"/>
      <c r="I417" s="5"/>
      <c r="J417" s="5"/>
    </row>
    <row r="418" spans="2:10" s="7" customFormat="1" x14ac:dyDescent="0.2">
      <c r="B418" s="5"/>
      <c r="C418" s="5"/>
      <c r="D418" s="5"/>
      <c r="E418" s="5"/>
      <c r="F418" s="5"/>
      <c r="I418" s="5"/>
      <c r="J418" s="5"/>
    </row>
    <row r="419" spans="2:10" s="7" customFormat="1" x14ac:dyDescent="0.2">
      <c r="B419" s="5"/>
      <c r="C419" s="5"/>
      <c r="D419" s="5"/>
      <c r="E419" s="5"/>
      <c r="F419" s="5"/>
      <c r="I419" s="5"/>
      <c r="J419" s="5"/>
    </row>
    <row r="420" spans="2:10" s="7" customFormat="1" x14ac:dyDescent="0.2">
      <c r="B420" s="5"/>
      <c r="C420" s="5"/>
      <c r="D420" s="5"/>
      <c r="E420" s="5"/>
      <c r="F420" s="5"/>
      <c r="I420" s="5"/>
      <c r="J420" s="5"/>
    </row>
    <row r="421" spans="2:10" s="7" customFormat="1" x14ac:dyDescent="0.2">
      <c r="B421" s="5"/>
      <c r="C421" s="5"/>
      <c r="D421" s="5"/>
      <c r="E421" s="5"/>
      <c r="F421" s="5"/>
      <c r="I421" s="5"/>
      <c r="J421" s="5"/>
    </row>
    <row r="422" spans="2:10" s="7" customFormat="1" x14ac:dyDescent="0.2">
      <c r="B422" s="5"/>
      <c r="C422" s="5"/>
      <c r="D422" s="5"/>
      <c r="E422" s="5"/>
      <c r="F422" s="5"/>
      <c r="I422" s="5"/>
      <c r="J422" s="5"/>
    </row>
    <row r="423" spans="2:10" s="7" customFormat="1" x14ac:dyDescent="0.2">
      <c r="B423" s="5"/>
      <c r="C423" s="5"/>
      <c r="D423" s="5"/>
      <c r="E423" s="5"/>
      <c r="F423" s="5"/>
      <c r="I423" s="5"/>
      <c r="J423" s="5"/>
    </row>
    <row r="424" spans="2:10" s="7" customFormat="1" x14ac:dyDescent="0.2">
      <c r="B424" s="5"/>
      <c r="C424" s="5"/>
      <c r="D424" s="5"/>
      <c r="E424" s="5"/>
      <c r="F424" s="5"/>
      <c r="I424" s="5"/>
      <c r="J424" s="5"/>
    </row>
    <row r="425" spans="2:10" s="7" customFormat="1" x14ac:dyDescent="0.2">
      <c r="B425" s="5"/>
      <c r="C425" s="5"/>
      <c r="D425" s="5"/>
      <c r="E425" s="5"/>
      <c r="F425" s="5"/>
      <c r="I425" s="5"/>
      <c r="J425" s="5"/>
    </row>
    <row r="426" spans="2:10" s="7" customFormat="1" x14ac:dyDescent="0.2">
      <c r="B426" s="5"/>
      <c r="C426" s="5"/>
      <c r="D426" s="5"/>
      <c r="E426" s="5"/>
      <c r="F426" s="5"/>
      <c r="I426" s="5"/>
      <c r="J426" s="5"/>
    </row>
    <row r="427" spans="2:10" s="7" customFormat="1" x14ac:dyDescent="0.2">
      <c r="B427" s="5"/>
      <c r="C427" s="5"/>
      <c r="D427" s="5"/>
      <c r="E427" s="5"/>
      <c r="F427" s="5"/>
      <c r="I427" s="5"/>
      <c r="J427" s="5"/>
    </row>
    <row r="428" spans="2:10" s="7" customFormat="1" x14ac:dyDescent="0.2">
      <c r="B428" s="5"/>
      <c r="C428" s="5"/>
      <c r="D428" s="5"/>
      <c r="E428" s="5"/>
      <c r="F428" s="5"/>
      <c r="I428" s="5"/>
      <c r="J428" s="5"/>
    </row>
    <row r="429" spans="2:10" s="7" customFormat="1" x14ac:dyDescent="0.2">
      <c r="B429" s="5"/>
      <c r="C429" s="5"/>
      <c r="D429" s="5"/>
      <c r="E429" s="5"/>
      <c r="F429" s="5"/>
      <c r="I429" s="5"/>
      <c r="J429" s="5"/>
    </row>
    <row r="430" spans="2:10" s="7" customFormat="1" x14ac:dyDescent="0.2">
      <c r="B430" s="5"/>
      <c r="C430" s="5"/>
      <c r="D430" s="5"/>
      <c r="E430" s="5"/>
      <c r="F430" s="5"/>
      <c r="I430" s="5"/>
      <c r="J430" s="5"/>
    </row>
    <row r="431" spans="2:10" s="7" customFormat="1" x14ac:dyDescent="0.2">
      <c r="B431" s="5"/>
      <c r="C431" s="5"/>
      <c r="D431" s="5"/>
      <c r="E431" s="5"/>
      <c r="F431" s="5"/>
      <c r="I431" s="5"/>
      <c r="J431" s="5"/>
    </row>
    <row r="432" spans="2:10" s="7" customFormat="1" x14ac:dyDescent="0.2">
      <c r="B432" s="5"/>
      <c r="C432" s="5"/>
      <c r="D432" s="5"/>
      <c r="E432" s="5"/>
      <c r="F432" s="5"/>
      <c r="I432" s="5"/>
      <c r="J432" s="5"/>
    </row>
    <row r="433" spans="2:10" s="7" customFormat="1" x14ac:dyDescent="0.2">
      <c r="B433" s="5"/>
      <c r="C433" s="5"/>
      <c r="D433" s="5"/>
      <c r="E433" s="5"/>
      <c r="F433" s="5"/>
      <c r="I433" s="5"/>
      <c r="J433" s="5"/>
    </row>
    <row r="434" spans="2:10" s="7" customFormat="1" x14ac:dyDescent="0.2">
      <c r="B434" s="5"/>
      <c r="C434" s="5"/>
      <c r="D434" s="5"/>
      <c r="E434" s="5"/>
      <c r="F434" s="5"/>
      <c r="I434" s="5"/>
      <c r="J434" s="5"/>
    </row>
    <row r="435" spans="2:10" s="7" customFormat="1" x14ac:dyDescent="0.2">
      <c r="B435" s="5"/>
      <c r="C435" s="5"/>
      <c r="D435" s="5"/>
      <c r="E435" s="5"/>
      <c r="F435" s="5"/>
      <c r="I435" s="5"/>
      <c r="J435" s="5"/>
    </row>
    <row r="436" spans="2:10" s="7" customFormat="1" x14ac:dyDescent="0.2">
      <c r="B436" s="5"/>
      <c r="C436" s="5"/>
      <c r="D436" s="5"/>
      <c r="E436" s="5"/>
      <c r="F436" s="5"/>
      <c r="I436" s="5"/>
      <c r="J436" s="5"/>
    </row>
    <row r="437" spans="2:10" s="7" customFormat="1" x14ac:dyDescent="0.2">
      <c r="B437" s="5"/>
      <c r="C437" s="5"/>
      <c r="D437" s="5"/>
      <c r="E437" s="5"/>
      <c r="F437" s="5"/>
      <c r="I437" s="5"/>
      <c r="J437" s="5"/>
    </row>
    <row r="438" spans="2:10" s="7" customFormat="1" x14ac:dyDescent="0.2">
      <c r="B438" s="5"/>
      <c r="C438" s="5"/>
      <c r="D438" s="5"/>
      <c r="E438" s="5"/>
      <c r="F438" s="5"/>
      <c r="I438" s="5"/>
      <c r="J438" s="5"/>
    </row>
    <row r="439" spans="2:10" s="7" customFormat="1" x14ac:dyDescent="0.2">
      <c r="B439" s="5"/>
      <c r="C439" s="5"/>
      <c r="D439" s="5"/>
      <c r="E439" s="5"/>
      <c r="F439" s="5"/>
      <c r="I439" s="5"/>
      <c r="J439" s="5"/>
    </row>
    <row r="440" spans="2:10" s="7" customFormat="1" x14ac:dyDescent="0.2">
      <c r="B440" s="5"/>
      <c r="C440" s="5"/>
      <c r="D440" s="5"/>
      <c r="E440" s="5"/>
      <c r="F440" s="5"/>
      <c r="I440" s="5"/>
      <c r="J440" s="5"/>
    </row>
    <row r="441" spans="2:10" s="7" customFormat="1" x14ac:dyDescent="0.2">
      <c r="B441" s="5"/>
      <c r="C441" s="5"/>
      <c r="D441" s="5"/>
      <c r="E441" s="5"/>
      <c r="F441" s="5"/>
      <c r="I441" s="5"/>
      <c r="J441" s="5"/>
    </row>
    <row r="442" spans="2:10" s="7" customFormat="1" x14ac:dyDescent="0.2">
      <c r="B442" s="5"/>
      <c r="C442" s="5"/>
      <c r="D442" s="5"/>
      <c r="E442" s="5"/>
      <c r="F442" s="5"/>
      <c r="I442" s="5"/>
      <c r="J442" s="5"/>
    </row>
    <row r="443" spans="2:10" s="7" customFormat="1" x14ac:dyDescent="0.2">
      <c r="B443" s="5"/>
      <c r="C443" s="5"/>
      <c r="D443" s="5"/>
      <c r="E443" s="5"/>
      <c r="F443" s="5"/>
      <c r="I443" s="5"/>
      <c r="J443" s="5"/>
    </row>
    <row r="444" spans="2:10" s="7" customFormat="1" x14ac:dyDescent="0.2">
      <c r="B444" s="5"/>
      <c r="C444" s="5"/>
      <c r="D444" s="5"/>
      <c r="E444" s="5"/>
      <c r="F444" s="5"/>
      <c r="I444" s="5"/>
      <c r="J444" s="5"/>
    </row>
    <row r="445" spans="2:10" s="7" customFormat="1" x14ac:dyDescent="0.2">
      <c r="B445" s="5"/>
      <c r="C445" s="5"/>
      <c r="D445" s="5"/>
      <c r="E445" s="5"/>
      <c r="F445" s="5"/>
      <c r="I445" s="5"/>
      <c r="J445" s="5"/>
    </row>
    <row r="446" spans="2:10" s="7" customFormat="1" x14ac:dyDescent="0.2">
      <c r="B446" s="5"/>
      <c r="C446" s="5"/>
      <c r="D446" s="5"/>
      <c r="E446" s="5"/>
      <c r="F446" s="5"/>
      <c r="I446" s="5"/>
      <c r="J446" s="5"/>
    </row>
    <row r="447" spans="2:10" s="7" customFormat="1" x14ac:dyDescent="0.2">
      <c r="B447" s="5"/>
      <c r="C447" s="5"/>
      <c r="D447" s="5"/>
      <c r="E447" s="5"/>
      <c r="F447" s="5"/>
      <c r="I447" s="5"/>
      <c r="J447" s="5"/>
    </row>
    <row r="448" spans="2:10" s="7" customFormat="1" x14ac:dyDescent="0.2">
      <c r="B448" s="5"/>
      <c r="C448" s="5"/>
      <c r="D448" s="5"/>
      <c r="E448" s="5"/>
      <c r="F448" s="5"/>
      <c r="I448" s="5"/>
      <c r="J448" s="5"/>
    </row>
    <row r="449" spans="2:10" s="7" customFormat="1" x14ac:dyDescent="0.2">
      <c r="B449" s="5"/>
      <c r="C449" s="5"/>
      <c r="D449" s="5"/>
      <c r="E449" s="5"/>
      <c r="F449" s="5"/>
      <c r="I449" s="5"/>
      <c r="J449" s="5"/>
    </row>
  </sheetData>
  <autoFilter ref="A1:M246" xr:uid="{DAD00364-664A-470B-8B0C-3CB3FB80AFDB}"/>
  <dataValidations count="1">
    <dataValidation type="time" allowBlank="1" showInputMessage="1" showErrorMessage="1" sqref="D33 D28:E32 F36:F37 F40:F46 F48:F100 F103:F109 F111:F163 F166:F172 F218:F225 F228:F234 F209:F216 F174:F207 D34:E299 F236:F270 F272:F299" xr:uid="{700C5ECB-B088-4A7C-BC69-46ECBBE911BD}">
      <formula1>0</formula1>
      <formula2>0.999305555555556</formula2>
    </dataValidation>
  </dataValidations>
  <pageMargins left="0.43307086614173229" right="0.31496062992125984" top="0.35433070866141736" bottom="0.31496062992125984" header="0.31496062992125984" footer="0.31496062992125984"/>
  <pageSetup paperSize="9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66973AC-26AA-4D68-A9D4-C1C3DBDDF1B4}">
          <x14:formula1>
            <xm:f>Metadata!$H$2:$H$5</xm:f>
          </x14:formula1>
          <xm:sqref>A2:A299</xm:sqref>
        </x14:dataValidation>
        <x14:dataValidation type="list" allowBlank="1" showInputMessage="1" showErrorMessage="1" xr:uid="{3E2847A1-EBB4-4147-B7AB-E6D64F6CCE64}">
          <x14:formula1>
            <xm:f>Metadata!$A$2:$A$15</xm:f>
          </x14:formula1>
          <xm:sqref>G2:G298</xm:sqref>
        </x14:dataValidation>
        <x14:dataValidation type="list" allowBlank="1" showInputMessage="1" showErrorMessage="1" xr:uid="{2A4D8FF9-AA65-4BE7-A8C0-F98E73A18C6E}">
          <x14:formula1>
            <xm:f>Metadata!$C$2:$C$15</xm:f>
          </x14:formula1>
          <xm:sqref>H2:H299</xm:sqref>
        </x14:dataValidation>
        <x14:dataValidation type="list" allowBlank="1" showInputMessage="1" showErrorMessage="1" xr:uid="{9CAAD4E7-219D-4CF5-9368-B65E84EE5764}">
          <x14:formula1>
            <xm:f>Metadata!$C$3:$C$14</xm:f>
          </x14:formula1>
          <xm:sqref>B2:B299</xm:sqref>
        </x14:dataValidation>
        <x14:dataValidation type="list" allowBlank="1" showInputMessage="1" showErrorMessage="1" xr:uid="{79C92036-99A2-4C6C-9189-82226835AB42}">
          <x14:formula1>
            <xm:f>Metadata!$F$2:$F$15</xm:f>
          </x14:formula1>
          <xm:sqref>I2:I299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A082-E9F9-4197-96A1-733E75F1A9BC}">
  <sheetPr codeName="Tabelle13"/>
  <dimension ref="A1:L32"/>
  <sheetViews>
    <sheetView zoomScale="85" zoomScaleNormal="85" workbookViewId="0">
      <selection activeCell="I19" sqref="I19"/>
    </sheetView>
  </sheetViews>
  <sheetFormatPr baseColWidth="10" defaultRowHeight="15" x14ac:dyDescent="0.25"/>
  <cols>
    <col min="1" max="12" width="15.7109375" customWidth="1"/>
  </cols>
  <sheetData>
    <row r="1" spans="1:12" s="26" customFormat="1" ht="45.75" thickBot="1" x14ac:dyDescent="0.3">
      <c r="A1" s="25" t="s">
        <v>48</v>
      </c>
      <c r="B1" s="25" t="s">
        <v>181</v>
      </c>
      <c r="C1" s="25" t="s">
        <v>182</v>
      </c>
      <c r="D1" s="25" t="s">
        <v>22</v>
      </c>
      <c r="E1" s="25" t="s">
        <v>183</v>
      </c>
      <c r="F1" s="25" t="s">
        <v>184</v>
      </c>
      <c r="G1" s="25" t="s">
        <v>185</v>
      </c>
      <c r="H1" s="25" t="s">
        <v>186</v>
      </c>
      <c r="I1" s="25" t="s">
        <v>187</v>
      </c>
      <c r="J1" s="27" t="s">
        <v>188</v>
      </c>
      <c r="K1" s="27" t="s">
        <v>189</v>
      </c>
      <c r="L1" s="27" t="s">
        <v>49</v>
      </c>
    </row>
    <row r="2" spans="1:12" ht="15.75" thickBot="1" x14ac:dyDescent="0.3">
      <c r="A2" s="30" t="s">
        <v>59</v>
      </c>
      <c r="B2" s="147">
        <f>'01'!$F$301</f>
        <v>0</v>
      </c>
      <c r="C2" s="147">
        <f>'01'!$F$302</f>
        <v>0</v>
      </c>
      <c r="D2" s="147">
        <f>'01'!$F$303</f>
        <v>0</v>
      </c>
      <c r="E2" s="147">
        <f>'01'!$F$304</f>
        <v>0</v>
      </c>
      <c r="F2" s="147">
        <f t="shared" ref="F2:F11" si="0">SUM(B2:E2)</f>
        <v>0</v>
      </c>
      <c r="G2" s="147">
        <f>F2/$B$20</f>
        <v>0</v>
      </c>
      <c r="H2" s="147">
        <f t="shared" ref="H2:H7" si="1">ROUND(I2*$B$19/$B$20,2)</f>
        <v>248</v>
      </c>
      <c r="I2" s="147">
        <v>31</v>
      </c>
      <c r="J2" s="147">
        <f>F2-H2</f>
        <v>-248</v>
      </c>
      <c r="K2" s="9">
        <f>'01'!$F$310</f>
        <v>0</v>
      </c>
      <c r="L2" s="9">
        <f>K2/$B$20</f>
        <v>0</v>
      </c>
    </row>
    <row r="3" spans="1:12" ht="15.75" thickBot="1" x14ac:dyDescent="0.3">
      <c r="A3" s="30" t="s">
        <v>60</v>
      </c>
      <c r="B3" s="147">
        <f>'02'!$F$292</f>
        <v>0</v>
      </c>
      <c r="C3" s="147">
        <f>'02'!$F$270</f>
        <v>0</v>
      </c>
      <c r="D3" s="147">
        <f>'02'!$F$271</f>
        <v>0</v>
      </c>
      <c r="E3" s="147">
        <f>'02'!$F$272</f>
        <v>0</v>
      </c>
      <c r="F3" s="147">
        <f t="shared" si="0"/>
        <v>0</v>
      </c>
      <c r="G3" s="147">
        <f t="shared" ref="G3:G13" si="2">F3/$B$20</f>
        <v>0</v>
      </c>
      <c r="H3" s="147">
        <f t="shared" si="1"/>
        <v>224</v>
      </c>
      <c r="I3" s="147">
        <v>28</v>
      </c>
      <c r="J3" s="147">
        <f t="shared" ref="J3:J13" si="3">F3-H3</f>
        <v>-224</v>
      </c>
      <c r="K3" s="9">
        <f>'02'!$F$278</f>
        <v>0</v>
      </c>
      <c r="L3" s="9">
        <f t="shared" ref="L3:L13" si="4">K3/$B$20</f>
        <v>0</v>
      </c>
    </row>
    <row r="4" spans="1:12" ht="15.75" thickBot="1" x14ac:dyDescent="0.3">
      <c r="A4" s="30" t="s">
        <v>61</v>
      </c>
      <c r="B4" s="147">
        <f>'03'!$F$301</f>
        <v>0</v>
      </c>
      <c r="C4" s="147">
        <f>'03'!$F$302</f>
        <v>0</v>
      </c>
      <c r="D4" s="147">
        <f>'02'!$F$271</f>
        <v>0</v>
      </c>
      <c r="E4" s="147">
        <f>'02'!$F$272</f>
        <v>0</v>
      </c>
      <c r="F4" s="147">
        <f t="shared" si="0"/>
        <v>0</v>
      </c>
      <c r="G4" s="147">
        <f t="shared" si="2"/>
        <v>0</v>
      </c>
      <c r="H4" s="147">
        <f t="shared" si="1"/>
        <v>248</v>
      </c>
      <c r="I4" s="147">
        <v>31</v>
      </c>
      <c r="J4" s="147">
        <f t="shared" si="3"/>
        <v>-248</v>
      </c>
      <c r="K4" s="9">
        <f>'03'!$F$310</f>
        <v>0</v>
      </c>
      <c r="L4" s="9">
        <f t="shared" si="4"/>
        <v>0</v>
      </c>
    </row>
    <row r="5" spans="1:12" ht="15.75" thickBot="1" x14ac:dyDescent="0.3">
      <c r="A5" s="30" t="s">
        <v>62</v>
      </c>
      <c r="B5" s="147">
        <f>'04'!$F$301</f>
        <v>0</v>
      </c>
      <c r="C5" s="147">
        <f>'04'!$F$302</f>
        <v>0</v>
      </c>
      <c r="D5" s="147">
        <f>'02'!$F$271</f>
        <v>0</v>
      </c>
      <c r="E5" s="147">
        <f>'02'!$F$272</f>
        <v>0</v>
      </c>
      <c r="F5" s="147">
        <f t="shared" si="0"/>
        <v>0</v>
      </c>
      <c r="G5" s="147">
        <f t="shared" si="2"/>
        <v>0</v>
      </c>
      <c r="H5" s="147">
        <f t="shared" si="1"/>
        <v>240</v>
      </c>
      <c r="I5" s="147">
        <v>30</v>
      </c>
      <c r="J5" s="147">
        <f t="shared" si="3"/>
        <v>-240</v>
      </c>
      <c r="K5" s="9">
        <f>'04'!$F$310</f>
        <v>0</v>
      </c>
      <c r="L5" s="9">
        <f t="shared" si="4"/>
        <v>0</v>
      </c>
    </row>
    <row r="6" spans="1:12" ht="15.75" thickBot="1" x14ac:dyDescent="0.3">
      <c r="A6" s="30" t="s">
        <v>63</v>
      </c>
      <c r="B6" s="147">
        <f>'05'!$F$301</f>
        <v>0</v>
      </c>
      <c r="C6" s="147">
        <f>'05'!$F$302</f>
        <v>0</v>
      </c>
      <c r="D6" s="147">
        <f>'02'!$F$271</f>
        <v>0</v>
      </c>
      <c r="E6" s="147">
        <f>'02'!$F$272</f>
        <v>0</v>
      </c>
      <c r="F6" s="147">
        <f t="shared" si="0"/>
        <v>0</v>
      </c>
      <c r="G6" s="147">
        <f t="shared" si="2"/>
        <v>0</v>
      </c>
      <c r="H6" s="147">
        <f t="shared" si="1"/>
        <v>248</v>
      </c>
      <c r="I6" s="147">
        <v>31</v>
      </c>
      <c r="J6" s="147">
        <f t="shared" si="3"/>
        <v>-248</v>
      </c>
      <c r="K6" s="9">
        <f>'05'!$F$310</f>
        <v>0</v>
      </c>
      <c r="L6" s="9">
        <f t="shared" si="4"/>
        <v>0</v>
      </c>
    </row>
    <row r="7" spans="1:12" ht="15.75" thickBot="1" x14ac:dyDescent="0.3">
      <c r="A7" s="30" t="s">
        <v>64</v>
      </c>
      <c r="B7" s="147">
        <f>'06'!$F$301</f>
        <v>0</v>
      </c>
      <c r="C7" s="147">
        <f>'06'!$F$302</f>
        <v>0</v>
      </c>
      <c r="D7" s="147">
        <f>'02'!$F$271</f>
        <v>0</v>
      </c>
      <c r="E7" s="147">
        <f>'02'!$F$272</f>
        <v>0</v>
      </c>
      <c r="F7" s="147">
        <f t="shared" si="0"/>
        <v>0</v>
      </c>
      <c r="G7" s="147">
        <f t="shared" si="2"/>
        <v>0</v>
      </c>
      <c r="H7" s="147">
        <f t="shared" si="1"/>
        <v>240</v>
      </c>
      <c r="I7" s="147">
        <v>30</v>
      </c>
      <c r="J7" s="147">
        <f t="shared" si="3"/>
        <v>-240</v>
      </c>
      <c r="K7" s="9">
        <f>'06'!$F$310</f>
        <v>0</v>
      </c>
      <c r="L7" s="9">
        <f t="shared" si="4"/>
        <v>0</v>
      </c>
    </row>
    <row r="8" spans="1:12" ht="15.75" thickBot="1" x14ac:dyDescent="0.3">
      <c r="A8" s="30" t="s">
        <v>65</v>
      </c>
      <c r="B8" s="147">
        <f>'07'!$F$301</f>
        <v>0</v>
      </c>
      <c r="C8" s="147">
        <f>'07'!$F$302</f>
        <v>0</v>
      </c>
      <c r="D8" s="147">
        <f>'02'!$F$271</f>
        <v>0</v>
      </c>
      <c r="E8" s="147">
        <f>'02'!$F$272</f>
        <v>0</v>
      </c>
      <c r="F8" s="147">
        <f t="shared" si="0"/>
        <v>0</v>
      </c>
      <c r="G8" s="147">
        <f t="shared" si="2"/>
        <v>0</v>
      </c>
      <c r="H8" s="147">
        <f t="shared" ref="H8:H13" si="5">ROUND(I8*$B$19/$B$20,2)</f>
        <v>248</v>
      </c>
      <c r="I8" s="147">
        <v>31</v>
      </c>
      <c r="J8" s="147">
        <f t="shared" si="3"/>
        <v>-248</v>
      </c>
      <c r="K8" s="9">
        <f>'07'!$F$310</f>
        <v>0</v>
      </c>
      <c r="L8" s="9">
        <f t="shared" si="4"/>
        <v>0</v>
      </c>
    </row>
    <row r="9" spans="1:12" ht="15.75" thickBot="1" x14ac:dyDescent="0.3">
      <c r="A9" s="30" t="s">
        <v>66</v>
      </c>
      <c r="B9" s="147">
        <f>'08'!$F$301</f>
        <v>0</v>
      </c>
      <c r="C9" s="147">
        <f>'08'!$F$302</f>
        <v>0</v>
      </c>
      <c r="D9" s="147">
        <f>'02'!$F$271</f>
        <v>0</v>
      </c>
      <c r="E9" s="147">
        <f>'02'!$F$272</f>
        <v>0</v>
      </c>
      <c r="F9" s="147">
        <f t="shared" si="0"/>
        <v>0</v>
      </c>
      <c r="G9" s="147">
        <f t="shared" si="2"/>
        <v>0</v>
      </c>
      <c r="H9" s="147">
        <f t="shared" si="5"/>
        <v>248</v>
      </c>
      <c r="I9" s="147">
        <v>31</v>
      </c>
      <c r="J9" s="147">
        <f t="shared" si="3"/>
        <v>-248</v>
      </c>
      <c r="K9" s="9">
        <f>'08'!$F$310</f>
        <v>0</v>
      </c>
      <c r="L9" s="9">
        <f t="shared" si="4"/>
        <v>0</v>
      </c>
    </row>
    <row r="10" spans="1:12" ht="15.75" thickBot="1" x14ac:dyDescent="0.3">
      <c r="A10" s="30" t="s">
        <v>67</v>
      </c>
      <c r="B10" s="147">
        <f>'09'!$F$301</f>
        <v>0</v>
      </c>
      <c r="C10" s="147">
        <f>'09'!$F$302</f>
        <v>0</v>
      </c>
      <c r="D10" s="147">
        <f>'02'!$F$271</f>
        <v>0</v>
      </c>
      <c r="E10" s="147">
        <f>'02'!$F$272</f>
        <v>0</v>
      </c>
      <c r="F10" s="147">
        <f t="shared" si="0"/>
        <v>0</v>
      </c>
      <c r="G10" s="147">
        <f t="shared" si="2"/>
        <v>0</v>
      </c>
      <c r="H10" s="147">
        <f t="shared" si="5"/>
        <v>240</v>
      </c>
      <c r="I10" s="147">
        <v>30</v>
      </c>
      <c r="J10" s="147">
        <f t="shared" si="3"/>
        <v>-240</v>
      </c>
      <c r="K10" s="9">
        <f>'09'!$F$310</f>
        <v>0</v>
      </c>
      <c r="L10" s="9">
        <f t="shared" si="4"/>
        <v>0</v>
      </c>
    </row>
    <row r="11" spans="1:12" ht="15.75" thickBot="1" x14ac:dyDescent="0.3">
      <c r="A11" s="30" t="s">
        <v>68</v>
      </c>
      <c r="B11" s="147">
        <f>'10'!$F$301</f>
        <v>0</v>
      </c>
      <c r="C11" s="147">
        <f>'10'!$F$302</f>
        <v>0</v>
      </c>
      <c r="D11" s="147">
        <f>'02'!$F$271</f>
        <v>0</v>
      </c>
      <c r="E11" s="147">
        <f>'02'!$F$272</f>
        <v>0</v>
      </c>
      <c r="F11" s="147">
        <f t="shared" si="0"/>
        <v>0</v>
      </c>
      <c r="G11" s="147">
        <f t="shared" si="2"/>
        <v>0</v>
      </c>
      <c r="H11" s="147">
        <f t="shared" si="5"/>
        <v>248</v>
      </c>
      <c r="I11" s="147">
        <v>31</v>
      </c>
      <c r="J11" s="147">
        <f t="shared" si="3"/>
        <v>-248</v>
      </c>
      <c r="K11" s="9">
        <f>'10'!$F$310</f>
        <v>0</v>
      </c>
      <c r="L11" s="9">
        <f t="shared" si="4"/>
        <v>0</v>
      </c>
    </row>
    <row r="12" spans="1:12" ht="15.75" thickBot="1" x14ac:dyDescent="0.3">
      <c r="A12" s="30" t="s">
        <v>69</v>
      </c>
      <c r="B12" s="147">
        <f>'11'!$F$301</f>
        <v>0</v>
      </c>
      <c r="C12" s="147">
        <f>'11'!$F$302</f>
        <v>0</v>
      </c>
      <c r="D12" s="147">
        <f>'02'!$F$271</f>
        <v>0</v>
      </c>
      <c r="E12" s="147">
        <f>'02'!$F$272</f>
        <v>0</v>
      </c>
      <c r="F12" s="147">
        <f>SUM(B12:E12)</f>
        <v>0</v>
      </c>
      <c r="G12" s="147">
        <f t="shared" si="2"/>
        <v>0</v>
      </c>
      <c r="H12" s="147">
        <f t="shared" si="5"/>
        <v>240</v>
      </c>
      <c r="I12" s="147">
        <v>30</v>
      </c>
      <c r="J12" s="147">
        <f t="shared" si="3"/>
        <v>-240</v>
      </c>
      <c r="K12" s="9">
        <f>'11'!$F$310</f>
        <v>0</v>
      </c>
      <c r="L12" s="9">
        <f t="shared" si="4"/>
        <v>0</v>
      </c>
    </row>
    <row r="13" spans="1:12" ht="15.75" thickBot="1" x14ac:dyDescent="0.3">
      <c r="A13" s="30" t="s">
        <v>70</v>
      </c>
      <c r="B13" s="147">
        <f>'12'!$F$301</f>
        <v>0</v>
      </c>
      <c r="C13" s="147">
        <f>'12'!$F$302</f>
        <v>0</v>
      </c>
      <c r="D13" s="147">
        <f>'02'!$F$271</f>
        <v>0</v>
      </c>
      <c r="E13" s="147">
        <f>'02'!$F$272</f>
        <v>0</v>
      </c>
      <c r="F13" s="147">
        <f>SUM(B13:E13)</f>
        <v>0</v>
      </c>
      <c r="G13" s="147">
        <f t="shared" si="2"/>
        <v>0</v>
      </c>
      <c r="H13" s="147">
        <f t="shared" si="5"/>
        <v>248</v>
      </c>
      <c r="I13" s="147">
        <v>31</v>
      </c>
      <c r="J13" s="147">
        <f t="shared" si="3"/>
        <v>-248</v>
      </c>
      <c r="K13" s="9">
        <f>'12'!$F$310</f>
        <v>0</v>
      </c>
      <c r="L13" s="9">
        <f t="shared" si="4"/>
        <v>0</v>
      </c>
    </row>
    <row r="14" spans="1:12" ht="15.75" thickBot="1" x14ac:dyDescent="0.3">
      <c r="A14" s="25"/>
      <c r="B14" s="147"/>
      <c r="C14" s="147"/>
      <c r="D14" s="147"/>
      <c r="E14" s="147"/>
      <c r="F14" s="147"/>
      <c r="G14" s="147"/>
      <c r="H14" s="147"/>
      <c r="I14" s="147"/>
      <c r="J14" s="147"/>
      <c r="K14" s="9"/>
      <c r="L14" s="9"/>
    </row>
    <row r="15" spans="1:12" ht="15.75" thickBot="1" x14ac:dyDescent="0.3">
      <c r="A15" s="25" t="s">
        <v>50</v>
      </c>
      <c r="B15" s="147">
        <f>SUM(B2:B13)</f>
        <v>0</v>
      </c>
      <c r="C15" s="147">
        <f>SUM(C2:C13)</f>
        <v>0</v>
      </c>
      <c r="D15" s="147">
        <f t="shared" ref="D15:L15" si="6">SUM(D2:D13)</f>
        <v>0</v>
      </c>
      <c r="E15" s="147">
        <f t="shared" si="6"/>
        <v>0</v>
      </c>
      <c r="F15" s="147">
        <f t="shared" si="6"/>
        <v>0</v>
      </c>
      <c r="G15" s="147">
        <f t="shared" si="6"/>
        <v>0</v>
      </c>
      <c r="H15" s="147">
        <f t="shared" si="6"/>
        <v>2920</v>
      </c>
      <c r="I15" s="147">
        <f t="shared" si="6"/>
        <v>365</v>
      </c>
      <c r="J15" s="147">
        <f t="shared" si="6"/>
        <v>-2920</v>
      </c>
      <c r="K15" s="9">
        <f t="shared" si="6"/>
        <v>0</v>
      </c>
      <c r="L15" s="9">
        <f t="shared" si="6"/>
        <v>0</v>
      </c>
    </row>
    <row r="16" spans="1:12" ht="15.75" thickBot="1" x14ac:dyDescent="0.3">
      <c r="A16" s="25"/>
      <c r="B16" s="9"/>
      <c r="C16" s="9"/>
      <c r="D16" s="9"/>
      <c r="E16" s="9"/>
      <c r="F16" s="9"/>
      <c r="G16" s="9"/>
      <c r="H16" s="9"/>
      <c r="I16" s="9"/>
      <c r="J16" s="9"/>
      <c r="K16" s="25" t="s">
        <v>75</v>
      </c>
      <c r="L16" s="9">
        <f>B24-L15</f>
        <v>28</v>
      </c>
    </row>
    <row r="18" spans="1:2" x14ac:dyDescent="0.25">
      <c r="A18" s="28" t="s">
        <v>139</v>
      </c>
      <c r="B18" s="5">
        <f>B19*4.33</f>
        <v>173.2</v>
      </c>
    </row>
    <row r="19" spans="1:2" x14ac:dyDescent="0.25">
      <c r="A19" s="28" t="s">
        <v>51</v>
      </c>
      <c r="B19" s="5">
        <v>40</v>
      </c>
    </row>
    <row r="20" spans="1:2" x14ac:dyDescent="0.25">
      <c r="A20" s="28" t="s">
        <v>52</v>
      </c>
      <c r="B20" s="5">
        <v>5</v>
      </c>
    </row>
    <row r="21" spans="1:2" x14ac:dyDescent="0.25">
      <c r="A21" s="28" t="s">
        <v>73</v>
      </c>
      <c r="B21" s="5">
        <f>B19/B20</f>
        <v>8</v>
      </c>
    </row>
    <row r="22" spans="1:2" x14ac:dyDescent="0.25">
      <c r="A22" s="28"/>
      <c r="B22" s="5"/>
    </row>
    <row r="23" spans="1:2" x14ac:dyDescent="0.25">
      <c r="A23" s="28" t="s">
        <v>76</v>
      </c>
      <c r="B23" s="5">
        <v>2026</v>
      </c>
    </row>
    <row r="24" spans="1:2" ht="30" x14ac:dyDescent="0.25">
      <c r="A24" s="28" t="s">
        <v>49</v>
      </c>
      <c r="B24" s="5">
        <v>28</v>
      </c>
    </row>
    <row r="25" spans="1:2" x14ac:dyDescent="0.25">
      <c r="B25" s="5"/>
    </row>
    <row r="26" spans="1:2" x14ac:dyDescent="0.25">
      <c r="A26" s="28" t="s">
        <v>57</v>
      </c>
      <c r="B26" s="29" t="s">
        <v>92</v>
      </c>
    </row>
    <row r="27" spans="1:2" x14ac:dyDescent="0.25">
      <c r="A27" s="28" t="s">
        <v>58</v>
      </c>
      <c r="B27" s="29" t="s">
        <v>91</v>
      </c>
    </row>
    <row r="28" spans="1:2" x14ac:dyDescent="0.25">
      <c r="A28" s="28"/>
    </row>
    <row r="29" spans="1:2" x14ac:dyDescent="0.25">
      <c r="A29" s="28"/>
    </row>
    <row r="30" spans="1:2" x14ac:dyDescent="0.25">
      <c r="A30" s="28"/>
    </row>
    <row r="31" spans="1:2" x14ac:dyDescent="0.25">
      <c r="A31" s="28"/>
    </row>
    <row r="32" spans="1:2" x14ac:dyDescent="0.25">
      <c r="A32" s="28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52C5-F834-4BC5-8859-F46C0BD071C3}">
  <sheetPr codeName="Tabelle14"/>
  <dimension ref="A1:AE34"/>
  <sheetViews>
    <sheetView zoomScale="55" zoomScaleNormal="55" workbookViewId="0">
      <selection activeCell="P37" sqref="P37"/>
    </sheetView>
  </sheetViews>
  <sheetFormatPr baseColWidth="10" defaultRowHeight="15" x14ac:dyDescent="0.25"/>
  <sheetData>
    <row r="1" spans="1:31" ht="33.75" x14ac:dyDescent="0.25">
      <c r="A1" s="156">
        <v>2026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8"/>
    </row>
    <row r="2" spans="1:3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70"/>
    </row>
    <row r="3" spans="1:31" x14ac:dyDescent="0.25">
      <c r="A3" s="159" t="s">
        <v>157</v>
      </c>
      <c r="B3" s="154"/>
      <c r="C3" s="154"/>
      <c r="D3" s="154"/>
      <c r="E3" s="154"/>
      <c r="F3" s="154"/>
      <c r="G3" s="154"/>
      <c r="H3" s="71"/>
      <c r="I3" s="153" t="s">
        <v>158</v>
      </c>
      <c r="J3" s="154"/>
      <c r="K3" s="154"/>
      <c r="L3" s="154"/>
      <c r="M3" s="154"/>
      <c r="N3" s="154"/>
      <c r="O3" s="154"/>
      <c r="P3" s="71"/>
      <c r="Q3" s="153" t="s">
        <v>159</v>
      </c>
      <c r="R3" s="154"/>
      <c r="S3" s="154"/>
      <c r="T3" s="154"/>
      <c r="U3" s="154"/>
      <c r="V3" s="154"/>
      <c r="W3" s="154"/>
      <c r="X3" s="72"/>
      <c r="Y3" s="160" t="s">
        <v>160</v>
      </c>
      <c r="Z3" s="152"/>
      <c r="AA3" s="152"/>
      <c r="AB3" s="152"/>
      <c r="AC3" s="152"/>
      <c r="AD3" s="152"/>
      <c r="AE3" s="161"/>
    </row>
    <row r="4" spans="1:31" ht="15.75" thickBot="1" x14ac:dyDescent="0.3">
      <c r="A4" s="73" t="s">
        <v>161</v>
      </c>
      <c r="B4" s="74" t="s">
        <v>162</v>
      </c>
      <c r="C4" s="74" t="s">
        <v>163</v>
      </c>
      <c r="D4" s="74" t="s">
        <v>164</v>
      </c>
      <c r="E4" s="74" t="s">
        <v>165</v>
      </c>
      <c r="F4" s="74" t="s">
        <v>166</v>
      </c>
      <c r="G4" s="75" t="s">
        <v>167</v>
      </c>
      <c r="H4" s="71"/>
      <c r="I4" s="76" t="s">
        <v>161</v>
      </c>
      <c r="J4" s="74" t="s">
        <v>162</v>
      </c>
      <c r="K4" s="74" t="s">
        <v>163</v>
      </c>
      <c r="L4" s="74" t="s">
        <v>164</v>
      </c>
      <c r="M4" s="74" t="s">
        <v>165</v>
      </c>
      <c r="N4" s="74" t="s">
        <v>166</v>
      </c>
      <c r="O4" s="75" t="s">
        <v>167</v>
      </c>
      <c r="P4" s="71"/>
      <c r="Q4" s="76" t="s">
        <v>161</v>
      </c>
      <c r="R4" s="74" t="s">
        <v>162</v>
      </c>
      <c r="S4" s="74" t="s">
        <v>163</v>
      </c>
      <c r="T4" s="74" t="s">
        <v>164</v>
      </c>
      <c r="U4" s="74" t="s">
        <v>165</v>
      </c>
      <c r="V4" s="74" t="s">
        <v>166</v>
      </c>
      <c r="W4" s="75" t="s">
        <v>167</v>
      </c>
      <c r="X4" s="72"/>
      <c r="Y4" s="77" t="s">
        <v>161</v>
      </c>
      <c r="Z4" s="77" t="s">
        <v>162</v>
      </c>
      <c r="AA4" s="77" t="s">
        <v>163</v>
      </c>
      <c r="AB4" s="77" t="s">
        <v>164</v>
      </c>
      <c r="AC4" s="77" t="s">
        <v>165</v>
      </c>
      <c r="AD4" s="77" t="s">
        <v>166</v>
      </c>
      <c r="AE4" s="78" t="s">
        <v>167</v>
      </c>
    </row>
    <row r="5" spans="1:31" ht="15.75" thickBot="1" x14ac:dyDescent="0.3">
      <c r="A5" s="79"/>
      <c r="B5" s="80"/>
      <c r="C5" s="80"/>
      <c r="D5" s="81">
        <v>1</v>
      </c>
      <c r="E5" s="96">
        <v>2</v>
      </c>
      <c r="F5" s="83">
        <v>3</v>
      </c>
      <c r="G5" s="84">
        <v>4</v>
      </c>
      <c r="H5" s="71"/>
      <c r="I5" s="85"/>
      <c r="J5" s="80"/>
      <c r="K5" s="80"/>
      <c r="L5" s="80"/>
      <c r="M5" s="80"/>
      <c r="N5" s="80"/>
      <c r="O5" s="84">
        <v>1</v>
      </c>
      <c r="P5" s="71"/>
      <c r="Q5" s="85"/>
      <c r="R5" s="80"/>
      <c r="S5" s="80"/>
      <c r="T5" s="80"/>
      <c r="U5" s="80"/>
      <c r="V5" s="80"/>
      <c r="W5" s="84">
        <v>1</v>
      </c>
      <c r="X5" s="72"/>
      <c r="Y5" s="86"/>
      <c r="Z5" s="87"/>
      <c r="AA5" s="87">
        <v>1</v>
      </c>
      <c r="AB5" s="87">
        <v>2</v>
      </c>
      <c r="AC5" s="88">
        <v>3</v>
      </c>
      <c r="AD5" s="89">
        <v>4</v>
      </c>
      <c r="AE5" s="90">
        <v>5</v>
      </c>
    </row>
    <row r="6" spans="1:31" ht="15.75" thickBot="1" x14ac:dyDescent="0.3">
      <c r="A6" s="99">
        <v>5</v>
      </c>
      <c r="B6" s="91">
        <v>6</v>
      </c>
      <c r="C6" s="82">
        <v>7</v>
      </c>
      <c r="D6" s="82">
        <v>8</v>
      </c>
      <c r="E6" s="82">
        <v>9</v>
      </c>
      <c r="F6" s="83">
        <v>10</v>
      </c>
      <c r="G6" s="84">
        <v>11</v>
      </c>
      <c r="H6" s="71"/>
      <c r="I6" s="92">
        <v>2</v>
      </c>
      <c r="J6" s="82">
        <v>3</v>
      </c>
      <c r="K6" s="82">
        <v>4</v>
      </c>
      <c r="L6" s="82">
        <v>5</v>
      </c>
      <c r="M6" s="82">
        <v>6</v>
      </c>
      <c r="N6" s="83">
        <v>7</v>
      </c>
      <c r="O6" s="84">
        <v>8</v>
      </c>
      <c r="P6" s="71"/>
      <c r="Q6" s="92">
        <v>2</v>
      </c>
      <c r="R6" s="82">
        <v>3</v>
      </c>
      <c r="S6" s="82">
        <v>4</v>
      </c>
      <c r="T6" s="82">
        <v>5</v>
      </c>
      <c r="U6" s="82">
        <v>6</v>
      </c>
      <c r="V6" s="83">
        <v>7</v>
      </c>
      <c r="W6" s="84">
        <v>8</v>
      </c>
      <c r="X6" s="72"/>
      <c r="Y6" s="93">
        <v>6</v>
      </c>
      <c r="Z6" s="87">
        <v>7</v>
      </c>
      <c r="AA6" s="87">
        <v>8</v>
      </c>
      <c r="AB6" s="87">
        <v>9</v>
      </c>
      <c r="AC6" s="87">
        <v>10</v>
      </c>
      <c r="AD6" s="89">
        <v>11</v>
      </c>
      <c r="AE6" s="94">
        <v>12</v>
      </c>
    </row>
    <row r="7" spans="1:31" ht="15.75" thickBot="1" x14ac:dyDescent="0.3">
      <c r="A7" s="95">
        <v>12</v>
      </c>
      <c r="B7" s="82">
        <v>13</v>
      </c>
      <c r="C7" s="82">
        <v>14</v>
      </c>
      <c r="D7" s="82">
        <v>15</v>
      </c>
      <c r="E7" s="82">
        <v>16</v>
      </c>
      <c r="F7" s="83">
        <v>17</v>
      </c>
      <c r="G7" s="84">
        <v>18</v>
      </c>
      <c r="H7" s="71"/>
      <c r="I7" s="92">
        <v>9</v>
      </c>
      <c r="J7" s="82">
        <v>10</v>
      </c>
      <c r="K7" s="82">
        <v>11</v>
      </c>
      <c r="L7" s="82">
        <v>12</v>
      </c>
      <c r="M7" s="82">
        <v>13</v>
      </c>
      <c r="N7" s="83">
        <v>14</v>
      </c>
      <c r="O7" s="84">
        <v>15</v>
      </c>
      <c r="P7" s="71"/>
      <c r="Q7" s="92">
        <v>9</v>
      </c>
      <c r="R7" s="82">
        <v>10</v>
      </c>
      <c r="S7" s="82">
        <v>11</v>
      </c>
      <c r="T7" s="82">
        <v>12</v>
      </c>
      <c r="U7" s="82">
        <v>13</v>
      </c>
      <c r="V7" s="83">
        <v>14</v>
      </c>
      <c r="W7" s="84">
        <v>15</v>
      </c>
      <c r="X7" s="72"/>
      <c r="Y7" s="97">
        <v>13</v>
      </c>
      <c r="Z7" s="98">
        <v>14</v>
      </c>
      <c r="AA7" s="98">
        <v>15</v>
      </c>
      <c r="AB7" s="98">
        <v>16</v>
      </c>
      <c r="AC7" s="87">
        <v>17</v>
      </c>
      <c r="AD7" s="89">
        <v>18</v>
      </c>
      <c r="AE7" s="94">
        <v>19</v>
      </c>
    </row>
    <row r="8" spans="1:31" ht="15.75" thickBot="1" x14ac:dyDescent="0.3">
      <c r="A8" s="95">
        <v>19</v>
      </c>
      <c r="B8" s="82">
        <v>20</v>
      </c>
      <c r="C8" s="82">
        <v>21</v>
      </c>
      <c r="D8" s="82">
        <v>22</v>
      </c>
      <c r="E8" s="82">
        <v>23</v>
      </c>
      <c r="F8" s="83">
        <v>24</v>
      </c>
      <c r="G8" s="84">
        <v>25</v>
      </c>
      <c r="H8" s="71"/>
      <c r="I8" s="92">
        <v>16</v>
      </c>
      <c r="J8" s="82">
        <v>17</v>
      </c>
      <c r="K8" s="82">
        <v>18</v>
      </c>
      <c r="L8" s="82">
        <v>19</v>
      </c>
      <c r="M8" s="82">
        <v>20</v>
      </c>
      <c r="N8" s="83">
        <v>21</v>
      </c>
      <c r="O8" s="84">
        <v>22</v>
      </c>
      <c r="P8" s="71"/>
      <c r="Q8" s="92">
        <v>16</v>
      </c>
      <c r="R8" s="82">
        <v>17</v>
      </c>
      <c r="S8" s="82">
        <v>18</v>
      </c>
      <c r="T8" s="82">
        <v>19</v>
      </c>
      <c r="U8" s="82">
        <v>20</v>
      </c>
      <c r="V8" s="83">
        <v>21</v>
      </c>
      <c r="W8" s="84">
        <v>22</v>
      </c>
      <c r="X8" s="72"/>
      <c r="Y8" s="87">
        <v>20</v>
      </c>
      <c r="Z8" s="98">
        <v>21</v>
      </c>
      <c r="AA8" s="98">
        <v>22</v>
      </c>
      <c r="AB8" s="98">
        <v>23</v>
      </c>
      <c r="AC8" s="98">
        <v>24</v>
      </c>
      <c r="AD8" s="89">
        <v>25</v>
      </c>
      <c r="AE8" s="94">
        <v>26</v>
      </c>
    </row>
    <row r="9" spans="1:31" ht="15.75" thickBot="1" x14ac:dyDescent="0.3">
      <c r="A9" s="99">
        <v>26</v>
      </c>
      <c r="B9" s="96">
        <v>27</v>
      </c>
      <c r="C9" s="96">
        <v>28</v>
      </c>
      <c r="D9" s="96">
        <v>29</v>
      </c>
      <c r="E9" s="96">
        <v>30</v>
      </c>
      <c r="F9" s="83">
        <v>31</v>
      </c>
      <c r="G9" s="100"/>
      <c r="H9" s="71"/>
      <c r="I9" s="101">
        <v>23</v>
      </c>
      <c r="J9" s="96">
        <v>24</v>
      </c>
      <c r="K9" s="96">
        <v>25</v>
      </c>
      <c r="L9" s="96">
        <v>26</v>
      </c>
      <c r="M9" s="96">
        <v>27</v>
      </c>
      <c r="N9" s="83">
        <v>28</v>
      </c>
      <c r="O9" s="100"/>
      <c r="P9" s="71"/>
      <c r="Q9" s="101">
        <v>23</v>
      </c>
      <c r="R9" s="96">
        <v>24</v>
      </c>
      <c r="S9" s="96">
        <v>25</v>
      </c>
      <c r="T9" s="96">
        <v>26</v>
      </c>
      <c r="U9" s="96">
        <v>27</v>
      </c>
      <c r="V9" s="83">
        <v>28</v>
      </c>
      <c r="W9" s="102">
        <v>29</v>
      </c>
      <c r="X9" s="72"/>
      <c r="Y9" s="87">
        <v>27</v>
      </c>
      <c r="Z9" s="87">
        <v>28</v>
      </c>
      <c r="AA9" s="87">
        <v>29</v>
      </c>
      <c r="AB9" s="87">
        <v>30</v>
      </c>
      <c r="AC9" s="86"/>
      <c r="AD9" s="86"/>
      <c r="AE9" s="103"/>
    </row>
    <row r="10" spans="1:31" ht="15.75" thickBot="1" x14ac:dyDescent="0.3">
      <c r="A10" s="79"/>
      <c r="B10" s="80"/>
      <c r="C10" s="80"/>
      <c r="D10" s="80"/>
      <c r="E10" s="80"/>
      <c r="F10" s="80"/>
      <c r="G10" s="80"/>
      <c r="H10" s="71"/>
      <c r="I10" s="80"/>
      <c r="J10" s="80"/>
      <c r="K10" s="80"/>
      <c r="L10" s="80"/>
      <c r="M10" s="80"/>
      <c r="N10" s="80"/>
      <c r="O10" s="80"/>
      <c r="P10" s="71"/>
      <c r="Q10" s="104">
        <v>30</v>
      </c>
      <c r="R10" s="104">
        <v>31</v>
      </c>
      <c r="S10" s="105"/>
      <c r="T10" s="105"/>
      <c r="U10" s="105"/>
      <c r="V10" s="105"/>
      <c r="W10" s="106"/>
      <c r="X10" s="72"/>
      <c r="Y10" s="80"/>
      <c r="Z10" s="80"/>
      <c r="AA10" s="80"/>
      <c r="AB10" s="80"/>
      <c r="AC10" s="80"/>
      <c r="AD10" s="80"/>
      <c r="AE10" s="103"/>
    </row>
    <row r="11" spans="1:31" x14ac:dyDescent="0.25">
      <c r="A11" s="107"/>
      <c r="B11" s="108"/>
      <c r="C11" s="108"/>
      <c r="D11" s="108"/>
      <c r="E11" s="108"/>
      <c r="F11" s="108"/>
      <c r="G11" s="108"/>
      <c r="H11" s="71"/>
      <c r="I11" s="109"/>
      <c r="J11" s="108"/>
      <c r="K11" s="108"/>
      <c r="L11" s="108"/>
      <c r="M11" s="108"/>
      <c r="N11" s="108"/>
      <c r="O11" s="108"/>
      <c r="P11" s="71"/>
      <c r="Q11" s="110"/>
      <c r="R11" s="111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112"/>
    </row>
    <row r="12" spans="1:31" x14ac:dyDescent="0.25">
      <c r="A12" s="151" t="s">
        <v>168</v>
      </c>
      <c r="B12" s="152"/>
      <c r="C12" s="152"/>
      <c r="D12" s="152"/>
      <c r="E12" s="152"/>
      <c r="F12" s="152"/>
      <c r="G12" s="153"/>
      <c r="H12" s="71"/>
      <c r="I12" s="154" t="s">
        <v>169</v>
      </c>
      <c r="J12" s="154"/>
      <c r="K12" s="154"/>
      <c r="L12" s="154"/>
      <c r="M12" s="154"/>
      <c r="N12" s="154"/>
      <c r="O12" s="154"/>
      <c r="P12" s="71"/>
      <c r="Q12" s="153" t="s">
        <v>170</v>
      </c>
      <c r="R12" s="154"/>
      <c r="S12" s="154"/>
      <c r="T12" s="154"/>
      <c r="U12" s="154"/>
      <c r="V12" s="154"/>
      <c r="W12" s="154"/>
      <c r="X12" s="71"/>
      <c r="Y12" s="154" t="s">
        <v>171</v>
      </c>
      <c r="Z12" s="154"/>
      <c r="AA12" s="154"/>
      <c r="AB12" s="154"/>
      <c r="AC12" s="154"/>
      <c r="AD12" s="154"/>
      <c r="AE12" s="155"/>
    </row>
    <row r="13" spans="1:31" ht="15.75" thickBot="1" x14ac:dyDescent="0.3">
      <c r="A13" s="113" t="s">
        <v>161</v>
      </c>
      <c r="B13" s="114" t="s">
        <v>162</v>
      </c>
      <c r="C13" s="114" t="s">
        <v>163</v>
      </c>
      <c r="D13" s="114" t="s">
        <v>164</v>
      </c>
      <c r="E13" s="114" t="s">
        <v>165</v>
      </c>
      <c r="F13" s="114" t="s">
        <v>166</v>
      </c>
      <c r="G13" s="114" t="s">
        <v>167</v>
      </c>
      <c r="H13" s="71"/>
      <c r="I13" s="76" t="s">
        <v>161</v>
      </c>
      <c r="J13" s="74" t="s">
        <v>162</v>
      </c>
      <c r="K13" s="74" t="s">
        <v>163</v>
      </c>
      <c r="L13" s="74" t="s">
        <v>164</v>
      </c>
      <c r="M13" s="74" t="s">
        <v>165</v>
      </c>
      <c r="N13" s="74" t="s">
        <v>166</v>
      </c>
      <c r="O13" s="75" t="s">
        <v>167</v>
      </c>
      <c r="P13" s="71"/>
      <c r="Q13" s="76" t="s">
        <v>161</v>
      </c>
      <c r="R13" s="74" t="s">
        <v>162</v>
      </c>
      <c r="S13" s="74" t="s">
        <v>163</v>
      </c>
      <c r="T13" s="74" t="s">
        <v>164</v>
      </c>
      <c r="U13" s="74" t="s">
        <v>165</v>
      </c>
      <c r="V13" s="74" t="s">
        <v>166</v>
      </c>
      <c r="W13" s="75" t="s">
        <v>167</v>
      </c>
      <c r="X13" s="71"/>
      <c r="Y13" s="77" t="s">
        <v>161</v>
      </c>
      <c r="Z13" s="77" t="s">
        <v>162</v>
      </c>
      <c r="AA13" s="77" t="s">
        <v>163</v>
      </c>
      <c r="AB13" s="77" t="s">
        <v>164</v>
      </c>
      <c r="AC13" s="77" t="s">
        <v>165</v>
      </c>
      <c r="AD13" s="77" t="s">
        <v>166</v>
      </c>
      <c r="AE13" s="78" t="s">
        <v>167</v>
      </c>
    </row>
    <row r="14" spans="1:31" ht="15.75" thickBot="1" x14ac:dyDescent="0.3">
      <c r="A14" s="115"/>
      <c r="B14" s="116"/>
      <c r="C14" s="116"/>
      <c r="D14" s="116"/>
      <c r="E14" s="117">
        <v>1</v>
      </c>
      <c r="F14" s="118">
        <v>2</v>
      </c>
      <c r="G14" s="119">
        <v>3</v>
      </c>
      <c r="H14" s="71"/>
      <c r="I14" s="101">
        <v>1</v>
      </c>
      <c r="J14" s="101">
        <v>2</v>
      </c>
      <c r="K14" s="101">
        <v>3</v>
      </c>
      <c r="L14" s="120">
        <v>4</v>
      </c>
      <c r="M14" s="101">
        <v>5</v>
      </c>
      <c r="N14" s="83">
        <v>6</v>
      </c>
      <c r="O14" s="84">
        <v>7</v>
      </c>
      <c r="P14" s="71"/>
      <c r="Q14" s="85"/>
      <c r="R14" s="85"/>
      <c r="S14" s="142">
        <v>1</v>
      </c>
      <c r="T14" s="142">
        <v>2</v>
      </c>
      <c r="U14" s="142">
        <v>3</v>
      </c>
      <c r="V14" s="83">
        <v>4</v>
      </c>
      <c r="W14" s="84">
        <v>5</v>
      </c>
      <c r="X14" s="71"/>
      <c r="Y14" s="86"/>
      <c r="Z14" s="86"/>
      <c r="AA14" s="86"/>
      <c r="AB14" s="86"/>
      <c r="AC14" s="86"/>
      <c r="AD14" s="89">
        <v>1</v>
      </c>
      <c r="AE14" s="94">
        <v>2</v>
      </c>
    </row>
    <row r="15" spans="1:31" ht="15.75" thickBot="1" x14ac:dyDescent="0.3">
      <c r="A15" s="121">
        <v>4</v>
      </c>
      <c r="B15" s="122">
        <v>5</v>
      </c>
      <c r="C15" s="122">
        <v>6</v>
      </c>
      <c r="D15" s="122">
        <v>7</v>
      </c>
      <c r="E15" s="122">
        <v>8</v>
      </c>
      <c r="F15" s="118">
        <v>9</v>
      </c>
      <c r="G15" s="123">
        <v>10</v>
      </c>
      <c r="H15" s="71"/>
      <c r="I15" s="92">
        <v>8</v>
      </c>
      <c r="J15" s="82">
        <v>9</v>
      </c>
      <c r="K15" s="82">
        <v>10</v>
      </c>
      <c r="L15" s="82">
        <v>11</v>
      </c>
      <c r="M15" s="82">
        <v>12</v>
      </c>
      <c r="N15" s="83">
        <v>13</v>
      </c>
      <c r="O15" s="83">
        <v>14</v>
      </c>
      <c r="P15" s="71"/>
      <c r="Q15" s="92">
        <v>6</v>
      </c>
      <c r="R15" s="82">
        <v>7</v>
      </c>
      <c r="S15" s="82">
        <v>8</v>
      </c>
      <c r="T15" s="82">
        <v>9</v>
      </c>
      <c r="U15" s="82">
        <v>10</v>
      </c>
      <c r="V15" s="83">
        <v>11</v>
      </c>
      <c r="W15" s="84">
        <v>12</v>
      </c>
      <c r="X15" s="71"/>
      <c r="Y15" s="87">
        <v>3</v>
      </c>
      <c r="Z15" s="87">
        <v>4</v>
      </c>
      <c r="AA15" s="87">
        <v>5</v>
      </c>
      <c r="AB15" s="87">
        <v>6</v>
      </c>
      <c r="AC15" s="87">
        <v>7</v>
      </c>
      <c r="AD15" s="89">
        <v>8</v>
      </c>
      <c r="AE15" s="94">
        <v>9</v>
      </c>
    </row>
    <row r="16" spans="1:31" ht="15.75" thickBot="1" x14ac:dyDescent="0.3">
      <c r="A16" s="124">
        <v>11</v>
      </c>
      <c r="B16" s="87">
        <v>12</v>
      </c>
      <c r="C16" s="87">
        <v>13</v>
      </c>
      <c r="D16" s="88">
        <v>14</v>
      </c>
      <c r="E16" s="87">
        <v>15</v>
      </c>
      <c r="F16" s="89">
        <v>16</v>
      </c>
      <c r="G16" s="118">
        <v>17</v>
      </c>
      <c r="H16" s="71"/>
      <c r="I16" s="82">
        <v>15</v>
      </c>
      <c r="J16" s="82">
        <v>16</v>
      </c>
      <c r="K16" s="82">
        <v>17</v>
      </c>
      <c r="L16" s="82">
        <v>18</v>
      </c>
      <c r="M16" s="82">
        <v>19</v>
      </c>
      <c r="N16" s="83">
        <v>20</v>
      </c>
      <c r="O16" s="84">
        <v>21</v>
      </c>
      <c r="P16" s="71"/>
      <c r="Q16" s="92">
        <v>13</v>
      </c>
      <c r="R16" s="82">
        <v>14</v>
      </c>
      <c r="S16" s="82">
        <v>15</v>
      </c>
      <c r="T16" s="82">
        <v>16</v>
      </c>
      <c r="U16" s="82">
        <v>17</v>
      </c>
      <c r="V16" s="83">
        <v>18</v>
      </c>
      <c r="W16" s="84">
        <v>19</v>
      </c>
      <c r="X16" s="71"/>
      <c r="Y16" s="87">
        <v>10</v>
      </c>
      <c r="Z16" s="87">
        <v>11</v>
      </c>
      <c r="AA16" s="87">
        <v>12</v>
      </c>
      <c r="AB16" s="87">
        <v>13</v>
      </c>
      <c r="AC16" s="87">
        <v>14</v>
      </c>
      <c r="AD16" s="89">
        <v>15</v>
      </c>
      <c r="AE16" s="94">
        <v>16</v>
      </c>
    </row>
    <row r="17" spans="1:31" ht="15.75" thickBot="1" x14ac:dyDescent="0.3">
      <c r="A17" s="124">
        <v>18</v>
      </c>
      <c r="B17" s="87">
        <v>19</v>
      </c>
      <c r="C17" s="87">
        <v>20</v>
      </c>
      <c r="D17" s="87">
        <v>21</v>
      </c>
      <c r="E17" s="87">
        <v>22</v>
      </c>
      <c r="F17" s="89">
        <v>23</v>
      </c>
      <c r="G17" s="93">
        <v>24</v>
      </c>
      <c r="H17" s="71"/>
      <c r="I17" s="141">
        <v>22</v>
      </c>
      <c r="J17" s="142">
        <v>23</v>
      </c>
      <c r="K17" s="142">
        <v>24</v>
      </c>
      <c r="L17" s="142">
        <v>25</v>
      </c>
      <c r="M17" s="142">
        <v>26</v>
      </c>
      <c r="N17" s="83">
        <v>27</v>
      </c>
      <c r="O17" s="84">
        <v>28</v>
      </c>
      <c r="P17" s="71"/>
      <c r="Q17" s="92">
        <v>20</v>
      </c>
      <c r="R17" s="82">
        <v>21</v>
      </c>
      <c r="S17" s="82">
        <v>22</v>
      </c>
      <c r="T17" s="82">
        <v>23</v>
      </c>
      <c r="U17" s="82">
        <v>24</v>
      </c>
      <c r="V17" s="83">
        <v>25</v>
      </c>
      <c r="W17" s="84">
        <v>26</v>
      </c>
      <c r="X17" s="71"/>
      <c r="Y17" s="87">
        <v>17</v>
      </c>
      <c r="Z17" s="87">
        <v>18</v>
      </c>
      <c r="AA17" s="87">
        <v>19</v>
      </c>
      <c r="AB17" s="87">
        <v>20</v>
      </c>
      <c r="AC17" s="87">
        <v>21</v>
      </c>
      <c r="AD17" s="89">
        <v>22</v>
      </c>
      <c r="AE17" s="94">
        <v>23</v>
      </c>
    </row>
    <row r="18" spans="1:31" ht="15.75" thickBot="1" x14ac:dyDescent="0.3">
      <c r="A18" s="125">
        <v>25</v>
      </c>
      <c r="B18" s="87">
        <v>26</v>
      </c>
      <c r="C18" s="87">
        <v>27</v>
      </c>
      <c r="D18" s="87">
        <v>28</v>
      </c>
      <c r="E18" s="87">
        <v>29</v>
      </c>
      <c r="F18" s="118">
        <v>30</v>
      </c>
      <c r="G18" s="118">
        <v>31</v>
      </c>
      <c r="H18" s="71"/>
      <c r="I18" s="143">
        <v>29</v>
      </c>
      <c r="J18" s="142">
        <v>30</v>
      </c>
      <c r="K18" s="105"/>
      <c r="L18" s="105"/>
      <c r="M18" s="105"/>
      <c r="N18" s="105"/>
      <c r="O18" s="105"/>
      <c r="P18" s="71"/>
      <c r="Q18" s="101">
        <v>27</v>
      </c>
      <c r="R18" s="96">
        <v>28</v>
      </c>
      <c r="S18" s="96">
        <v>29</v>
      </c>
      <c r="T18" s="96">
        <v>30</v>
      </c>
      <c r="U18" s="96">
        <v>31</v>
      </c>
      <c r="V18" s="80"/>
      <c r="W18" s="100"/>
      <c r="X18" s="71"/>
      <c r="Y18" s="87">
        <v>24</v>
      </c>
      <c r="Z18" s="87">
        <v>25</v>
      </c>
      <c r="AA18" s="87">
        <v>26</v>
      </c>
      <c r="AB18" s="87">
        <v>27</v>
      </c>
      <c r="AC18" s="87">
        <v>28</v>
      </c>
      <c r="AD18" s="89">
        <v>29</v>
      </c>
      <c r="AE18" s="126">
        <v>30</v>
      </c>
    </row>
    <row r="19" spans="1:31" ht="15.75" thickBot="1" x14ac:dyDescent="0.3">
      <c r="A19" s="79"/>
      <c r="B19" s="80"/>
      <c r="C19" s="80"/>
      <c r="D19" s="80"/>
      <c r="E19" s="80"/>
      <c r="F19" s="80"/>
      <c r="G19" s="80"/>
      <c r="H19" s="71"/>
      <c r="I19" s="105"/>
      <c r="J19" s="105"/>
      <c r="K19" s="105"/>
      <c r="L19" s="105"/>
      <c r="M19" s="105"/>
      <c r="N19" s="105"/>
      <c r="O19" s="106"/>
      <c r="P19" s="71"/>
      <c r="Q19" s="80"/>
      <c r="R19" s="80"/>
      <c r="S19" s="80"/>
      <c r="T19" s="80"/>
      <c r="U19" s="80"/>
      <c r="V19" s="80"/>
      <c r="W19" s="100"/>
      <c r="X19" s="71"/>
      <c r="Y19" s="87">
        <v>31</v>
      </c>
      <c r="Z19" s="86"/>
      <c r="AA19" s="86"/>
      <c r="AB19" s="86"/>
      <c r="AC19" s="86"/>
      <c r="AD19" s="86"/>
      <c r="AE19" s="103"/>
    </row>
    <row r="20" spans="1:31" x14ac:dyDescent="0.25">
      <c r="A20" s="107"/>
      <c r="B20" s="108"/>
      <c r="C20" s="108"/>
      <c r="D20" s="108"/>
      <c r="E20" s="108"/>
      <c r="F20" s="108"/>
      <c r="G20" s="108"/>
      <c r="H20" s="71"/>
      <c r="I20" s="108"/>
      <c r="J20" s="108"/>
      <c r="K20" s="108"/>
      <c r="L20" s="108"/>
      <c r="M20" s="108"/>
      <c r="N20" s="108"/>
      <c r="O20" s="108"/>
      <c r="P20" s="71"/>
      <c r="Q20" s="110"/>
      <c r="R20" s="111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112"/>
    </row>
    <row r="21" spans="1:31" x14ac:dyDescent="0.25">
      <c r="A21" s="151" t="s">
        <v>172</v>
      </c>
      <c r="B21" s="152"/>
      <c r="C21" s="152"/>
      <c r="D21" s="152"/>
      <c r="E21" s="152"/>
      <c r="F21" s="152"/>
      <c r="G21" s="153"/>
      <c r="H21" s="71"/>
      <c r="I21" s="154" t="s">
        <v>173</v>
      </c>
      <c r="J21" s="154"/>
      <c r="K21" s="154"/>
      <c r="L21" s="154"/>
      <c r="M21" s="154"/>
      <c r="N21" s="154"/>
      <c r="O21" s="154"/>
      <c r="P21" s="71"/>
      <c r="Q21" s="153" t="s">
        <v>174</v>
      </c>
      <c r="R21" s="154"/>
      <c r="S21" s="154"/>
      <c r="T21" s="154"/>
      <c r="U21" s="154"/>
      <c r="V21" s="154"/>
      <c r="W21" s="154"/>
      <c r="X21" s="71"/>
      <c r="Y21" s="154" t="s">
        <v>175</v>
      </c>
      <c r="Z21" s="154"/>
      <c r="AA21" s="154"/>
      <c r="AB21" s="154"/>
      <c r="AC21" s="154"/>
      <c r="AD21" s="154"/>
      <c r="AE21" s="155"/>
    </row>
    <row r="22" spans="1:31" ht="15.75" thickBot="1" x14ac:dyDescent="0.3">
      <c r="A22" s="73" t="s">
        <v>161</v>
      </c>
      <c r="B22" s="74" t="s">
        <v>162</v>
      </c>
      <c r="C22" s="74" t="s">
        <v>163</v>
      </c>
      <c r="D22" s="74" t="s">
        <v>164</v>
      </c>
      <c r="E22" s="74" t="s">
        <v>165</v>
      </c>
      <c r="F22" s="74" t="s">
        <v>166</v>
      </c>
      <c r="G22" s="75" t="s">
        <v>167</v>
      </c>
      <c r="H22" s="71"/>
      <c r="I22" s="76" t="s">
        <v>161</v>
      </c>
      <c r="J22" s="74" t="s">
        <v>162</v>
      </c>
      <c r="K22" s="74" t="s">
        <v>163</v>
      </c>
      <c r="L22" s="74" t="s">
        <v>164</v>
      </c>
      <c r="M22" s="74" t="s">
        <v>165</v>
      </c>
      <c r="N22" s="74" t="s">
        <v>166</v>
      </c>
      <c r="O22" s="75" t="s">
        <v>167</v>
      </c>
      <c r="P22" s="71"/>
      <c r="Q22" s="76" t="s">
        <v>161</v>
      </c>
      <c r="R22" s="74" t="s">
        <v>162</v>
      </c>
      <c r="S22" s="74" t="s">
        <v>163</v>
      </c>
      <c r="T22" s="74" t="s">
        <v>164</v>
      </c>
      <c r="U22" s="74" t="s">
        <v>165</v>
      </c>
      <c r="V22" s="74" t="s">
        <v>166</v>
      </c>
      <c r="W22" s="75" t="s">
        <v>167</v>
      </c>
      <c r="X22" s="71"/>
      <c r="Y22" s="76" t="s">
        <v>161</v>
      </c>
      <c r="Z22" s="77" t="s">
        <v>162</v>
      </c>
      <c r="AA22" s="77" t="s">
        <v>163</v>
      </c>
      <c r="AB22" s="77" t="s">
        <v>164</v>
      </c>
      <c r="AC22" s="77" t="s">
        <v>165</v>
      </c>
      <c r="AD22" s="77" t="s">
        <v>166</v>
      </c>
      <c r="AE22" s="78" t="s">
        <v>167</v>
      </c>
    </row>
    <row r="23" spans="1:31" ht="15.75" thickBot="1" x14ac:dyDescent="0.3">
      <c r="A23" s="99"/>
      <c r="B23" s="96">
        <v>1</v>
      </c>
      <c r="C23" s="96">
        <v>2</v>
      </c>
      <c r="D23" s="96">
        <v>3</v>
      </c>
      <c r="E23" s="96">
        <v>4</v>
      </c>
      <c r="F23" s="83">
        <v>5</v>
      </c>
      <c r="G23" s="102">
        <v>6</v>
      </c>
      <c r="H23" s="71"/>
      <c r="I23" s="85"/>
      <c r="J23" s="80"/>
      <c r="K23" s="80"/>
      <c r="L23" s="82">
        <v>1</v>
      </c>
      <c r="M23" s="82">
        <v>2</v>
      </c>
      <c r="N23" s="81">
        <v>3</v>
      </c>
      <c r="O23" s="84">
        <v>4</v>
      </c>
      <c r="P23" s="71"/>
      <c r="Q23" s="85"/>
      <c r="R23" s="80"/>
      <c r="S23" s="80"/>
      <c r="T23" s="80"/>
      <c r="U23" s="80"/>
      <c r="V23" s="80"/>
      <c r="W23" s="127">
        <v>1</v>
      </c>
      <c r="X23" s="71"/>
      <c r="Y23" s="85"/>
      <c r="Z23" s="98">
        <v>1</v>
      </c>
      <c r="AA23" s="98">
        <v>2</v>
      </c>
      <c r="AB23" s="98">
        <v>3</v>
      </c>
      <c r="AC23" s="98">
        <v>4</v>
      </c>
      <c r="AD23" s="89">
        <v>5</v>
      </c>
      <c r="AE23" s="94">
        <v>6</v>
      </c>
    </row>
    <row r="24" spans="1:31" ht="15.75" thickBot="1" x14ac:dyDescent="0.3">
      <c r="A24" s="99">
        <v>7</v>
      </c>
      <c r="B24" s="96">
        <v>8</v>
      </c>
      <c r="C24" s="96">
        <v>9</v>
      </c>
      <c r="D24" s="96">
        <v>10</v>
      </c>
      <c r="E24" s="96">
        <v>11</v>
      </c>
      <c r="F24" s="83">
        <v>12</v>
      </c>
      <c r="G24" s="84">
        <v>13</v>
      </c>
      <c r="H24" s="71"/>
      <c r="I24" s="92">
        <v>5</v>
      </c>
      <c r="J24" s="82">
        <v>6</v>
      </c>
      <c r="K24" s="82">
        <v>7</v>
      </c>
      <c r="L24" s="82">
        <v>8</v>
      </c>
      <c r="M24" s="82">
        <v>9</v>
      </c>
      <c r="N24" s="83">
        <v>10</v>
      </c>
      <c r="O24" s="84">
        <v>11</v>
      </c>
      <c r="P24" s="111"/>
      <c r="Q24" s="92">
        <v>2</v>
      </c>
      <c r="R24" s="82">
        <v>3</v>
      </c>
      <c r="S24" s="82">
        <v>4</v>
      </c>
      <c r="T24" s="82">
        <v>5</v>
      </c>
      <c r="U24" s="82">
        <v>6</v>
      </c>
      <c r="V24" s="83">
        <v>7</v>
      </c>
      <c r="W24" s="84">
        <v>8</v>
      </c>
      <c r="X24" s="111"/>
      <c r="Y24" s="97">
        <v>7</v>
      </c>
      <c r="Z24" s="98">
        <v>8</v>
      </c>
      <c r="AA24" s="98">
        <v>9</v>
      </c>
      <c r="AB24" s="98">
        <v>10</v>
      </c>
      <c r="AC24" s="98">
        <v>11</v>
      </c>
      <c r="AD24" s="89">
        <v>12</v>
      </c>
      <c r="AE24" s="94">
        <v>13</v>
      </c>
    </row>
    <row r="25" spans="1:31" ht="15.75" thickBot="1" x14ac:dyDescent="0.3">
      <c r="A25" s="99">
        <v>14</v>
      </c>
      <c r="B25" s="96">
        <v>15</v>
      </c>
      <c r="C25" s="96">
        <v>16</v>
      </c>
      <c r="D25" s="96">
        <v>17</v>
      </c>
      <c r="E25" s="96">
        <v>18</v>
      </c>
      <c r="F25" s="83">
        <v>19</v>
      </c>
      <c r="G25" s="84">
        <v>20</v>
      </c>
      <c r="H25" s="111"/>
      <c r="I25" s="92">
        <v>12</v>
      </c>
      <c r="J25" s="82">
        <v>13</v>
      </c>
      <c r="K25" s="82">
        <v>14</v>
      </c>
      <c r="L25" s="82">
        <v>15</v>
      </c>
      <c r="M25" s="82">
        <v>16</v>
      </c>
      <c r="N25" s="83">
        <v>17</v>
      </c>
      <c r="O25" s="84">
        <v>18</v>
      </c>
      <c r="P25" s="111"/>
      <c r="Q25" s="92">
        <v>9</v>
      </c>
      <c r="R25" s="82">
        <v>10</v>
      </c>
      <c r="S25" s="82">
        <v>11</v>
      </c>
      <c r="T25" s="82">
        <v>12</v>
      </c>
      <c r="U25" s="82">
        <v>13</v>
      </c>
      <c r="V25" s="83">
        <v>14</v>
      </c>
      <c r="W25" s="84">
        <v>15</v>
      </c>
      <c r="X25" s="111"/>
      <c r="Y25" s="97">
        <v>14</v>
      </c>
      <c r="Z25" s="98">
        <v>15</v>
      </c>
      <c r="AA25" s="98">
        <v>16</v>
      </c>
      <c r="AB25" s="98">
        <v>17</v>
      </c>
      <c r="AC25" s="98">
        <v>18</v>
      </c>
      <c r="AD25" s="89">
        <v>19</v>
      </c>
      <c r="AE25" s="94">
        <v>20</v>
      </c>
    </row>
    <row r="26" spans="1:31" ht="15.75" thickBot="1" x14ac:dyDescent="0.3">
      <c r="A26" s="99">
        <v>21</v>
      </c>
      <c r="B26" s="96">
        <v>22</v>
      </c>
      <c r="C26" s="96">
        <v>23</v>
      </c>
      <c r="D26" s="96">
        <v>24</v>
      </c>
      <c r="E26" s="96">
        <v>25</v>
      </c>
      <c r="F26" s="83">
        <v>26</v>
      </c>
      <c r="G26" s="84">
        <v>27</v>
      </c>
      <c r="H26" s="111"/>
      <c r="I26" s="92">
        <v>19</v>
      </c>
      <c r="J26" s="82">
        <v>20</v>
      </c>
      <c r="K26" s="82">
        <v>21</v>
      </c>
      <c r="L26" s="82">
        <v>22</v>
      </c>
      <c r="M26" s="82">
        <v>23</v>
      </c>
      <c r="N26" s="83">
        <v>24</v>
      </c>
      <c r="O26" s="84">
        <v>25</v>
      </c>
      <c r="P26" s="111"/>
      <c r="Q26" s="92">
        <v>16</v>
      </c>
      <c r="R26" s="82">
        <v>17</v>
      </c>
      <c r="S26" s="96">
        <v>18</v>
      </c>
      <c r="T26" s="82">
        <v>19</v>
      </c>
      <c r="U26" s="82">
        <v>20</v>
      </c>
      <c r="V26" s="83">
        <v>21</v>
      </c>
      <c r="W26" s="84">
        <v>22</v>
      </c>
      <c r="X26" s="111"/>
      <c r="Y26" s="97">
        <v>21</v>
      </c>
      <c r="Z26" s="98">
        <v>22</v>
      </c>
      <c r="AA26" s="87">
        <v>23</v>
      </c>
      <c r="AB26" s="87">
        <v>24</v>
      </c>
      <c r="AC26" s="88">
        <v>25</v>
      </c>
      <c r="AD26" s="88">
        <v>26</v>
      </c>
      <c r="AE26" s="94">
        <v>27</v>
      </c>
    </row>
    <row r="27" spans="1:31" ht="15.75" thickBot="1" x14ac:dyDescent="0.3">
      <c r="A27" s="99">
        <v>28</v>
      </c>
      <c r="B27" s="96">
        <v>29</v>
      </c>
      <c r="C27" s="96">
        <v>30</v>
      </c>
      <c r="D27" s="80"/>
      <c r="E27" s="80"/>
      <c r="F27" s="80"/>
      <c r="G27" s="100"/>
      <c r="H27" s="111"/>
      <c r="I27" s="101">
        <v>26</v>
      </c>
      <c r="J27" s="96">
        <v>27</v>
      </c>
      <c r="K27" s="96">
        <v>28</v>
      </c>
      <c r="L27" s="96">
        <v>29</v>
      </c>
      <c r="M27" s="96">
        <v>30</v>
      </c>
      <c r="N27" s="83">
        <v>31</v>
      </c>
      <c r="O27" s="100"/>
      <c r="P27" s="111"/>
      <c r="Q27" s="101">
        <v>23</v>
      </c>
      <c r="R27" s="96">
        <v>24</v>
      </c>
      <c r="S27" s="96">
        <v>25</v>
      </c>
      <c r="T27" s="96">
        <v>26</v>
      </c>
      <c r="U27" s="96">
        <v>27</v>
      </c>
      <c r="V27" s="83">
        <v>28</v>
      </c>
      <c r="W27" s="102">
        <v>29</v>
      </c>
      <c r="X27" s="111"/>
      <c r="Y27" s="87">
        <v>28</v>
      </c>
      <c r="Z27" s="87">
        <v>29</v>
      </c>
      <c r="AA27" s="87">
        <v>30</v>
      </c>
      <c r="AB27" s="87">
        <v>31</v>
      </c>
      <c r="AC27" s="86"/>
      <c r="AD27" s="86"/>
      <c r="AE27" s="103"/>
    </row>
    <row r="28" spans="1:31" ht="15.75" thickBot="1" x14ac:dyDescent="0.3">
      <c r="A28" s="79"/>
      <c r="B28" s="80"/>
      <c r="C28" s="80"/>
      <c r="D28" s="80"/>
      <c r="E28" s="80"/>
      <c r="F28" s="80"/>
      <c r="G28" s="80"/>
      <c r="H28" s="111"/>
      <c r="I28" s="100"/>
      <c r="J28" s="100"/>
      <c r="K28" s="100"/>
      <c r="L28" s="100"/>
      <c r="M28" s="100"/>
      <c r="N28" s="100"/>
      <c r="O28" s="100"/>
      <c r="P28" s="111"/>
      <c r="Q28" s="104">
        <v>30</v>
      </c>
      <c r="R28" s="85"/>
      <c r="S28" s="85"/>
      <c r="T28" s="85"/>
      <c r="U28" s="85"/>
      <c r="V28" s="85"/>
      <c r="W28" s="85"/>
      <c r="X28" s="111"/>
      <c r="Y28" s="85"/>
      <c r="Z28" s="85"/>
      <c r="AA28" s="85"/>
      <c r="AB28" s="85"/>
      <c r="AC28" s="85"/>
      <c r="AD28" s="85"/>
      <c r="AE28" s="103"/>
    </row>
    <row r="29" spans="1:31" ht="15.75" thickBot="1" x14ac:dyDescent="0.3">
      <c r="A29" s="128"/>
      <c r="B29" s="129"/>
      <c r="C29" s="129"/>
      <c r="D29" s="129"/>
      <c r="E29" s="129"/>
      <c r="F29" s="129"/>
      <c r="G29" s="129"/>
      <c r="H29" s="130"/>
      <c r="I29" s="129"/>
      <c r="J29" s="129"/>
      <c r="K29" s="129"/>
      <c r="L29" s="129"/>
      <c r="M29" s="129"/>
      <c r="N29" s="129"/>
      <c r="O29" s="129"/>
      <c r="P29" s="130"/>
      <c r="Q29" s="130"/>
      <c r="R29" s="130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2"/>
    </row>
    <row r="30" spans="1:31" x14ac:dyDescent="0.25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4"/>
      <c r="Q30" s="134"/>
      <c r="R30" s="134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</row>
    <row r="31" spans="1:31" x14ac:dyDescent="0.25">
      <c r="A31" s="69"/>
      <c r="B31" s="69" t="s">
        <v>176</v>
      </c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136"/>
      <c r="Q31" s="136"/>
      <c r="R31" s="136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</row>
    <row r="32" spans="1:31" x14ac:dyDescent="0.25">
      <c r="A32" s="69"/>
      <c r="B32" s="137"/>
      <c r="C32" s="69" t="s">
        <v>178</v>
      </c>
      <c r="D32" s="138"/>
      <c r="E32" s="69" t="s">
        <v>179</v>
      </c>
      <c r="F32" s="69"/>
      <c r="G32" s="144">
        <v>10</v>
      </c>
      <c r="H32" s="144"/>
      <c r="I32" s="135"/>
      <c r="J32" s="69" t="s">
        <v>177</v>
      </c>
      <c r="K32" s="69"/>
      <c r="L32" s="69"/>
      <c r="M32" s="69"/>
      <c r="N32" s="69"/>
      <c r="O32" s="69"/>
      <c r="P32" s="136"/>
      <c r="Q32" s="136"/>
      <c r="R32" s="13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</row>
    <row r="33" spans="1:31" x14ac:dyDescent="0.25">
      <c r="A33" s="133"/>
      <c r="B33" s="133"/>
      <c r="C33" s="133"/>
      <c r="D33" s="140"/>
      <c r="E33" s="133" t="s">
        <v>180</v>
      </c>
      <c r="F33" s="133"/>
      <c r="G33" s="145"/>
      <c r="H33" s="145"/>
      <c r="I33" s="133"/>
      <c r="J33" s="133"/>
      <c r="K33" s="133"/>
      <c r="L33" s="133"/>
      <c r="M33" s="133"/>
      <c r="N33" s="133"/>
      <c r="O33" s="133"/>
      <c r="P33" s="139"/>
      <c r="Q33" s="139"/>
      <c r="R33" s="139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</row>
    <row r="34" spans="1:31" x14ac:dyDescent="0.25">
      <c r="A34" s="69"/>
      <c r="B34" s="69"/>
      <c r="C34" s="69"/>
      <c r="D34" s="69"/>
      <c r="E34" s="69"/>
      <c r="F34" s="69"/>
      <c r="G34" s="146"/>
      <c r="H34" s="146"/>
      <c r="I34" s="69"/>
      <c r="J34" s="69"/>
      <c r="K34" s="69"/>
      <c r="L34" s="69"/>
      <c r="M34" s="69"/>
      <c r="N34" s="69"/>
      <c r="O34" s="69"/>
      <c r="P34" s="139"/>
      <c r="Q34" s="139"/>
      <c r="R34" s="13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</row>
  </sheetData>
  <mergeCells count="13">
    <mergeCell ref="A21:G21"/>
    <mergeCell ref="I21:O21"/>
    <mergeCell ref="Q21:W21"/>
    <mergeCell ref="Y21:AE21"/>
    <mergeCell ref="A1:AE1"/>
    <mergeCell ref="A3:G3"/>
    <mergeCell ref="I3:O3"/>
    <mergeCell ref="Q3:W3"/>
    <mergeCell ref="Y3:AE3"/>
    <mergeCell ref="A12:G12"/>
    <mergeCell ref="I12:O12"/>
    <mergeCell ref="Q12:W12"/>
    <mergeCell ref="Y12:AE12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FEEB-53BD-4BC5-A70E-8C79579CB535}">
  <sheetPr codeName="Tabelle15"/>
  <dimension ref="A1:L20"/>
  <sheetViews>
    <sheetView showGridLines="0" workbookViewId="0">
      <selection activeCell="A3" sqref="A3"/>
    </sheetView>
  </sheetViews>
  <sheetFormatPr baseColWidth="10" defaultRowHeight="15" x14ac:dyDescent="0.25"/>
  <cols>
    <col min="1" max="1" width="26.7109375" style="1" bestFit="1" customWidth="1"/>
    <col min="2" max="2" width="50.7109375" style="1" customWidth="1"/>
    <col min="3" max="3" width="30.42578125" style="1" bestFit="1" customWidth="1"/>
    <col min="4" max="4" width="28.42578125" style="1" hidden="1" customWidth="1"/>
    <col min="5" max="5" width="6.7109375" style="1" customWidth="1"/>
    <col min="6" max="6" width="33.5703125" style="1" bestFit="1" customWidth="1"/>
    <col min="7" max="7" width="5.7109375" style="1" customWidth="1"/>
    <col min="8" max="8" width="18.5703125" style="1" hidden="1" customWidth="1"/>
    <col min="9" max="12" width="11.42578125" style="1"/>
  </cols>
  <sheetData>
    <row r="1" spans="1:8" x14ac:dyDescent="0.25">
      <c r="A1" s="3" t="s">
        <v>8</v>
      </c>
      <c r="B1" s="3" t="s">
        <v>7</v>
      </c>
      <c r="C1" s="3" t="s">
        <v>17</v>
      </c>
      <c r="D1" s="3" t="s">
        <v>18</v>
      </c>
      <c r="F1" s="3" t="s">
        <v>16</v>
      </c>
      <c r="H1" s="3" t="s">
        <v>0</v>
      </c>
    </row>
    <row r="2" spans="1:8" x14ac:dyDescent="0.25">
      <c r="A2" s="2"/>
      <c r="B2" s="2"/>
      <c r="C2" s="2"/>
      <c r="D2" s="2"/>
      <c r="F2" s="2"/>
      <c r="H2" s="2" t="s">
        <v>47</v>
      </c>
    </row>
    <row r="3" spans="1:8" x14ac:dyDescent="0.25">
      <c r="A3" s="2" t="s">
        <v>19</v>
      </c>
      <c r="B3" s="2" t="s">
        <v>9</v>
      </c>
      <c r="C3" s="2" t="s">
        <v>23</v>
      </c>
      <c r="D3" s="2"/>
      <c r="F3" s="2" t="s">
        <v>33</v>
      </c>
      <c r="H3" s="2"/>
    </row>
    <row r="4" spans="1:8" x14ac:dyDescent="0.25">
      <c r="A4" s="2" t="s">
        <v>20</v>
      </c>
      <c r="B4" s="2" t="s">
        <v>10</v>
      </c>
      <c r="C4" s="2" t="s">
        <v>24</v>
      </c>
      <c r="D4" s="2"/>
      <c r="F4" s="2" t="s">
        <v>38</v>
      </c>
      <c r="H4" s="2"/>
    </row>
    <row r="5" spans="1:8" x14ac:dyDescent="0.25">
      <c r="A5" s="2" t="s">
        <v>21</v>
      </c>
      <c r="B5" s="1" t="s">
        <v>14</v>
      </c>
      <c r="C5" s="2" t="s">
        <v>25</v>
      </c>
      <c r="D5" s="2"/>
      <c r="F5" s="2" t="s">
        <v>36</v>
      </c>
      <c r="H5" s="2"/>
    </row>
    <row r="6" spans="1:8" x14ac:dyDescent="0.25">
      <c r="A6" s="2" t="s">
        <v>22</v>
      </c>
      <c r="B6" s="2" t="s">
        <v>15</v>
      </c>
      <c r="C6" s="2" t="s">
        <v>26</v>
      </c>
      <c r="D6" s="2"/>
      <c r="F6" s="2" t="s">
        <v>40</v>
      </c>
      <c r="H6" s="2"/>
    </row>
    <row r="7" spans="1:8" x14ac:dyDescent="0.25">
      <c r="A7" s="2"/>
      <c r="B7" s="2"/>
      <c r="C7" s="2" t="s">
        <v>27</v>
      </c>
      <c r="D7" s="2"/>
      <c r="F7" s="2" t="s">
        <v>41</v>
      </c>
      <c r="H7" s="2"/>
    </row>
    <row r="8" spans="1:8" x14ac:dyDescent="0.25">
      <c r="A8" s="2"/>
      <c r="B8" s="2"/>
      <c r="C8" s="2" t="s">
        <v>28</v>
      </c>
      <c r="D8" s="2"/>
      <c r="F8" s="2" t="s">
        <v>32</v>
      </c>
      <c r="H8" s="2"/>
    </row>
    <row r="9" spans="1:8" x14ac:dyDescent="0.25">
      <c r="A9" s="2"/>
      <c r="B9" s="2"/>
      <c r="C9" s="2" t="s">
        <v>29</v>
      </c>
      <c r="D9" s="2"/>
      <c r="F9" s="2" t="s">
        <v>34</v>
      </c>
      <c r="H9" s="2"/>
    </row>
    <row r="10" spans="1:8" x14ac:dyDescent="0.25">
      <c r="A10" s="2"/>
      <c r="B10" s="2"/>
      <c r="C10" s="2" t="s">
        <v>30</v>
      </c>
      <c r="D10" s="2"/>
      <c r="F10" s="2" t="s">
        <v>37</v>
      </c>
      <c r="H10" s="2"/>
    </row>
    <row r="11" spans="1:8" x14ac:dyDescent="0.25">
      <c r="A11" s="2"/>
      <c r="B11" s="2"/>
      <c r="C11" s="2" t="s">
        <v>31</v>
      </c>
      <c r="D11" s="2"/>
      <c r="F11" s="2" t="s">
        <v>42</v>
      </c>
      <c r="H11" s="2"/>
    </row>
    <row r="12" spans="1:8" x14ac:dyDescent="0.25">
      <c r="A12" s="2"/>
      <c r="B12" s="2"/>
      <c r="C12" s="2"/>
      <c r="D12" s="2"/>
      <c r="F12" s="2" t="s">
        <v>39</v>
      </c>
      <c r="H12" s="2"/>
    </row>
    <row r="13" spans="1:8" x14ac:dyDescent="0.25">
      <c r="A13" s="2"/>
      <c r="B13" s="2"/>
      <c r="C13" s="2"/>
      <c r="D13" s="2"/>
      <c r="F13" s="2" t="s">
        <v>43</v>
      </c>
      <c r="H13" s="2"/>
    </row>
    <row r="14" spans="1:8" x14ac:dyDescent="0.25">
      <c r="A14" s="2"/>
      <c r="B14" s="2"/>
      <c r="C14" s="2"/>
      <c r="D14" s="2"/>
      <c r="F14" s="2" t="s">
        <v>35</v>
      </c>
      <c r="H14" s="2"/>
    </row>
    <row r="15" spans="1:8" x14ac:dyDescent="0.25">
      <c r="A15" s="2"/>
      <c r="B15" s="2"/>
      <c r="C15" s="2"/>
      <c r="D15" s="2"/>
      <c r="F15" s="2" t="s">
        <v>44</v>
      </c>
      <c r="H15" s="2"/>
    </row>
    <row r="16" spans="1:8" x14ac:dyDescent="0.25">
      <c r="A16" s="2"/>
      <c r="B16" s="2"/>
      <c r="C16" s="2"/>
      <c r="D16" s="2"/>
      <c r="F16" s="2"/>
      <c r="H16" s="2"/>
    </row>
    <row r="17" spans="1:8" x14ac:dyDescent="0.25">
      <c r="A17" s="2"/>
      <c r="B17" s="2"/>
      <c r="C17" s="2"/>
      <c r="D17" s="2"/>
      <c r="F17" s="2"/>
      <c r="H17" s="2"/>
    </row>
    <row r="18" spans="1:8" x14ac:dyDescent="0.25">
      <c r="A18" s="2"/>
      <c r="B18" s="2"/>
      <c r="C18" s="2"/>
      <c r="D18" s="2"/>
      <c r="F18" s="2"/>
      <c r="H18" s="2"/>
    </row>
    <row r="19" spans="1:8" x14ac:dyDescent="0.25">
      <c r="A19" s="2"/>
      <c r="B19" s="2"/>
      <c r="C19" s="2"/>
      <c r="D19" s="2"/>
      <c r="F19" s="2"/>
      <c r="H19" s="2"/>
    </row>
    <row r="20" spans="1:8" x14ac:dyDescent="0.25">
      <c r="B20" s="23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2D8C84-2215-4D12-97BD-3D01EF7E78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12</vt:i4>
      </vt:variant>
    </vt:vector>
  </HeadingPairs>
  <TitlesOfParts>
    <vt:vector size="27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Overview</vt:lpstr>
      <vt:lpstr>Calendar</vt:lpstr>
      <vt:lpstr>Metadata</vt:lpstr>
      <vt:lpstr>'01'!Druckbereich</vt:lpstr>
      <vt:lpstr>'02'!Druckbereich</vt:lpstr>
      <vt:lpstr>'03'!Druckbereich</vt:lpstr>
      <vt:lpstr>'04'!Druckbereich</vt:lpstr>
      <vt:lpstr>'05'!Druckbereich</vt:lpstr>
      <vt:lpstr>'06'!Druckbereich</vt:lpstr>
      <vt:lpstr>'07'!Druckbereich</vt:lpstr>
      <vt:lpstr>'08'!Druckbereich</vt:lpstr>
      <vt:lpstr>'09'!Druckbereich</vt:lpstr>
      <vt:lpstr>'10'!Druckbereich</vt:lpstr>
      <vt:lpstr>'11'!Druckbereich</vt:lpstr>
      <vt:lpstr>'12'!Druckbereich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Songne, Renate</dc:creator>
  <cp:lastModifiedBy>Maximilian Erlenbusch</cp:lastModifiedBy>
  <cp:lastPrinted>2021-09-24T06:58:46Z</cp:lastPrinted>
  <dcterms:created xsi:type="dcterms:W3CDTF">2021-01-28T06:50:42Z</dcterms:created>
  <dcterms:modified xsi:type="dcterms:W3CDTF">2026-02-18T13:07:33Z</dcterms:modified>
</cp:coreProperties>
</file>